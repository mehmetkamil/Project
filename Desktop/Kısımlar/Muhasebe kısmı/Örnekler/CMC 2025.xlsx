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RTAK\2025 YILI HESAPLAR\CMC 2025\"/>
    </mc:Choice>
  </mc:AlternateContent>
  <xr:revisionPtr revIDLastSave="0" documentId="13_ncr:1_{3958323E-2711-4A37-87C2-D62BEE87229C}" xr6:coauthVersionLast="47" xr6:coauthVersionMax="47" xr10:uidLastSave="{00000000-0000-0000-0000-000000000000}"/>
  <bookViews>
    <workbookView xWindow="-120" yWindow="-120" windowWidth="24240" windowHeight="13020" firstSheet="2" activeTab="11" xr2:uid="{00000000-000D-0000-FFFF-FFFF00000000}"/>
  </bookViews>
  <sheets>
    <sheet name="OCAK" sheetId="1" r:id="rId1"/>
    <sheet name="ŞUBAT" sheetId="2" r:id="rId2"/>
    <sheet name="MART" sheetId="3" r:id="rId3"/>
    <sheet name="NİSAN" sheetId="4" r:id="rId4"/>
    <sheet name="MAYIS" sheetId="5" r:id="rId5"/>
    <sheet name="HAZİRAN" sheetId="6" r:id="rId6"/>
    <sheet name="TEMMUZ" sheetId="7" r:id="rId7"/>
    <sheet name="AĞUSTOS" sheetId="8" r:id="rId8"/>
    <sheet name="EYLÜL" sheetId="9" r:id="rId9"/>
    <sheet name="EKİM" sheetId="10" r:id="rId10"/>
    <sheet name="KASIM" sheetId="11" r:id="rId11"/>
    <sheet name="ARALIK" sheetId="12" r:id="rId12"/>
  </sheets>
  <definedNames>
    <definedName name="_xlnm.Print_Area" localSheetId="5">HAZİRAN!$A$1:$J$38</definedName>
    <definedName name="_xlnm.Print_Area" localSheetId="4">MAYIS!$A$1:$J$32</definedName>
    <definedName name="_xlnm.Print_Area" localSheetId="0">OCAK!$A$1:$J$30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12" l="1"/>
  <c r="I32" i="12"/>
  <c r="I35" i="12"/>
  <c r="I31" i="12"/>
  <c r="T29" i="12"/>
  <c r="I29" i="12"/>
  <c r="I28" i="12"/>
  <c r="I27" i="12"/>
  <c r="I26" i="12"/>
  <c r="I25" i="12"/>
  <c r="G31" i="12"/>
  <c r="F31" i="12"/>
  <c r="T32" i="12"/>
  <c r="S31" i="12"/>
  <c r="R31" i="12"/>
  <c r="Q31" i="12"/>
  <c r="H31" i="12"/>
  <c r="T30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T10" i="12"/>
  <c r="T9" i="12"/>
  <c r="T8" i="12"/>
  <c r="T7" i="12"/>
  <c r="T6" i="12"/>
  <c r="T5" i="12"/>
  <c r="T4" i="12"/>
  <c r="M40" i="11"/>
  <c r="S33" i="11"/>
  <c r="R33" i="11"/>
  <c r="Q33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I37" i="11"/>
  <c r="I33" i="11"/>
  <c r="I20" i="11"/>
  <c r="I31" i="11"/>
  <c r="I30" i="11"/>
  <c r="I29" i="11"/>
  <c r="I28" i="11"/>
  <c r="I27" i="11"/>
  <c r="I34" i="11" s="1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2" i="10"/>
  <c r="I18" i="10"/>
  <c r="I15" i="10"/>
  <c r="I17" i="10"/>
  <c r="I16" i="10"/>
  <c r="I14" i="10"/>
  <c r="H33" i="11"/>
  <c r="G33" i="11"/>
  <c r="F33" i="11"/>
  <c r="I26" i="11"/>
  <c r="I25" i="11"/>
  <c r="I24" i="11"/>
  <c r="I23" i="11"/>
  <c r="I22" i="11"/>
  <c r="I21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7" i="9"/>
  <c r="I32" i="9"/>
  <c r="I36" i="9" s="1"/>
  <c r="I33" i="9"/>
  <c r="I7" i="10"/>
  <c r="G31" i="10"/>
  <c r="F31" i="10"/>
  <c r="I29" i="10"/>
  <c r="I28" i="10"/>
  <c r="I27" i="10"/>
  <c r="I26" i="10"/>
  <c r="I25" i="10"/>
  <c r="I24" i="10"/>
  <c r="I23" i="10"/>
  <c r="I22" i="10"/>
  <c r="I21" i="10"/>
  <c r="I20" i="10"/>
  <c r="I19" i="10"/>
  <c r="I13" i="10"/>
  <c r="I12" i="10"/>
  <c r="I11" i="10"/>
  <c r="I10" i="10"/>
  <c r="I9" i="10"/>
  <c r="I8" i="10"/>
  <c r="I6" i="10"/>
  <c r="I31" i="10" s="1"/>
  <c r="I35" i="10" s="1"/>
  <c r="I5" i="10"/>
  <c r="I4" i="10"/>
  <c r="H31" i="10"/>
  <c r="I28" i="2"/>
  <c r="I27" i="2"/>
  <c r="I34" i="8"/>
  <c r="I8" i="9"/>
  <c r="I35" i="8"/>
  <c r="H5" i="9"/>
  <c r="I5" i="9" s="1"/>
  <c r="H6" i="9"/>
  <c r="I6" i="9" s="1"/>
  <c r="H4" i="9"/>
  <c r="I32" i="7"/>
  <c r="I25" i="7"/>
  <c r="I31" i="7" s="1"/>
  <c r="I24" i="7"/>
  <c r="I32" i="8"/>
  <c r="I31" i="8"/>
  <c r="I30" i="8"/>
  <c r="I29" i="8"/>
  <c r="I28" i="8"/>
  <c r="I27" i="8"/>
  <c r="I26" i="8"/>
  <c r="I33" i="8"/>
  <c r="G32" i="9"/>
  <c r="F32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4" i="9"/>
  <c r="G34" i="8"/>
  <c r="F34" i="8"/>
  <c r="H34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F31" i="7"/>
  <c r="G31" i="7"/>
  <c r="H31" i="7"/>
  <c r="I34" i="6"/>
  <c r="I33" i="6"/>
  <c r="I23" i="6"/>
  <c r="I18" i="6"/>
  <c r="I29" i="7"/>
  <c r="I28" i="7"/>
  <c r="I27" i="7"/>
  <c r="I26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1" i="6"/>
  <c r="I30" i="6"/>
  <c r="F33" i="6"/>
  <c r="H33" i="6"/>
  <c r="G33" i="6"/>
  <c r="I25" i="6"/>
  <c r="I22" i="6"/>
  <c r="I20" i="6"/>
  <c r="I16" i="6"/>
  <c r="I10" i="6"/>
  <c r="I29" i="6"/>
  <c r="I28" i="6"/>
  <c r="I27" i="6"/>
  <c r="I28" i="5"/>
  <c r="I27" i="5"/>
  <c r="I10" i="5"/>
  <c r="F27" i="5"/>
  <c r="G27" i="5"/>
  <c r="H27" i="5"/>
  <c r="H28" i="5"/>
  <c r="G28" i="5"/>
  <c r="F28" i="5"/>
  <c r="I21" i="5"/>
  <c r="I17" i="5"/>
  <c r="I15" i="5"/>
  <c r="I14" i="5"/>
  <c r="I26" i="6"/>
  <c r="I24" i="6"/>
  <c r="I21" i="6"/>
  <c r="I19" i="6"/>
  <c r="I17" i="6"/>
  <c r="I15" i="6"/>
  <c r="I14" i="6"/>
  <c r="I13" i="6"/>
  <c r="I12" i="6"/>
  <c r="I11" i="6"/>
  <c r="I9" i="6"/>
  <c r="I8" i="6"/>
  <c r="I7" i="6"/>
  <c r="I6" i="6"/>
  <c r="I5" i="6"/>
  <c r="I4" i="6"/>
  <c r="I20" i="5"/>
  <c r="I25" i="5"/>
  <c r="I24" i="5"/>
  <c r="I23" i="5"/>
  <c r="I22" i="5"/>
  <c r="I19" i="5"/>
  <c r="I18" i="5"/>
  <c r="I16" i="5"/>
  <c r="I13" i="5"/>
  <c r="I12" i="5"/>
  <c r="I11" i="5"/>
  <c r="I9" i="5"/>
  <c r="I8" i="5"/>
  <c r="I7" i="5"/>
  <c r="I6" i="5"/>
  <c r="I5" i="5"/>
  <c r="I4" i="5"/>
  <c r="H22" i="4"/>
  <c r="G22" i="4"/>
  <c r="F22" i="4"/>
  <c r="H21" i="4"/>
  <c r="G21" i="4"/>
  <c r="F21" i="4"/>
  <c r="I19" i="4"/>
  <c r="I18" i="4"/>
  <c r="I17" i="4"/>
  <c r="I16" i="4"/>
  <c r="I15" i="4"/>
  <c r="I14" i="4"/>
  <c r="I13" i="4"/>
  <c r="I12" i="4"/>
  <c r="I22" i="4" s="1"/>
  <c r="I11" i="4"/>
  <c r="I10" i="4"/>
  <c r="I9" i="4"/>
  <c r="I8" i="4"/>
  <c r="I7" i="4"/>
  <c r="I6" i="4"/>
  <c r="I5" i="4"/>
  <c r="I21" i="4" s="1"/>
  <c r="H22" i="3"/>
  <c r="G22" i="3"/>
  <c r="F22" i="3"/>
  <c r="H21" i="3"/>
  <c r="G21" i="3"/>
  <c r="F21" i="3"/>
  <c r="I17" i="3"/>
  <c r="I16" i="3"/>
  <c r="I15" i="3"/>
  <c r="I14" i="3"/>
  <c r="I13" i="3"/>
  <c r="I12" i="3"/>
  <c r="I11" i="3"/>
  <c r="I10" i="3"/>
  <c r="I9" i="3"/>
  <c r="I8" i="3"/>
  <c r="I7" i="3"/>
  <c r="I6" i="3"/>
  <c r="I22" i="3" s="1"/>
  <c r="I5" i="3"/>
  <c r="I21" i="3" s="1"/>
  <c r="T31" i="12" l="1"/>
  <c r="Q35" i="12" s="1"/>
  <c r="T33" i="11"/>
  <c r="T34" i="11"/>
  <c r="Q37" i="11"/>
  <c r="F37" i="11"/>
  <c r="H32" i="9"/>
  <c r="F36" i="9"/>
  <c r="I35" i="7"/>
  <c r="F38" i="8"/>
  <c r="I37" i="6"/>
  <c r="I31" i="5"/>
  <c r="I25" i="4"/>
  <c r="F25" i="4" s="1"/>
  <c r="I25" i="3"/>
  <c r="F25" i="3"/>
  <c r="H28" i="2"/>
  <c r="G28" i="2"/>
  <c r="F28" i="2"/>
  <c r="H27" i="2"/>
  <c r="H30" i="2" s="1"/>
  <c r="G27" i="2"/>
  <c r="G30" i="2" s="1"/>
  <c r="F27" i="2"/>
  <c r="F30" i="2" s="1"/>
  <c r="I23" i="2"/>
  <c r="I22" i="2"/>
  <c r="I21" i="2"/>
  <c r="I20" i="2"/>
  <c r="I19" i="2"/>
  <c r="I18" i="2"/>
  <c r="I17" i="2"/>
  <c r="I16" i="2"/>
  <c r="I13" i="2"/>
  <c r="I12" i="2"/>
  <c r="I10" i="2"/>
  <c r="I9" i="2"/>
  <c r="I8" i="2"/>
  <c r="I7" i="2"/>
  <c r="I5" i="2"/>
  <c r="I30" i="2" s="1"/>
  <c r="T35" i="12" l="1"/>
  <c r="F35" i="12"/>
  <c r="T37" i="11"/>
  <c r="F35" i="10"/>
  <c r="I38" i="8"/>
  <c r="F35" i="7"/>
  <c r="F37" i="6"/>
  <c r="F31" i="5"/>
  <c r="I25" i="1"/>
  <c r="F25" i="1"/>
  <c r="I21" i="1"/>
  <c r="H21" i="1"/>
  <c r="G21" i="1"/>
  <c r="F21" i="1"/>
  <c r="I14" i="1"/>
  <c r="H22" i="1"/>
  <c r="G22" i="1"/>
  <c r="F22" i="1"/>
  <c r="I17" i="1"/>
  <c r="I16" i="1"/>
  <c r="I15" i="1"/>
  <c r="I13" i="1"/>
  <c r="I12" i="1"/>
  <c r="I11" i="1"/>
  <c r="I10" i="1"/>
  <c r="I9" i="1"/>
  <c r="I8" i="1"/>
  <c r="I7" i="1"/>
  <c r="I6" i="1"/>
  <c r="I5" i="1"/>
  <c r="I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ronaldinho424</author>
  </authors>
  <commentList>
    <comment ref="E9" authorId="0" shapeId="0" xr:uid="{5CAFFEE2-74BB-456E-8199-5C5D55613C0D}">
      <text>
        <r>
          <rPr>
            <b/>
            <sz val="11"/>
            <color indexed="81"/>
            <rFont val="Tahoma"/>
            <charset val="1"/>
          </rPr>
          <t xml:space="preserve">+paket kestiği için komisyon fazla gözüküyor.
</t>
        </r>
        <r>
          <rPr>
            <sz val="11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<sst xmlns="http://schemas.openxmlformats.org/spreadsheetml/2006/main" count="883" uniqueCount="172">
  <si>
    <t>SİGORTALI</t>
  </si>
  <si>
    <t>TARİH</t>
  </si>
  <si>
    <t>POLİÇE NO</t>
  </si>
  <si>
    <t>TÜRÜ</t>
  </si>
  <si>
    <t>ÖDEME ŞEKLİ</t>
  </si>
  <si>
    <t>TUTAR</t>
  </si>
  <si>
    <t>NET</t>
  </si>
  <si>
    <t xml:space="preserve"> KOMİSYON</t>
  </si>
  <si>
    <t>OCAK</t>
  </si>
  <si>
    <t>ORAN</t>
  </si>
  <si>
    <t>TOPLAM</t>
  </si>
  <si>
    <t>HAYRETTİN YAZICI</t>
  </si>
  <si>
    <t>TRAFİK</t>
  </si>
  <si>
    <t>K.KART</t>
  </si>
  <si>
    <t>HAKİM TÜRKMEN</t>
  </si>
  <si>
    <t>RAMAZAN ULUTÜRK</t>
  </si>
  <si>
    <t>CENGİZHAN FATİH İZGİ</t>
  </si>
  <si>
    <t>OZAN ÖZCAN</t>
  </si>
  <si>
    <t>SELAMİ DALLI</t>
  </si>
  <si>
    <t>MEMETCAN KOÇ</t>
  </si>
  <si>
    <t>FATİH KARASU</t>
  </si>
  <si>
    <t>ALİ GÖKÇEK</t>
  </si>
  <si>
    <t>KONUT</t>
  </si>
  <si>
    <t>FERDİ KAZA</t>
  </si>
  <si>
    <t>HAYAT</t>
  </si>
  <si>
    <t>İPTAL TOPLAMI</t>
  </si>
  <si>
    <t>BAKİYE</t>
  </si>
  <si>
    <t>CMC GROUP 2025</t>
  </si>
  <si>
    <t>ALINAN KOMİSYON</t>
  </si>
  <si>
    <t>ŞUBAT</t>
  </si>
  <si>
    <t xml:space="preserve">SETAŞ ALÜMİNYUM </t>
  </si>
  <si>
    <t>KUBİLAY ACAR</t>
  </si>
  <si>
    <t>LOKMAN DOĞAN</t>
  </si>
  <si>
    <t>ERCAN İLERİ</t>
  </si>
  <si>
    <t>MİTHAT VATANSEVER</t>
  </si>
  <si>
    <t>NUR SEMA KILIÇ</t>
  </si>
  <si>
    <t>LIREN XUE</t>
  </si>
  <si>
    <t>HARUN AKKAYA</t>
  </si>
  <si>
    <t>ABDULBER BULUT</t>
  </si>
  <si>
    <t>ŞABAN UÇAN</t>
  </si>
  <si>
    <t>ŞEVVAL ŞEN</t>
  </si>
  <si>
    <t>BAYKAL AYDEMİR</t>
  </si>
  <si>
    <t>FERDİ COŞKUN</t>
  </si>
  <si>
    <t>ARİFCAN ALTUN</t>
  </si>
  <si>
    <t>MART</t>
  </si>
  <si>
    <t>SATI ZUHAL ULANMIŞ</t>
  </si>
  <si>
    <t>ALAETTİN SARI</t>
  </si>
  <si>
    <t>SUAT KORUCU</t>
  </si>
  <si>
    <t>ŞEYHO GÜRGÜR</t>
  </si>
  <si>
    <t>EMİRHAN GÜLLÜ</t>
  </si>
  <si>
    <t>NİSAN</t>
  </si>
  <si>
    <t>ADEM BAŞAR</t>
  </si>
  <si>
    <t>ELİF GÜNGÖR</t>
  </si>
  <si>
    <t>RECEP YILMAZ</t>
  </si>
  <si>
    <t>CENK KURT</t>
  </si>
  <si>
    <t>BİRTAŞ AYHAN</t>
  </si>
  <si>
    <t>F.KAZA</t>
  </si>
  <si>
    <t>RECEP OKUYAN</t>
  </si>
  <si>
    <t>ERGÜL ERGÜN</t>
  </si>
  <si>
    <t>MAYIS</t>
  </si>
  <si>
    <t>KÖKSAL SATILMIŞ</t>
  </si>
  <si>
    <t>İSMAİL YASEMİN</t>
  </si>
  <si>
    <t>SERKAN TUNALI</t>
  </si>
  <si>
    <t>EREN SÜRÜL</t>
  </si>
  <si>
    <t>ÖZYAMAN TEKSTİL</t>
  </si>
  <si>
    <t>KASKO</t>
  </si>
  <si>
    <t>SİNAN TURAN</t>
  </si>
  <si>
    <t>YAKUP DOĞAN</t>
  </si>
  <si>
    <t>MUSA SEZEN</t>
  </si>
  <si>
    <t>ÖZNUR ZAN</t>
  </si>
  <si>
    <t>AYDIN DELİACI</t>
  </si>
  <si>
    <t>ŞİNASİ GEDİK</t>
  </si>
  <si>
    <t>OZAN KARTAL</t>
  </si>
  <si>
    <t>AYŞE AKBAY</t>
  </si>
  <si>
    <t>ZEKERİYA SOLMAZ</t>
  </si>
  <si>
    <t>HAZİRAN</t>
  </si>
  <si>
    <t>AHMET NİYAZİ GÜNER</t>
  </si>
  <si>
    <t>NEBİYE SOLMAZ</t>
  </si>
  <si>
    <t>MUHAMMET TALHA GÜNER</t>
  </si>
  <si>
    <t>CANAN ÇİMEN</t>
  </si>
  <si>
    <t>ÜZEYİR KOÇAK</t>
  </si>
  <si>
    <t>YAREN TEKNECİ</t>
  </si>
  <si>
    <t>12/08 DE ALINAN EFT</t>
  </si>
  <si>
    <t>ERCAN YÜKSEL</t>
  </si>
  <si>
    <t>ZUHAL YEŞİLTEPE</t>
  </si>
  <si>
    <t>ORHAN KARAKURT</t>
  </si>
  <si>
    <t>TALAT DOL</t>
  </si>
  <si>
    <t>MUHTEREM ARSLANTÜRK</t>
  </si>
  <si>
    <t>SERHAT TÜRKMEN</t>
  </si>
  <si>
    <t>BAHTİYAR ERGİN</t>
  </si>
  <si>
    <t>YUSUF YILDIRIM</t>
  </si>
  <si>
    <t>SENANUR ARSLANTÜRK</t>
  </si>
  <si>
    <t>İMM</t>
  </si>
  <si>
    <t>TEMMUZ</t>
  </si>
  <si>
    <t>TUĞBA ŞAHİN</t>
  </si>
  <si>
    <t>İMM %15 HESAPLANIR</t>
  </si>
  <si>
    <t>İREM DEMİRCİ</t>
  </si>
  <si>
    <t>ALPASLAN YILDIRIM</t>
  </si>
  <si>
    <t>NAFİZ LÖK</t>
  </si>
  <si>
    <t>MEHMET BAYBAŞI</t>
  </si>
  <si>
    <t>HASAN KILIÇ</t>
  </si>
  <si>
    <t>GÖKHAN SARI</t>
  </si>
  <si>
    <t>ERSİN ÖZEN</t>
  </si>
  <si>
    <t>BARIŞ YEŞİLTEPE</t>
  </si>
  <si>
    <t>EMİN SARI</t>
  </si>
  <si>
    <t>ABDULLAH ŞAHYAR</t>
  </si>
  <si>
    <t>AĞUSTOS</t>
  </si>
  <si>
    <t>KADİR KOCAOĞLU</t>
  </si>
  <si>
    <t>KONUT EKİ</t>
  </si>
  <si>
    <t>SEBAHATTİN BERÇİN</t>
  </si>
  <si>
    <t>VOLKAN KAYA</t>
  </si>
  <si>
    <t>İSMAİL BAŞER</t>
  </si>
  <si>
    <t>SİNEM NUR AKSOY</t>
  </si>
  <si>
    <t>SEDAT FIRAT</t>
  </si>
  <si>
    <t>ERHAN TURAN</t>
  </si>
  <si>
    <t>NECAT POLAT</t>
  </si>
  <si>
    <t>MUSTAFA OKAN YOLÇAKAR</t>
  </si>
  <si>
    <t>SEVDA YILDIZ</t>
  </si>
  <si>
    <t>ERCAN LÖK</t>
  </si>
  <si>
    <t>TANER BÜYÜKBAYRAM</t>
  </si>
  <si>
    <t>EYLÜL</t>
  </si>
  <si>
    <t>FATİH İNCE</t>
  </si>
  <si>
    <t>MEHMET TÜRKMEN</t>
  </si>
  <si>
    <t>AHMED TALHA MURAT</t>
  </si>
  <si>
    <t>OĞUZHAN KIYDIR</t>
  </si>
  <si>
    <t>ZÜLKÜF ÇELİK</t>
  </si>
  <si>
    <t>KADİR YILMAZ</t>
  </si>
  <si>
    <t>EKİM</t>
  </si>
  <si>
    <t>TUĞBA ERDOĞMUŞ</t>
  </si>
  <si>
    <t>TURAN KAAN EKİNCİ</t>
  </si>
  <si>
    <t>MURAT GÜL</t>
  </si>
  <si>
    <t>EMKA ALTYAPI</t>
  </si>
  <si>
    <t>MUHAMMED ALİ ŞAHİN</t>
  </si>
  <si>
    <t>KUTAY KÜÇÜKGÜVEN</t>
  </si>
  <si>
    <t>AHMET YAVUZ</t>
  </si>
  <si>
    <t>KASIM</t>
  </si>
  <si>
    <t>ERHAN ŞAHİNDURAN</t>
  </si>
  <si>
    <t>FERDİ</t>
  </si>
  <si>
    <t>VOLKAN AYKUTALP</t>
  </si>
  <si>
    <t>AKAR PETROL ÜRÜNLERİ</t>
  </si>
  <si>
    <t>ÖMER GÜLTAŞ</t>
  </si>
  <si>
    <t>ZEHRA GÜNDÜZ</t>
  </si>
  <si>
    <t>ERCAN IRMAK</t>
  </si>
  <si>
    <t>ERVE OTOMOTİV</t>
  </si>
  <si>
    <t>AYDIN ELİTOĞ</t>
  </si>
  <si>
    <t>HASAN NURKAN</t>
  </si>
  <si>
    <t>ARDA ASLAN</t>
  </si>
  <si>
    <t>İSMAİL KALENDER</t>
  </si>
  <si>
    <t>ARALIK</t>
  </si>
  <si>
    <t>ENES SOHTORİK</t>
  </si>
  <si>
    <t>SAMET DEMİRCİ</t>
  </si>
  <si>
    <t>MEHMET SAĞLAM</t>
  </si>
  <si>
    <t>YUNUS DOKUMA TEKSTİL</t>
  </si>
  <si>
    <t>ADEM DÖNMEZ</t>
  </si>
  <si>
    <t>HÜSAMETTİN KARATAŞ</t>
  </si>
  <si>
    <t>İŞYERİ</t>
  </si>
  <si>
    <t>VERİLEN KOMİSYON</t>
  </si>
  <si>
    <t>ALİ SAİT KOTAN</t>
  </si>
  <si>
    <t>AXA ALACAK BAKİYE</t>
  </si>
  <si>
    <t>MURAT ÇIĞRIM</t>
  </si>
  <si>
    <t>ÖMER BÖRKLÜ</t>
  </si>
  <si>
    <t>YUSUF KALENDER</t>
  </si>
  <si>
    <t>ÜMİT YEMEK ÜRETİM</t>
  </si>
  <si>
    <t>FATİH ÇEBİ</t>
  </si>
  <si>
    <t>MUHAMMET ÇEBİ</t>
  </si>
  <si>
    <t>VELİ TAŞKIRAN</t>
  </si>
  <si>
    <t>BEYZANUR YILMAZ</t>
  </si>
  <si>
    <t>MURAT HIDIR</t>
  </si>
  <si>
    <t>MUSTAFA ALTUNOK</t>
  </si>
  <si>
    <t>MUSTAFA SAKARYAOĞLU</t>
  </si>
  <si>
    <t>ERDOĞAN TÜRKMEN</t>
  </si>
  <si>
    <t>İSMAİL ENES SARIYILDIZ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</si>
</sst>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1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rgb="FF00000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9"/>
      <color rgb="FF1B1D52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charset val="162"/>
      <scheme val="minor"/>
    </font>
    <font>
      <b/>
      <sz val="10"/>
      <color rgb="FF000000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Arial"/>
      <family val="2"/>
      <charset val="162"/>
    </font>
    <font>
      <sz val="11"/>
      <color rgb="FFFF0000"/>
      <name val="Calibri"/>
      <family val="2"/>
      <scheme val="minor"/>
    </font>
    <font>
      <b/>
      <sz val="10"/>
      <color rgb="FF000000"/>
      <name val="Calibri"/>
      <family val="2"/>
      <charset val="162"/>
      <scheme val="minor"/>
    </font>
    <font>
      <sz val="11"/>
      <color indexed="81"/>
      <name val="Tahoma"/>
      <charset val="1"/>
    </font>
    <font>
      <b/>
      <sz val="11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1" xfId="0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right"/>
    </xf>
    <xf numFmtId="43" fontId="1" fillId="2" borderId="1" xfId="0" applyNumberFormat="1" applyFont="1" applyFill="1" applyBorder="1" applyAlignment="1">
      <alignment horizontal="left" vertical="top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3" fontId="1" fillId="0" borderId="1" xfId="0" applyNumberFormat="1" applyFont="1" applyBorder="1" applyAlignment="1">
      <alignment horizontal="left" vertical="top"/>
    </xf>
    <xf numFmtId="2" fontId="1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left" vertical="center"/>
    </xf>
    <xf numFmtId="4" fontId="1" fillId="0" borderId="0" xfId="0" applyNumberFormat="1" applyFont="1"/>
    <xf numFmtId="2" fontId="5" fillId="0" borderId="0" xfId="0" applyNumberFormat="1" applyFont="1"/>
    <xf numFmtId="9" fontId="6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43" fontId="9" fillId="4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right"/>
    </xf>
    <xf numFmtId="9" fontId="2" fillId="2" borderId="1" xfId="0" applyNumberFormat="1" applyFont="1" applyFill="1" applyBorder="1" applyAlignment="1">
      <alignment horizontal="center" vertical="center"/>
    </xf>
    <xf numFmtId="43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43" fontId="7" fillId="2" borderId="1" xfId="0" applyNumberFormat="1" applyFont="1" applyFill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/>
    </xf>
    <xf numFmtId="43" fontId="2" fillId="0" borderId="1" xfId="0" applyNumberFormat="1" applyFont="1" applyBorder="1"/>
    <xf numFmtId="2" fontId="10" fillId="0" borderId="1" xfId="0" applyNumberFormat="1" applyFont="1" applyBorder="1"/>
    <xf numFmtId="43" fontId="2" fillId="2" borderId="1" xfId="0" applyNumberFormat="1" applyFont="1" applyFill="1" applyBorder="1"/>
    <xf numFmtId="2" fontId="10" fillId="0" borderId="1" xfId="0" applyNumberFormat="1" applyFont="1" applyBorder="1" applyAlignment="1">
      <alignment wrapText="1"/>
    </xf>
    <xf numFmtId="2" fontId="2" fillId="0" borderId="1" xfId="0" applyNumberFormat="1" applyFont="1" applyBorder="1"/>
    <xf numFmtId="2" fontId="12" fillId="0" borderId="1" xfId="0" applyNumberFormat="1" applyFont="1" applyBorder="1"/>
    <xf numFmtId="43" fontId="2" fillId="0" borderId="1" xfId="0" applyNumberFormat="1" applyFont="1" applyBorder="1" applyAlignment="1">
      <alignment horizontal="left" vertical="top"/>
    </xf>
    <xf numFmtId="9" fontId="2" fillId="0" borderId="1" xfId="0" applyNumberFormat="1" applyFont="1" applyBorder="1"/>
    <xf numFmtId="9" fontId="7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43" fontId="13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right"/>
    </xf>
    <xf numFmtId="43" fontId="13" fillId="0" borderId="1" xfId="0" applyNumberFormat="1" applyFont="1" applyBorder="1" applyAlignment="1">
      <alignment horizontal="left" vertical="top"/>
    </xf>
    <xf numFmtId="43" fontId="9" fillId="5" borderId="1" xfId="0" applyNumberFormat="1" applyFont="1" applyFill="1" applyBorder="1" applyAlignment="1">
      <alignment horizontal="center" vertical="center"/>
    </xf>
    <xf numFmtId="43" fontId="9" fillId="5" borderId="4" xfId="0" applyNumberFormat="1" applyFont="1" applyFill="1" applyBorder="1" applyAlignment="1">
      <alignment horizontal="center" vertical="center"/>
    </xf>
    <xf numFmtId="43" fontId="7" fillId="0" borderId="1" xfId="0" applyNumberFormat="1" applyFont="1" applyBorder="1"/>
    <xf numFmtId="2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 applyAlignment="1">
      <alignment horizontal="right" vertical="center"/>
    </xf>
    <xf numFmtId="43" fontId="9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wrapText="1"/>
    </xf>
    <xf numFmtId="43" fontId="7" fillId="2" borderId="1" xfId="0" applyNumberFormat="1" applyFont="1" applyFill="1" applyBorder="1"/>
    <xf numFmtId="2" fontId="7" fillId="0" borderId="1" xfId="0" applyNumberFormat="1" applyFont="1" applyBorder="1"/>
    <xf numFmtId="2" fontId="11" fillId="0" borderId="1" xfId="0" applyNumberFormat="1" applyFont="1" applyBorder="1"/>
    <xf numFmtId="0" fontId="15" fillId="0" borderId="0" xfId="0" applyFont="1"/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43" fontId="9" fillId="0" borderId="4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wrapText="1"/>
    </xf>
    <xf numFmtId="2" fontId="16" fillId="0" borderId="1" xfId="0" applyNumberFormat="1" applyFont="1" applyBorder="1"/>
    <xf numFmtId="2" fontId="16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43" fontId="9" fillId="0" borderId="1" xfId="0" applyNumberFormat="1" applyFont="1" applyBorder="1"/>
    <xf numFmtId="2" fontId="9" fillId="0" borderId="1" xfId="0" applyNumberFormat="1" applyFont="1" applyBorder="1"/>
    <xf numFmtId="2" fontId="9" fillId="0" borderId="1" xfId="0" applyNumberFormat="1" applyFont="1" applyBorder="1" applyAlignment="1">
      <alignment horizontal="right"/>
    </xf>
    <xf numFmtId="2" fontId="7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center" vertical="center"/>
    </xf>
    <xf numFmtId="43" fontId="9" fillId="2" borderId="1" xfId="0" applyNumberFormat="1" applyFont="1" applyFill="1" applyBorder="1"/>
    <xf numFmtId="43" fontId="0" fillId="0" borderId="0" xfId="0" applyNumberFormat="1"/>
    <xf numFmtId="43" fontId="1" fillId="6" borderId="1" xfId="0" applyNumberFormat="1" applyFont="1" applyFill="1" applyBorder="1" applyAlignment="1">
      <alignment horizontal="left" vertical="top"/>
    </xf>
    <xf numFmtId="2" fontId="3" fillId="6" borderId="1" xfId="0" applyNumberFormat="1" applyFont="1" applyFill="1" applyBorder="1" applyAlignment="1">
      <alignment horizontal="right"/>
    </xf>
    <xf numFmtId="2" fontId="9" fillId="0" borderId="1" xfId="0" applyNumberFormat="1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8" borderId="5" xfId="0" applyFill="1" applyBorder="1"/>
    <xf numFmtId="0" fontId="0" fillId="8" borderId="4" xfId="0" applyFill="1" applyBorder="1"/>
    <xf numFmtId="0" fontId="0" fillId="8" borderId="6" xfId="0" applyFill="1" applyBorder="1"/>
    <xf numFmtId="0" fontId="1" fillId="8" borderId="1" xfId="0" applyFont="1" applyFill="1" applyBorder="1" applyAlignment="1">
      <alignment horizontal="center" vertical="center"/>
    </xf>
    <xf numFmtId="0" fontId="0" fillId="8" borderId="0" xfId="0" applyFill="1"/>
    <xf numFmtId="0" fontId="0" fillId="0" borderId="1" xfId="0" applyBorder="1"/>
    <xf numFmtId="0" fontId="1" fillId="0" borderId="0" xfId="0" applyFont="1" applyAlignment="1">
      <alignment horizontal="center" vertical="center"/>
    </xf>
    <xf numFmtId="43" fontId="2" fillId="0" borderId="2" xfId="0" applyNumberFormat="1" applyFont="1" applyBorder="1" applyAlignment="1">
      <alignment horizontal="center" vertical="center"/>
    </xf>
    <xf numFmtId="43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3"/>
  <sheetViews>
    <sheetView workbookViewId="0">
      <selection activeCell="B21" sqref="B21"/>
    </sheetView>
  </sheetViews>
  <sheetFormatPr defaultRowHeight="15" x14ac:dyDescent="0.25"/>
  <cols>
    <col min="1" max="1" width="19" customWidth="1"/>
    <col min="2" max="2" width="10.42578125" customWidth="1"/>
    <col min="3" max="3" width="16.85546875" customWidth="1"/>
    <col min="4" max="4" width="11.140625" customWidth="1"/>
    <col min="5" max="5" width="10.140625" customWidth="1"/>
    <col min="6" max="6" width="13.5703125" customWidth="1"/>
    <col min="7" max="7" width="12.5703125" customWidth="1"/>
    <col min="8" max="8" width="10.28515625" customWidth="1"/>
    <col min="9" max="9" width="13.5703125" customWidth="1"/>
    <col min="10" max="10" width="5.85546875" customWidth="1"/>
    <col min="11" max="11" width="14.7109375" customWidth="1"/>
    <col min="12" max="13" width="11" customWidth="1"/>
    <col min="14" max="14" width="10.28515625" customWidth="1"/>
    <col min="16" max="16" width="9.7109375" customWidth="1"/>
    <col min="17" max="17" width="11" customWidth="1"/>
    <col min="18" max="18" width="9.28515625" customWidth="1"/>
  </cols>
  <sheetData>
    <row r="1" spans="1:20" ht="20.25" customHeight="1" x14ac:dyDescent="0.25">
      <c r="A1" s="23"/>
      <c r="B1" s="23"/>
      <c r="C1" s="11"/>
      <c r="D1" s="101" t="s">
        <v>27</v>
      </c>
      <c r="E1" s="102"/>
      <c r="F1" s="11"/>
      <c r="G1" s="11"/>
      <c r="H1" s="11"/>
      <c r="I1" s="11"/>
      <c r="J1" s="24"/>
      <c r="K1" s="1"/>
      <c r="L1" s="1"/>
      <c r="M1" s="2"/>
      <c r="N1" s="2"/>
      <c r="O1" s="2"/>
      <c r="P1" s="2"/>
      <c r="Q1" s="2"/>
      <c r="R1" s="2"/>
      <c r="S1" s="3"/>
      <c r="T1" s="7"/>
    </row>
    <row r="2" spans="1:20" x14ac:dyDescent="0.25">
      <c r="A2" s="23" t="s">
        <v>8</v>
      </c>
      <c r="B2" s="23">
        <v>2025</v>
      </c>
      <c r="C2" s="11"/>
      <c r="D2" s="11"/>
      <c r="E2" s="11"/>
      <c r="F2" s="11"/>
      <c r="G2" s="11"/>
      <c r="H2" s="11"/>
      <c r="I2" s="11"/>
      <c r="J2" s="25"/>
      <c r="K2" s="1"/>
      <c r="L2" s="1"/>
      <c r="M2" s="2"/>
      <c r="N2" s="2"/>
      <c r="O2" s="2"/>
      <c r="P2" s="2"/>
      <c r="Q2" s="2"/>
      <c r="R2" s="2"/>
      <c r="S2" s="3"/>
      <c r="T2" s="7"/>
    </row>
    <row r="3" spans="1:20" ht="25.5" x14ac:dyDescent="0.25">
      <c r="A3" s="26" t="s">
        <v>0</v>
      </c>
      <c r="B3" s="26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  <c r="K3" s="8"/>
      <c r="L3" s="8"/>
      <c r="M3" s="9"/>
      <c r="N3" s="9"/>
      <c r="O3" s="9"/>
      <c r="P3" s="9"/>
      <c r="Q3" s="9"/>
      <c r="R3" s="9"/>
      <c r="S3" s="10"/>
      <c r="T3" s="10"/>
    </row>
    <row r="4" spans="1:20" x14ac:dyDescent="0.25">
      <c r="A4" s="26"/>
      <c r="B4" s="26"/>
      <c r="C4" s="27"/>
      <c r="D4" s="27"/>
      <c r="E4" s="27"/>
      <c r="F4" s="27"/>
      <c r="G4" s="27"/>
      <c r="H4" s="28"/>
      <c r="I4" s="27"/>
      <c r="J4" s="27"/>
      <c r="K4" s="8"/>
      <c r="L4" s="8"/>
      <c r="M4" s="9"/>
      <c r="N4" s="9"/>
      <c r="O4" s="9"/>
      <c r="P4" s="9"/>
      <c r="Q4" s="9"/>
      <c r="R4" s="9"/>
      <c r="S4" s="10"/>
      <c r="T4" s="10"/>
    </row>
    <row r="5" spans="1:20" x14ac:dyDescent="0.25">
      <c r="A5" s="23" t="s">
        <v>11</v>
      </c>
      <c r="B5" s="29">
        <v>45680</v>
      </c>
      <c r="C5" s="23">
        <v>332090301</v>
      </c>
      <c r="D5" s="11" t="s">
        <v>12</v>
      </c>
      <c r="E5" s="30" t="s">
        <v>13</v>
      </c>
      <c r="F5" s="41">
        <v>14109.03</v>
      </c>
      <c r="G5" s="41">
        <v>12888.67</v>
      </c>
      <c r="H5" s="42">
        <v>1288.8</v>
      </c>
      <c r="I5" s="43">
        <f>H5*J5</f>
        <v>644.4</v>
      </c>
      <c r="J5" s="32">
        <v>0.5</v>
      </c>
      <c r="K5" s="12"/>
      <c r="L5" s="1"/>
      <c r="M5" s="2"/>
      <c r="N5" s="2"/>
      <c r="O5" s="2"/>
      <c r="P5" s="2"/>
      <c r="Q5" s="11"/>
      <c r="R5" s="2"/>
      <c r="S5" s="3"/>
      <c r="T5" s="7"/>
    </row>
    <row r="6" spans="1:20" x14ac:dyDescent="0.25">
      <c r="A6" s="29" t="s">
        <v>14</v>
      </c>
      <c r="B6" s="29">
        <v>45686</v>
      </c>
      <c r="C6" s="23">
        <v>332992955</v>
      </c>
      <c r="D6" s="11" t="s">
        <v>12</v>
      </c>
      <c r="E6" s="33" t="s">
        <v>13</v>
      </c>
      <c r="F6" s="41">
        <v>3093.61</v>
      </c>
      <c r="G6" s="41">
        <v>2780.29</v>
      </c>
      <c r="H6" s="44">
        <v>278</v>
      </c>
      <c r="I6" s="43">
        <f>H6*J6</f>
        <v>139</v>
      </c>
      <c r="J6" s="32">
        <v>0.5</v>
      </c>
      <c r="K6" s="1"/>
      <c r="L6" s="4"/>
      <c r="M6" s="1"/>
      <c r="N6" s="1"/>
      <c r="O6" s="2"/>
      <c r="P6" s="2"/>
      <c r="Q6" s="2"/>
      <c r="R6" s="2"/>
      <c r="S6" s="5"/>
      <c r="T6" s="14"/>
    </row>
    <row r="7" spans="1:20" x14ac:dyDescent="0.25">
      <c r="A7" s="23" t="s">
        <v>18</v>
      </c>
      <c r="B7" s="29">
        <v>45677</v>
      </c>
      <c r="C7" s="34">
        <v>311000382160269</v>
      </c>
      <c r="D7" s="11" t="s">
        <v>12</v>
      </c>
      <c r="E7" s="33" t="s">
        <v>13</v>
      </c>
      <c r="F7" s="41">
        <v>11573</v>
      </c>
      <c r="G7" s="41">
        <v>10370.530000000001</v>
      </c>
      <c r="H7" s="45">
        <v>1037</v>
      </c>
      <c r="I7" s="43">
        <f t="shared" ref="I7:I14" si="0">H7*J7</f>
        <v>518.5</v>
      </c>
      <c r="J7" s="32">
        <v>0.5</v>
      </c>
      <c r="K7" s="1"/>
      <c r="L7" s="1"/>
      <c r="M7" s="1"/>
      <c r="N7" s="2"/>
      <c r="O7" s="2"/>
      <c r="P7" s="2"/>
      <c r="Q7" s="2"/>
      <c r="R7" s="2"/>
      <c r="S7" s="5"/>
      <c r="T7" s="15"/>
    </row>
    <row r="8" spans="1:20" x14ac:dyDescent="0.25">
      <c r="A8" s="23" t="s">
        <v>18</v>
      </c>
      <c r="B8" s="29">
        <v>45670</v>
      </c>
      <c r="C8" s="35">
        <v>460000021743527</v>
      </c>
      <c r="D8" s="11" t="s">
        <v>22</v>
      </c>
      <c r="E8" s="33" t="s">
        <v>13</v>
      </c>
      <c r="F8" s="41">
        <v>350</v>
      </c>
      <c r="G8" s="41">
        <v>333.33</v>
      </c>
      <c r="H8" s="42">
        <v>33.299999999999997</v>
      </c>
      <c r="I8" s="43">
        <f t="shared" si="0"/>
        <v>16.649999999999999</v>
      </c>
      <c r="J8" s="32">
        <v>0.5</v>
      </c>
      <c r="K8" s="1"/>
      <c r="L8" s="1"/>
      <c r="M8" s="1"/>
      <c r="N8" s="2"/>
      <c r="O8" s="2"/>
      <c r="P8" s="2"/>
      <c r="Q8" s="2"/>
      <c r="R8" s="2"/>
      <c r="S8" s="5"/>
      <c r="T8" s="15"/>
    </row>
    <row r="9" spans="1:20" x14ac:dyDescent="0.25">
      <c r="A9" s="23" t="s">
        <v>19</v>
      </c>
      <c r="B9" s="29">
        <v>45676</v>
      </c>
      <c r="C9" s="35">
        <v>100000330281217</v>
      </c>
      <c r="D9" s="11" t="s">
        <v>12</v>
      </c>
      <c r="E9" s="33" t="s">
        <v>13</v>
      </c>
      <c r="F9" s="41">
        <v>5868.3</v>
      </c>
      <c r="G9" s="41">
        <v>5323.32</v>
      </c>
      <c r="H9" s="42">
        <v>532.29999999999995</v>
      </c>
      <c r="I9" s="43">
        <f t="shared" si="0"/>
        <v>266.14999999999998</v>
      </c>
      <c r="J9" s="32">
        <v>0.5</v>
      </c>
      <c r="K9" s="1"/>
      <c r="L9" s="1"/>
      <c r="M9" s="1"/>
      <c r="N9" s="2"/>
      <c r="O9" s="2"/>
      <c r="P9" s="2"/>
      <c r="Q9" s="2"/>
      <c r="R9" s="2"/>
      <c r="S9" s="3"/>
      <c r="T9" s="14"/>
    </row>
    <row r="10" spans="1:20" x14ac:dyDescent="0.25">
      <c r="A10" s="23" t="s">
        <v>20</v>
      </c>
      <c r="B10" s="29">
        <v>45677</v>
      </c>
      <c r="C10" s="35">
        <v>1028693121</v>
      </c>
      <c r="D10" s="11" t="s">
        <v>12</v>
      </c>
      <c r="E10" s="33" t="s">
        <v>13</v>
      </c>
      <c r="F10" s="41">
        <v>11519.45</v>
      </c>
      <c r="G10" s="41">
        <v>10285.200000000001</v>
      </c>
      <c r="H10" s="42">
        <v>1028.5</v>
      </c>
      <c r="I10" s="43">
        <f t="shared" si="0"/>
        <v>514.25</v>
      </c>
      <c r="J10" s="32">
        <v>0.5</v>
      </c>
      <c r="K10" s="1"/>
      <c r="L10" s="1"/>
      <c r="M10" s="1"/>
      <c r="N10" s="2"/>
      <c r="O10" s="2"/>
      <c r="P10" s="2"/>
      <c r="Q10" s="2"/>
      <c r="R10" s="2"/>
      <c r="S10" s="3"/>
      <c r="T10" s="14"/>
    </row>
    <row r="11" spans="1:20" x14ac:dyDescent="0.25">
      <c r="A11" s="23" t="s">
        <v>20</v>
      </c>
      <c r="B11" s="29">
        <v>45677</v>
      </c>
      <c r="C11" s="35">
        <v>1028980925</v>
      </c>
      <c r="D11" s="11" t="s">
        <v>22</v>
      </c>
      <c r="E11" s="33" t="s">
        <v>13</v>
      </c>
      <c r="F11" s="41">
        <v>8000</v>
      </c>
      <c r="G11" s="41">
        <v>7597.34</v>
      </c>
      <c r="H11" s="42">
        <v>759.7</v>
      </c>
      <c r="I11" s="43">
        <f t="shared" si="0"/>
        <v>379.85</v>
      </c>
      <c r="J11" s="32">
        <v>0.5</v>
      </c>
      <c r="K11" s="1"/>
      <c r="L11" s="1"/>
      <c r="M11" s="1"/>
      <c r="N11" s="2"/>
      <c r="O11" s="2"/>
      <c r="P11" s="2"/>
      <c r="Q11" s="2"/>
      <c r="R11" s="2"/>
      <c r="S11" s="3"/>
      <c r="T11" s="14"/>
    </row>
    <row r="12" spans="1:20" x14ac:dyDescent="0.25">
      <c r="A12" s="23" t="s">
        <v>21</v>
      </c>
      <c r="B12" s="29">
        <v>45682</v>
      </c>
      <c r="C12" s="35">
        <v>268441054236</v>
      </c>
      <c r="D12" s="11" t="s">
        <v>12</v>
      </c>
      <c r="E12" s="33" t="s">
        <v>13</v>
      </c>
      <c r="F12" s="41">
        <v>10983.71</v>
      </c>
      <c r="G12" s="41">
        <v>9922.85</v>
      </c>
      <c r="H12" s="42">
        <v>992.2</v>
      </c>
      <c r="I12" s="43">
        <f t="shared" si="0"/>
        <v>496.1</v>
      </c>
      <c r="J12" s="32">
        <v>0.5</v>
      </c>
      <c r="K12" s="1"/>
      <c r="L12" s="1"/>
      <c r="M12" s="1"/>
      <c r="N12" s="2"/>
      <c r="O12" s="2"/>
      <c r="P12" s="2"/>
      <c r="Q12" s="2"/>
      <c r="R12" s="2"/>
      <c r="S12" s="3"/>
      <c r="T12" s="14"/>
    </row>
    <row r="13" spans="1:20" x14ac:dyDescent="0.25">
      <c r="A13" s="23" t="s">
        <v>21</v>
      </c>
      <c r="B13" s="29">
        <v>45677</v>
      </c>
      <c r="C13" s="35">
        <v>368441000925</v>
      </c>
      <c r="D13" s="11" t="s">
        <v>23</v>
      </c>
      <c r="E13" s="33" t="s">
        <v>13</v>
      </c>
      <c r="F13" s="41">
        <v>976.5</v>
      </c>
      <c r="G13" s="41">
        <v>930</v>
      </c>
      <c r="H13" s="42">
        <v>93</v>
      </c>
      <c r="I13" s="43">
        <f t="shared" si="0"/>
        <v>46.5</v>
      </c>
      <c r="J13" s="32">
        <v>0.5</v>
      </c>
      <c r="K13" s="1"/>
      <c r="L13" s="1"/>
      <c r="M13" s="1"/>
      <c r="N13" s="2"/>
      <c r="O13" s="2"/>
      <c r="P13" s="2"/>
      <c r="Q13" s="2"/>
      <c r="R13" s="2"/>
      <c r="S13" s="3"/>
      <c r="T13" s="14"/>
    </row>
    <row r="14" spans="1:20" x14ac:dyDescent="0.25">
      <c r="A14" s="23" t="s">
        <v>17</v>
      </c>
      <c r="B14" s="29">
        <v>45670</v>
      </c>
      <c r="C14" s="23">
        <v>204654</v>
      </c>
      <c r="D14" s="11" t="s">
        <v>24</v>
      </c>
      <c r="E14" s="33" t="s">
        <v>13</v>
      </c>
      <c r="F14" s="41">
        <v>150</v>
      </c>
      <c r="G14" s="41">
        <v>150</v>
      </c>
      <c r="H14" s="46">
        <v>15</v>
      </c>
      <c r="I14" s="43">
        <f t="shared" si="0"/>
        <v>7.5</v>
      </c>
      <c r="J14" s="32">
        <v>0.5</v>
      </c>
      <c r="K14" s="1"/>
      <c r="L14" s="1"/>
      <c r="M14" s="1"/>
      <c r="N14" s="2"/>
      <c r="O14" s="2"/>
      <c r="P14" s="2"/>
      <c r="Q14" s="2"/>
      <c r="R14" s="2"/>
      <c r="S14" s="3"/>
      <c r="T14" s="14"/>
    </row>
    <row r="15" spans="1:20" x14ac:dyDescent="0.25">
      <c r="A15" s="22" t="s">
        <v>15</v>
      </c>
      <c r="B15" s="36">
        <v>45663</v>
      </c>
      <c r="C15" s="51">
        <v>301000112617188</v>
      </c>
      <c r="D15" s="37" t="s">
        <v>12</v>
      </c>
      <c r="E15" s="37" t="s">
        <v>13</v>
      </c>
      <c r="F15" s="37">
        <v>6649.32</v>
      </c>
      <c r="G15" s="37">
        <v>6144.89</v>
      </c>
      <c r="H15" s="38">
        <v>614.4</v>
      </c>
      <c r="I15" s="39">
        <f t="shared" ref="I15:I17" si="1">H15*J15</f>
        <v>307.2</v>
      </c>
      <c r="J15" s="40">
        <v>0.5</v>
      </c>
      <c r="K15" s="1"/>
      <c r="L15" s="1"/>
      <c r="M15" s="1"/>
      <c r="N15" s="2"/>
      <c r="O15" s="2"/>
      <c r="P15" s="2"/>
      <c r="Q15" s="2"/>
      <c r="R15" s="2"/>
      <c r="S15" s="3"/>
      <c r="T15" s="14"/>
    </row>
    <row r="16" spans="1:20" x14ac:dyDescent="0.25">
      <c r="A16" s="22" t="s">
        <v>16</v>
      </c>
      <c r="B16" s="36">
        <v>45664</v>
      </c>
      <c r="C16" s="51">
        <v>100000201124841</v>
      </c>
      <c r="D16" s="37" t="s">
        <v>12</v>
      </c>
      <c r="E16" s="37" t="s">
        <v>13</v>
      </c>
      <c r="F16" s="37">
        <v>1995.45</v>
      </c>
      <c r="G16" s="37">
        <v>1796.76</v>
      </c>
      <c r="H16" s="38">
        <v>179.6</v>
      </c>
      <c r="I16" s="39">
        <f t="shared" si="1"/>
        <v>89.8</v>
      </c>
      <c r="J16" s="40">
        <v>0.5</v>
      </c>
      <c r="K16" s="1"/>
      <c r="L16" s="1"/>
      <c r="M16" s="1"/>
      <c r="N16" s="2"/>
      <c r="O16" s="2"/>
      <c r="P16" s="2"/>
      <c r="Q16" s="2"/>
      <c r="R16" s="2"/>
      <c r="S16" s="3"/>
      <c r="T16" s="14"/>
    </row>
    <row r="17" spans="1:20" x14ac:dyDescent="0.25">
      <c r="A17" s="22" t="s">
        <v>17</v>
      </c>
      <c r="B17" s="36">
        <v>45668</v>
      </c>
      <c r="C17" s="51">
        <v>100000237436061</v>
      </c>
      <c r="D17" s="37" t="s">
        <v>12</v>
      </c>
      <c r="E17" s="37" t="s">
        <v>13</v>
      </c>
      <c r="F17" s="37">
        <v>1848.95</v>
      </c>
      <c r="G17" s="37">
        <v>1681.75</v>
      </c>
      <c r="H17" s="38">
        <v>168.1</v>
      </c>
      <c r="I17" s="39">
        <f t="shared" si="1"/>
        <v>84.05</v>
      </c>
      <c r="J17" s="40">
        <v>0.5</v>
      </c>
      <c r="K17" s="1"/>
      <c r="L17" s="1"/>
      <c r="M17" s="1"/>
      <c r="N17" s="2"/>
      <c r="O17" s="2"/>
      <c r="P17" s="2"/>
      <c r="Q17" s="2"/>
      <c r="R17" s="2"/>
      <c r="S17" s="3"/>
      <c r="T17" s="14"/>
    </row>
    <row r="18" spans="1:20" x14ac:dyDescent="0.25">
      <c r="A18" s="22"/>
      <c r="B18" s="36"/>
      <c r="C18" s="22"/>
      <c r="D18" s="37"/>
      <c r="E18" s="37"/>
      <c r="F18" s="37"/>
      <c r="G18" s="37"/>
      <c r="H18" s="38"/>
      <c r="I18" s="37"/>
      <c r="J18" s="49"/>
      <c r="K18" s="1"/>
      <c r="L18" s="1"/>
      <c r="M18" s="1"/>
      <c r="N18" s="2"/>
      <c r="O18" s="2"/>
      <c r="P18" s="2"/>
      <c r="Q18" s="2"/>
      <c r="R18" s="2"/>
      <c r="S18" s="3"/>
      <c r="T18" s="14"/>
    </row>
    <row r="19" spans="1:20" x14ac:dyDescent="0.25">
      <c r="A19" s="23"/>
      <c r="B19" s="29"/>
      <c r="C19" s="35"/>
      <c r="D19" s="11"/>
      <c r="E19" s="11"/>
      <c r="F19" s="11"/>
      <c r="G19" s="11"/>
      <c r="H19" s="31"/>
      <c r="I19" s="11"/>
      <c r="J19" s="50"/>
      <c r="K19" s="1"/>
      <c r="L19" s="1"/>
      <c r="M19" s="1"/>
      <c r="N19" s="2"/>
      <c r="O19" s="2"/>
      <c r="P19" s="2"/>
      <c r="Q19" s="2"/>
      <c r="R19" s="2"/>
      <c r="S19" s="3"/>
      <c r="T19" s="14"/>
    </row>
    <row r="20" spans="1:20" x14ac:dyDescent="0.25">
      <c r="A20" s="23"/>
      <c r="B20" s="29"/>
      <c r="C20" s="35"/>
      <c r="D20" s="11"/>
      <c r="E20" s="11"/>
      <c r="F20" s="11"/>
      <c r="G20" s="11"/>
      <c r="H20" s="31"/>
      <c r="I20" s="11"/>
      <c r="J20" s="50"/>
      <c r="K20" s="1"/>
      <c r="L20" s="1"/>
      <c r="M20" s="1"/>
      <c r="N20" s="2"/>
      <c r="O20" s="2"/>
      <c r="P20" s="2"/>
      <c r="Q20" s="2"/>
      <c r="R20" s="2"/>
      <c r="S20" s="3"/>
      <c r="T20" s="14"/>
    </row>
    <row r="21" spans="1:20" x14ac:dyDescent="0.25">
      <c r="A21" s="23"/>
      <c r="B21" s="29"/>
      <c r="C21" s="23"/>
      <c r="D21" s="11"/>
      <c r="E21" s="11" t="s">
        <v>10</v>
      </c>
      <c r="F21" s="11">
        <f>F5+F6+F7+F8+F9+F10+F11+F12+F13+F14</f>
        <v>66623.600000000006</v>
      </c>
      <c r="G21" s="11">
        <f>G5+G6+G7+G8+G9+G10+G11+G12+G13+G14</f>
        <v>60581.529999999992</v>
      </c>
      <c r="H21" s="31">
        <f>H5+H6+H7+H8+H9+H10+H11+H12+H13+H14</f>
        <v>6057.8</v>
      </c>
      <c r="I21" s="47">
        <f>I5+I6+I7+I8+I9+I10+I11+I12+I13+I14</f>
        <v>3028.9</v>
      </c>
      <c r="J21" s="48"/>
      <c r="K21" s="1"/>
      <c r="L21" s="1"/>
      <c r="M21" s="1"/>
      <c r="N21" s="2"/>
      <c r="O21" s="2"/>
      <c r="P21" s="2"/>
      <c r="Q21" s="2"/>
      <c r="R21" s="2"/>
      <c r="S21" s="3"/>
      <c r="T21" s="14"/>
    </row>
    <row r="22" spans="1:20" x14ac:dyDescent="0.25">
      <c r="A22" s="1"/>
      <c r="B22" s="4"/>
      <c r="C22" s="1"/>
      <c r="D22" s="2"/>
      <c r="E22" s="52" t="s">
        <v>25</v>
      </c>
      <c r="F22" s="52">
        <f>F15+F16+F17</f>
        <v>10493.720000000001</v>
      </c>
      <c r="G22" s="52">
        <f>G15+G16+G17</f>
        <v>9623.4000000000015</v>
      </c>
      <c r="H22" s="53">
        <f>H15+H16+H17</f>
        <v>962.1</v>
      </c>
      <c r="I22" s="54">
        <f>I15+I16+I17</f>
        <v>481.05</v>
      </c>
      <c r="J22" s="21"/>
      <c r="K22" s="1"/>
      <c r="L22" s="1"/>
      <c r="M22" s="1"/>
      <c r="N22" s="2"/>
      <c r="O22" s="2"/>
      <c r="P22" s="2"/>
      <c r="Q22" s="2"/>
      <c r="R22" s="2"/>
      <c r="S22" s="3"/>
      <c r="T22" s="14"/>
    </row>
    <row r="23" spans="1:20" x14ac:dyDescent="0.25">
      <c r="A23" s="1"/>
      <c r="B23" s="4"/>
      <c r="C23" s="1"/>
      <c r="D23" s="2"/>
      <c r="E23" s="2"/>
      <c r="F23" s="2"/>
      <c r="G23" s="2"/>
      <c r="H23" s="5"/>
      <c r="I23" s="13"/>
      <c r="J23" s="1"/>
      <c r="K23" s="1"/>
      <c r="L23" s="1"/>
      <c r="M23" s="1"/>
      <c r="N23" s="2"/>
      <c r="O23" s="2"/>
      <c r="P23" s="2"/>
      <c r="Q23" s="2"/>
      <c r="R23" s="2"/>
      <c r="S23" s="3"/>
      <c r="T23" s="14"/>
    </row>
    <row r="24" spans="1:20" x14ac:dyDescent="0.25">
      <c r="A24" s="1"/>
      <c r="B24" s="4"/>
      <c r="C24" s="1"/>
      <c r="D24" s="2"/>
      <c r="E24" s="2"/>
      <c r="F24" s="2"/>
      <c r="G24" s="2"/>
      <c r="H24" s="5"/>
      <c r="I24" s="13"/>
      <c r="J24" s="1"/>
      <c r="K24" s="12"/>
      <c r="L24" s="4"/>
      <c r="M24" s="1"/>
      <c r="N24" s="2"/>
      <c r="O24" s="2"/>
      <c r="P24" s="2"/>
      <c r="Q24" s="2"/>
      <c r="R24" s="2"/>
      <c r="S24" s="3"/>
      <c r="T24" s="14"/>
    </row>
    <row r="25" spans="1:20" x14ac:dyDescent="0.25">
      <c r="A25" s="1"/>
      <c r="B25" s="4"/>
      <c r="C25" s="1"/>
      <c r="D25" s="2"/>
      <c r="E25" s="2" t="s">
        <v>26</v>
      </c>
      <c r="F25" s="2">
        <f>F21-F22</f>
        <v>56129.880000000005</v>
      </c>
      <c r="G25" s="2"/>
      <c r="H25" s="5"/>
      <c r="I25" s="6">
        <f>I21-I22</f>
        <v>2547.85</v>
      </c>
      <c r="J25" s="1"/>
      <c r="K25" s="12"/>
      <c r="L25" s="4"/>
      <c r="M25" s="1"/>
      <c r="N25" s="2"/>
      <c r="O25" s="2"/>
      <c r="P25" s="2"/>
      <c r="Q25" s="2"/>
      <c r="R25" s="2"/>
      <c r="S25" s="3"/>
      <c r="T25" s="14"/>
    </row>
    <row r="26" spans="1:20" x14ac:dyDescent="0.25">
      <c r="A26" s="1"/>
      <c r="B26" s="4"/>
      <c r="C26" s="1"/>
      <c r="D26" s="2"/>
      <c r="E26" s="2"/>
      <c r="F26" s="2"/>
      <c r="G26" s="2"/>
      <c r="H26" s="5"/>
      <c r="I26" s="13"/>
      <c r="J26" s="12"/>
      <c r="K26" s="12"/>
      <c r="L26" s="12"/>
      <c r="M26" s="1"/>
      <c r="N26" s="2"/>
      <c r="O26" s="2"/>
      <c r="P26" s="2"/>
      <c r="Q26" s="2"/>
      <c r="R26" s="2"/>
      <c r="S26" s="3"/>
      <c r="T26" s="14"/>
    </row>
    <row r="27" spans="1:20" x14ac:dyDescent="0.25">
      <c r="A27" s="1"/>
      <c r="B27" s="4"/>
      <c r="C27" s="1"/>
      <c r="D27" s="2"/>
      <c r="E27" s="2"/>
      <c r="F27" s="2"/>
      <c r="G27" s="2"/>
      <c r="H27" s="16"/>
      <c r="I27" s="13"/>
      <c r="J27" s="1"/>
      <c r="K27" s="12"/>
      <c r="L27" s="1"/>
      <c r="M27" s="1"/>
      <c r="N27" s="2"/>
      <c r="O27" s="2"/>
      <c r="P27" s="2"/>
      <c r="Q27" s="2"/>
      <c r="R27" s="2"/>
      <c r="S27" s="3"/>
      <c r="T27" s="14"/>
    </row>
    <row r="28" spans="1:20" x14ac:dyDescent="0.25">
      <c r="A28" s="1"/>
      <c r="B28" s="4"/>
      <c r="C28" s="1"/>
      <c r="D28" s="2"/>
      <c r="E28" s="2"/>
      <c r="F28" s="2"/>
      <c r="G28" s="2"/>
      <c r="H28" s="17"/>
      <c r="I28" s="13"/>
      <c r="J28" s="1"/>
      <c r="K28" s="1"/>
      <c r="L28" s="1"/>
      <c r="M28" s="1"/>
      <c r="N28" s="2"/>
      <c r="O28" s="2"/>
      <c r="P28" s="2"/>
      <c r="Q28" s="2"/>
      <c r="R28" s="2"/>
      <c r="S28" s="3"/>
      <c r="T28" s="14"/>
    </row>
    <row r="29" spans="1:20" x14ac:dyDescent="0.25">
      <c r="A29" s="1"/>
      <c r="B29" s="4"/>
      <c r="C29" s="1"/>
      <c r="D29" s="2"/>
      <c r="E29" s="2"/>
      <c r="F29" s="2"/>
      <c r="G29" s="2"/>
      <c r="H29" s="17"/>
      <c r="I29" s="13"/>
      <c r="J29" s="1"/>
      <c r="K29" s="1"/>
      <c r="L29" s="1"/>
      <c r="M29" s="1"/>
      <c r="N29" s="2"/>
      <c r="O29" s="2"/>
      <c r="P29" s="2"/>
      <c r="Q29" s="2"/>
      <c r="R29" s="2"/>
      <c r="S29" s="3"/>
      <c r="T29" s="14"/>
    </row>
    <row r="30" spans="1:20" x14ac:dyDescent="0.25">
      <c r="A30" s="1"/>
      <c r="B30" s="4"/>
      <c r="C30" s="1"/>
      <c r="D30" s="2"/>
      <c r="E30" s="2"/>
      <c r="F30" s="2"/>
      <c r="G30" s="2"/>
      <c r="H30" s="17"/>
      <c r="I30" s="13"/>
      <c r="J30" s="1"/>
      <c r="K30" s="1"/>
      <c r="L30" s="1"/>
      <c r="M30" s="2"/>
      <c r="N30" s="2"/>
      <c r="O30" s="2"/>
      <c r="P30" s="2"/>
      <c r="Q30" s="2"/>
      <c r="R30" s="2"/>
      <c r="S30" s="3"/>
      <c r="T30" s="14"/>
    </row>
    <row r="31" spans="1:20" x14ac:dyDescent="0.25">
      <c r="A31" s="1"/>
      <c r="B31" s="4"/>
      <c r="C31" s="1"/>
      <c r="D31" s="2"/>
      <c r="E31" s="2"/>
      <c r="F31" s="2"/>
      <c r="G31" s="2"/>
      <c r="H31" s="17"/>
      <c r="I31" s="13"/>
      <c r="J31" s="1"/>
      <c r="K31" s="1"/>
      <c r="L31" s="1"/>
      <c r="M31" s="2"/>
      <c r="N31" s="2"/>
      <c r="O31" s="2"/>
      <c r="P31" s="2"/>
      <c r="Q31" s="2"/>
      <c r="R31" s="2"/>
      <c r="S31" s="3"/>
      <c r="T31" s="14"/>
    </row>
    <row r="32" spans="1:20" x14ac:dyDescent="0.25">
      <c r="A32" s="12"/>
      <c r="B32" s="18"/>
      <c r="C32" s="1"/>
      <c r="D32" s="2"/>
      <c r="E32" s="2"/>
      <c r="F32" s="2"/>
      <c r="G32" s="19"/>
      <c r="H32" s="20"/>
      <c r="I32" s="13"/>
      <c r="J32" s="1"/>
      <c r="K32" s="1"/>
      <c r="L32" s="1"/>
      <c r="M32" s="2"/>
      <c r="N32" s="2"/>
      <c r="O32" s="2"/>
      <c r="P32" s="2"/>
      <c r="Q32" s="2"/>
      <c r="R32" s="2"/>
      <c r="S32" s="3"/>
      <c r="T32" s="7"/>
    </row>
    <row r="33" spans="1:20" x14ac:dyDescent="0.25">
      <c r="A33" s="12"/>
      <c r="B33" s="18"/>
      <c r="C33" s="1"/>
      <c r="D33" s="2"/>
      <c r="E33" s="2"/>
      <c r="F33" s="2"/>
      <c r="G33" s="2"/>
      <c r="H33" s="3"/>
      <c r="I33" s="13"/>
      <c r="J33" s="1"/>
      <c r="K33" s="1"/>
      <c r="L33" s="1"/>
      <c r="M33" s="2"/>
      <c r="N33" s="2"/>
      <c r="O33" s="2"/>
      <c r="P33" s="2"/>
      <c r="Q33" s="2"/>
      <c r="R33" s="2"/>
      <c r="S33" s="3"/>
      <c r="T33" s="7"/>
    </row>
  </sheetData>
  <mergeCells count="1">
    <mergeCell ref="D1:E1"/>
  </mergeCells>
  <conditionalFormatting sqref="C1:C4 P5:P6">
    <cfRule type="cellIs" dxfId="146" priority="8" operator="equal">
      <formula>15698.2</formula>
    </cfRule>
    <cfRule type="cellIs" dxfId="145" priority="9" operator="equal">
      <formula>"kapalı"</formula>
    </cfRule>
  </conditionalFormatting>
  <conditionalFormatting sqref="D1 F1:H1 D2:H4 J3:J4 Q3:Q6 G5:G26 P7:Q33">
    <cfRule type="cellIs" dxfId="144" priority="10" operator="equal">
      <formula>"K.KART"</formula>
    </cfRule>
  </conditionalFormatting>
  <conditionalFormatting sqref="D5:E14">
    <cfRule type="cellIs" dxfId="143" priority="1" operator="equal">
      <formula>15698.2</formula>
    </cfRule>
    <cfRule type="cellIs" dxfId="142" priority="2" operator="equal">
      <formula>"kapalı"</formula>
    </cfRule>
  </conditionalFormatting>
  <conditionalFormatting sqref="D15:F33">
    <cfRule type="cellIs" dxfId="141" priority="6" operator="equal">
      <formula>15698.2</formula>
    </cfRule>
    <cfRule type="cellIs" dxfId="140" priority="7" operator="equal">
      <formula>"kapalı"</formula>
    </cfRule>
  </conditionalFormatting>
  <conditionalFormatting sqref="F5:F6">
    <cfRule type="cellIs" dxfId="139" priority="5" operator="equal">
      <formula>"K.KART"</formula>
    </cfRule>
  </conditionalFormatting>
  <conditionalFormatting sqref="F6:F14">
    <cfRule type="cellIs" dxfId="138" priority="3" operator="equal">
      <formula>15698.2</formula>
    </cfRule>
    <cfRule type="cellIs" dxfId="137" priority="4" operator="equal">
      <formula>"kapalı"</formula>
    </cfRule>
  </conditionalFormatting>
  <conditionalFormatting sqref="G26:H33">
    <cfRule type="cellIs" dxfId="136" priority="32" operator="equal">
      <formula>"K.KART"</formula>
    </cfRule>
  </conditionalFormatting>
  <conditionalFormatting sqref="M2:N4">
    <cfRule type="cellIs" dxfId="135" priority="11" operator="equal">
      <formula>15698.2</formula>
    </cfRule>
    <cfRule type="cellIs" dxfId="134" priority="12" operator="equal">
      <formula>"kapalı"</formula>
    </cfRule>
  </conditionalFormatting>
  <conditionalFormatting sqref="M1:O5 N6:O29 M29:O33">
    <cfRule type="cellIs" dxfId="133" priority="33" operator="equal">
      <formula>15698.2</formula>
    </cfRule>
  </conditionalFormatting>
  <conditionalFormatting sqref="M1:O5">
    <cfRule type="cellIs" dxfId="132" priority="14" operator="equal">
      <formula>"KAPALI"</formula>
    </cfRule>
    <cfRule type="cellIs" dxfId="131" priority="15" operator="equal">
      <formula>"açık"</formula>
    </cfRule>
  </conditionalFormatting>
  <conditionalFormatting sqref="M29:O33">
    <cfRule type="cellIs" dxfId="130" priority="28" operator="equal">
      <formula>"KAPALI"</formula>
    </cfRule>
    <cfRule type="cellIs" dxfId="129" priority="29" operator="equal">
      <formula>"açık"</formula>
    </cfRule>
  </conditionalFormatting>
  <conditionalFormatting sqref="O5 N6:O29">
    <cfRule type="cellIs" dxfId="128" priority="25" operator="equal">
      <formula>"kapalı"</formula>
    </cfRule>
  </conditionalFormatting>
  <conditionalFormatting sqref="O2:T4">
    <cfRule type="cellIs" dxfId="127" priority="13" operator="equal">
      <formula>"K.KART"</formula>
    </cfRule>
  </conditionalFormatting>
  <conditionalFormatting sqref="P1:Q2 P3:P5">
    <cfRule type="cellIs" dxfId="126" priority="34" operator="equal">
      <formula>"K.KART"</formula>
    </cfRule>
  </conditionalFormatting>
  <pageMargins left="0.7" right="0.7" top="0.75" bottom="0.75" header="0.3" footer="0.3"/>
  <pageSetup paperSize="9" scale="71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3C6B-7593-4C0A-A9D7-8F481E24BCB0}">
  <dimension ref="A1:J38"/>
  <sheetViews>
    <sheetView topLeftCell="A7" workbookViewId="0">
      <selection activeCell="I29" sqref="I29"/>
    </sheetView>
  </sheetViews>
  <sheetFormatPr defaultRowHeight="15" x14ac:dyDescent="0.25"/>
  <cols>
    <col min="1" max="1" width="17.5703125" customWidth="1"/>
    <col min="2" max="2" width="11.7109375" customWidth="1"/>
    <col min="3" max="3" width="17.42578125" customWidth="1"/>
    <col min="4" max="4" width="10.85546875" customWidth="1"/>
    <col min="6" max="6" width="12.85546875" customWidth="1"/>
    <col min="7" max="7" width="13.28515625" customWidth="1"/>
    <col min="8" max="8" width="10.7109375" customWidth="1"/>
    <col min="9" max="9" width="12.5703125" customWidth="1"/>
    <col min="10" max="10" width="5.85546875" customWidth="1"/>
  </cols>
  <sheetData>
    <row r="1" spans="1:10" x14ac:dyDescent="0.25">
      <c r="A1" s="23"/>
      <c r="B1" s="23"/>
      <c r="C1" s="11"/>
      <c r="D1" s="101" t="s">
        <v>27</v>
      </c>
      <c r="E1" s="102"/>
      <c r="F1" s="11"/>
      <c r="G1" s="11"/>
      <c r="H1" s="11"/>
      <c r="I1" s="11"/>
      <c r="J1" s="24"/>
    </row>
    <row r="2" spans="1:10" x14ac:dyDescent="0.25">
      <c r="A2" s="23" t="s">
        <v>29</v>
      </c>
      <c r="B2" s="23">
        <v>2025</v>
      </c>
      <c r="C2" s="11"/>
      <c r="D2" s="11"/>
      <c r="E2" s="11"/>
      <c r="F2" s="11"/>
      <c r="G2" s="11"/>
      <c r="H2" s="11"/>
      <c r="I2" s="11"/>
      <c r="J2" s="25"/>
    </row>
    <row r="3" spans="1:10" ht="25.5" x14ac:dyDescent="0.25">
      <c r="A3" s="26" t="s">
        <v>0</v>
      </c>
      <c r="B3" s="26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</row>
    <row r="4" spans="1:10" x14ac:dyDescent="0.25">
      <c r="A4" s="26"/>
      <c r="B4" s="26"/>
      <c r="C4" s="27"/>
      <c r="D4" s="27"/>
      <c r="E4" s="27"/>
      <c r="F4" s="27"/>
      <c r="G4" s="27"/>
      <c r="H4" s="28"/>
      <c r="I4" s="27"/>
      <c r="J4" s="27"/>
    </row>
    <row r="5" spans="1:10" x14ac:dyDescent="0.25">
      <c r="A5" s="23" t="s">
        <v>30</v>
      </c>
      <c r="B5" s="29">
        <v>45689</v>
      </c>
      <c r="C5" s="23">
        <v>146923154</v>
      </c>
      <c r="D5" s="11" t="s">
        <v>12</v>
      </c>
      <c r="E5" s="55" t="s">
        <v>13</v>
      </c>
      <c r="F5" s="41">
        <v>23792.3</v>
      </c>
      <c r="G5" s="41">
        <v>21614.37</v>
      </c>
      <c r="H5" s="42">
        <v>2161.4</v>
      </c>
      <c r="I5" s="43">
        <f>H5*J5</f>
        <v>1080.7</v>
      </c>
      <c r="J5" s="32">
        <v>0.5</v>
      </c>
    </row>
    <row r="6" spans="1:10" x14ac:dyDescent="0.25">
      <c r="A6" s="23" t="s">
        <v>30</v>
      </c>
      <c r="B6" s="29">
        <v>45689</v>
      </c>
      <c r="C6" s="23">
        <v>146923737</v>
      </c>
      <c r="D6" s="11" t="s">
        <v>22</v>
      </c>
      <c r="E6" s="55" t="s">
        <v>13</v>
      </c>
      <c r="F6" s="41">
        <v>1920</v>
      </c>
      <c r="G6" s="41">
        <v>1920</v>
      </c>
      <c r="H6" s="42">
        <v>192</v>
      </c>
      <c r="I6" s="43">
        <v>96</v>
      </c>
      <c r="J6" s="32">
        <v>0.5</v>
      </c>
    </row>
    <row r="7" spans="1:10" x14ac:dyDescent="0.25">
      <c r="A7" s="23" t="s">
        <v>30</v>
      </c>
      <c r="B7" s="29">
        <v>45689</v>
      </c>
      <c r="C7" s="23">
        <v>146923971</v>
      </c>
      <c r="D7" s="11" t="s">
        <v>22</v>
      </c>
      <c r="E7" s="55" t="s">
        <v>13</v>
      </c>
      <c r="F7" s="41">
        <v>2002.08</v>
      </c>
      <c r="G7" s="41">
        <v>1905.23</v>
      </c>
      <c r="H7" s="42">
        <v>190.5</v>
      </c>
      <c r="I7" s="43">
        <f>H7*J7</f>
        <v>95.25</v>
      </c>
      <c r="J7" s="32">
        <v>0.5</v>
      </c>
    </row>
    <row r="8" spans="1:10" x14ac:dyDescent="0.25">
      <c r="A8" s="29" t="s">
        <v>31</v>
      </c>
      <c r="B8" s="29">
        <v>45689</v>
      </c>
      <c r="C8" s="23">
        <v>29758765</v>
      </c>
      <c r="D8" s="11" t="s">
        <v>12</v>
      </c>
      <c r="E8" s="55" t="s">
        <v>13</v>
      </c>
      <c r="F8" s="41">
        <v>17514.77</v>
      </c>
      <c r="G8" s="41">
        <v>15899.45</v>
      </c>
      <c r="H8" s="44">
        <v>1589.9</v>
      </c>
      <c r="I8" s="43">
        <f t="shared" ref="I8:I23" si="0">H8*J8</f>
        <v>794.95</v>
      </c>
      <c r="J8" s="32">
        <v>0.5</v>
      </c>
    </row>
    <row r="9" spans="1:10" x14ac:dyDescent="0.25">
      <c r="A9" s="29" t="s">
        <v>31</v>
      </c>
      <c r="B9" s="29">
        <v>45689</v>
      </c>
      <c r="C9" s="23">
        <v>29758765</v>
      </c>
      <c r="D9" s="11" t="s">
        <v>22</v>
      </c>
      <c r="E9" s="55" t="s">
        <v>13</v>
      </c>
      <c r="F9" s="41">
        <v>3001.14</v>
      </c>
      <c r="G9" s="41">
        <v>2837.95</v>
      </c>
      <c r="H9" s="44">
        <v>255.33</v>
      </c>
      <c r="I9" s="43">
        <f>H9*J9</f>
        <v>127.66500000000001</v>
      </c>
      <c r="J9" s="32">
        <v>0.5</v>
      </c>
    </row>
    <row r="10" spans="1:10" x14ac:dyDescent="0.25">
      <c r="A10" s="23" t="s">
        <v>32</v>
      </c>
      <c r="B10" s="29">
        <v>45689</v>
      </c>
      <c r="C10" s="34">
        <v>337848781</v>
      </c>
      <c r="D10" s="11" t="s">
        <v>12</v>
      </c>
      <c r="E10" s="55" t="s">
        <v>13</v>
      </c>
      <c r="F10" s="41">
        <v>14566.76</v>
      </c>
      <c r="G10" s="41">
        <v>13277.63</v>
      </c>
      <c r="H10" s="45">
        <v>1327.7</v>
      </c>
      <c r="I10" s="43">
        <f t="shared" si="0"/>
        <v>663.85</v>
      </c>
      <c r="J10" s="32">
        <v>0.5</v>
      </c>
    </row>
    <row r="11" spans="1:10" x14ac:dyDescent="0.25">
      <c r="A11" s="23" t="s">
        <v>32</v>
      </c>
      <c r="B11" s="29">
        <v>45689</v>
      </c>
      <c r="C11" s="34">
        <v>301298</v>
      </c>
      <c r="D11" s="11" t="s">
        <v>24</v>
      </c>
      <c r="E11" s="55" t="s">
        <v>13</v>
      </c>
      <c r="F11" s="41">
        <v>150</v>
      </c>
      <c r="G11" s="41">
        <v>150</v>
      </c>
      <c r="H11" s="45">
        <v>15</v>
      </c>
      <c r="I11" s="43">
        <v>7.5</v>
      </c>
      <c r="J11" s="32">
        <v>0.5</v>
      </c>
    </row>
    <row r="12" spans="1:10" x14ac:dyDescent="0.25">
      <c r="A12" s="23" t="s">
        <v>33</v>
      </c>
      <c r="B12" s="29">
        <v>45703</v>
      </c>
      <c r="C12" s="35">
        <v>74087624</v>
      </c>
      <c r="D12" s="11" t="s">
        <v>12</v>
      </c>
      <c r="E12" s="55" t="s">
        <v>13</v>
      </c>
      <c r="F12" s="41">
        <v>14830.58</v>
      </c>
      <c r="G12" s="41">
        <v>13511.59</v>
      </c>
      <c r="H12" s="42">
        <v>1351.1</v>
      </c>
      <c r="I12" s="43">
        <f t="shared" si="0"/>
        <v>675.55</v>
      </c>
      <c r="J12" s="32">
        <v>0.5</v>
      </c>
    </row>
    <row r="13" spans="1:10" x14ac:dyDescent="0.25">
      <c r="A13" s="23" t="s">
        <v>34</v>
      </c>
      <c r="B13" s="29">
        <v>45708</v>
      </c>
      <c r="C13" s="35">
        <v>148155192</v>
      </c>
      <c r="D13" s="11" t="s">
        <v>12</v>
      </c>
      <c r="E13" s="55" t="s">
        <v>13</v>
      </c>
      <c r="F13" s="41">
        <v>12540.9</v>
      </c>
      <c r="G13" s="41">
        <v>11394.86</v>
      </c>
      <c r="H13" s="42">
        <v>1139.4000000000001</v>
      </c>
      <c r="I13" s="43">
        <f t="shared" si="0"/>
        <v>569.70000000000005</v>
      </c>
      <c r="J13" s="32">
        <v>0.5</v>
      </c>
    </row>
    <row r="14" spans="1:10" x14ac:dyDescent="0.25">
      <c r="A14" s="23" t="s">
        <v>34</v>
      </c>
      <c r="B14" s="29">
        <v>45708</v>
      </c>
      <c r="C14" s="35">
        <v>148155426</v>
      </c>
      <c r="D14" s="11" t="s">
        <v>22</v>
      </c>
      <c r="E14" s="56" t="s">
        <v>13</v>
      </c>
      <c r="F14" s="41">
        <v>1000.38</v>
      </c>
      <c r="G14" s="41">
        <v>952.7</v>
      </c>
      <c r="H14" s="42">
        <v>95.2</v>
      </c>
      <c r="I14" s="43">
        <v>47.6</v>
      </c>
      <c r="J14" s="32">
        <v>0.5</v>
      </c>
    </row>
    <row r="15" spans="1:10" x14ac:dyDescent="0.25">
      <c r="A15" s="23" t="s">
        <v>34</v>
      </c>
      <c r="B15" s="29">
        <v>45708</v>
      </c>
      <c r="C15" s="35">
        <v>148155426</v>
      </c>
      <c r="D15" s="11" t="s">
        <v>22</v>
      </c>
      <c r="E15" s="56" t="s">
        <v>13</v>
      </c>
      <c r="F15" s="41">
        <v>992.5</v>
      </c>
      <c r="G15" s="41">
        <v>992.5</v>
      </c>
      <c r="H15" s="42">
        <v>99.2</v>
      </c>
      <c r="I15" s="43">
        <v>49.6</v>
      </c>
      <c r="J15" s="32">
        <v>0.5</v>
      </c>
    </row>
    <row r="16" spans="1:10" x14ac:dyDescent="0.25">
      <c r="A16" s="29" t="s">
        <v>35</v>
      </c>
      <c r="B16" s="29">
        <v>45716</v>
      </c>
      <c r="C16" s="35">
        <v>346412237</v>
      </c>
      <c r="D16" s="11" t="s">
        <v>12</v>
      </c>
      <c r="E16" s="56" t="s">
        <v>13</v>
      </c>
      <c r="F16" s="41">
        <v>6614.5</v>
      </c>
      <c r="G16" s="41">
        <v>6006.49</v>
      </c>
      <c r="H16" s="42">
        <v>600.6</v>
      </c>
      <c r="I16" s="43">
        <f t="shared" si="0"/>
        <v>300.3</v>
      </c>
      <c r="J16" s="32">
        <v>0.5</v>
      </c>
    </row>
    <row r="17" spans="1:10" x14ac:dyDescent="0.25">
      <c r="A17" s="22" t="s">
        <v>36</v>
      </c>
      <c r="B17" s="36">
        <v>45691</v>
      </c>
      <c r="C17" s="51">
        <v>311000278325650</v>
      </c>
      <c r="D17" s="37" t="s">
        <v>12</v>
      </c>
      <c r="E17" s="37" t="s">
        <v>13</v>
      </c>
      <c r="F17" s="57">
        <v>2320.4299999999998</v>
      </c>
      <c r="G17" s="57">
        <v>2098.1799999999998</v>
      </c>
      <c r="H17" s="58">
        <v>209.8</v>
      </c>
      <c r="I17" s="57">
        <f t="shared" si="0"/>
        <v>104.9</v>
      </c>
      <c r="J17" s="49">
        <v>0.5</v>
      </c>
    </row>
    <row r="18" spans="1:10" x14ac:dyDescent="0.25">
      <c r="A18" s="22" t="s">
        <v>37</v>
      </c>
      <c r="B18" s="36">
        <v>45693</v>
      </c>
      <c r="C18" s="51">
        <v>28913324</v>
      </c>
      <c r="D18" s="37" t="s">
        <v>12</v>
      </c>
      <c r="E18" s="37" t="s">
        <v>13</v>
      </c>
      <c r="F18" s="57">
        <v>7690.81</v>
      </c>
      <c r="G18" s="57">
        <v>6941.09</v>
      </c>
      <c r="H18" s="58">
        <v>694.1</v>
      </c>
      <c r="I18" s="57">
        <f t="shared" si="0"/>
        <v>347.05</v>
      </c>
      <c r="J18" s="49">
        <v>0.5</v>
      </c>
    </row>
    <row r="19" spans="1:10" x14ac:dyDescent="0.25">
      <c r="A19" s="22" t="s">
        <v>38</v>
      </c>
      <c r="B19" s="36">
        <v>45699</v>
      </c>
      <c r="C19" s="51">
        <v>28558092</v>
      </c>
      <c r="D19" s="37" t="s">
        <v>12</v>
      </c>
      <c r="E19" s="37" t="s">
        <v>13</v>
      </c>
      <c r="F19" s="57">
        <v>5010.6000000000004</v>
      </c>
      <c r="G19" s="57">
        <v>4531.58</v>
      </c>
      <c r="H19" s="58">
        <v>453.1</v>
      </c>
      <c r="I19" s="57">
        <f t="shared" si="0"/>
        <v>226.55</v>
      </c>
      <c r="J19" s="49">
        <v>0.5</v>
      </c>
    </row>
    <row r="20" spans="1:10" x14ac:dyDescent="0.25">
      <c r="A20" s="22" t="s">
        <v>39</v>
      </c>
      <c r="B20" s="36">
        <v>45700</v>
      </c>
      <c r="C20" s="22">
        <v>130497633</v>
      </c>
      <c r="D20" s="37" t="s">
        <v>12</v>
      </c>
      <c r="E20" s="37" t="s">
        <v>13</v>
      </c>
      <c r="F20" s="57">
        <v>1433.45</v>
      </c>
      <c r="G20" s="57">
        <v>1295.01</v>
      </c>
      <c r="H20" s="58">
        <v>129.5</v>
      </c>
      <c r="I20" s="57">
        <f t="shared" si="0"/>
        <v>64.75</v>
      </c>
      <c r="J20" s="49">
        <v>0.5</v>
      </c>
    </row>
    <row r="21" spans="1:10" x14ac:dyDescent="0.25">
      <c r="A21" s="22" t="s">
        <v>40</v>
      </c>
      <c r="B21" s="36">
        <v>45701</v>
      </c>
      <c r="C21" s="51">
        <v>1545091424</v>
      </c>
      <c r="D21" s="37" t="s">
        <v>12</v>
      </c>
      <c r="E21" s="37" t="s">
        <v>13</v>
      </c>
      <c r="F21" s="37">
        <v>8478</v>
      </c>
      <c r="G21" s="37">
        <v>7569.66</v>
      </c>
      <c r="H21" s="59">
        <v>756.9</v>
      </c>
      <c r="I21" s="57">
        <f t="shared" si="0"/>
        <v>378.45</v>
      </c>
      <c r="J21" s="49">
        <v>0.5</v>
      </c>
    </row>
    <row r="22" spans="1:10" x14ac:dyDescent="0.25">
      <c r="A22" s="22" t="s">
        <v>41</v>
      </c>
      <c r="B22" s="36">
        <v>45705</v>
      </c>
      <c r="C22" s="51">
        <v>28551481</v>
      </c>
      <c r="D22" s="37" t="s">
        <v>12</v>
      </c>
      <c r="E22" s="37" t="s">
        <v>13</v>
      </c>
      <c r="F22" s="37">
        <v>2594.1</v>
      </c>
      <c r="G22" s="37">
        <v>2330.1999999999998</v>
      </c>
      <c r="H22" s="59">
        <v>233</v>
      </c>
      <c r="I22" s="57">
        <f t="shared" si="0"/>
        <v>116.5</v>
      </c>
      <c r="J22" s="49">
        <v>0.5</v>
      </c>
    </row>
    <row r="23" spans="1:10" x14ac:dyDescent="0.25">
      <c r="A23" s="22" t="s">
        <v>42</v>
      </c>
      <c r="B23" s="36">
        <v>45706</v>
      </c>
      <c r="C23" s="51">
        <v>311000288018819</v>
      </c>
      <c r="D23" s="37" t="s">
        <v>12</v>
      </c>
      <c r="E23" s="37" t="s">
        <v>13</v>
      </c>
      <c r="F23" s="37">
        <v>2337.64</v>
      </c>
      <c r="G23" s="37">
        <v>2087.1799999999998</v>
      </c>
      <c r="H23" s="59">
        <v>208.7</v>
      </c>
      <c r="I23" s="57">
        <f t="shared" si="0"/>
        <v>104.35</v>
      </c>
      <c r="J23" s="49">
        <v>0.5</v>
      </c>
    </row>
    <row r="24" spans="1:10" x14ac:dyDescent="0.25">
      <c r="A24" s="22" t="s">
        <v>43</v>
      </c>
      <c r="B24" s="36">
        <v>45707</v>
      </c>
      <c r="C24" s="22">
        <v>301000092351244</v>
      </c>
      <c r="D24" s="37" t="s">
        <v>12</v>
      </c>
      <c r="E24" s="37" t="s">
        <v>13</v>
      </c>
      <c r="F24" s="37">
        <v>2275.2800000000002</v>
      </c>
      <c r="G24" s="37">
        <v>2045.06</v>
      </c>
      <c r="H24" s="59">
        <v>204.5</v>
      </c>
      <c r="I24" s="37">
        <v>102.25</v>
      </c>
      <c r="J24" s="49">
        <v>0.5</v>
      </c>
    </row>
    <row r="25" spans="1:10" x14ac:dyDescent="0.25">
      <c r="A25" s="23"/>
      <c r="B25" s="29"/>
      <c r="C25" s="35"/>
      <c r="D25" s="11"/>
      <c r="E25" s="11"/>
      <c r="F25" s="11"/>
      <c r="G25" s="11"/>
      <c r="H25" s="31"/>
      <c r="I25" s="11"/>
      <c r="J25" s="50"/>
    </row>
    <row r="26" spans="1:10" x14ac:dyDescent="0.25">
      <c r="A26" s="23"/>
      <c r="B26" s="29"/>
      <c r="C26" s="35"/>
      <c r="D26" s="11"/>
      <c r="E26" s="11"/>
      <c r="F26" s="11"/>
      <c r="G26" s="11"/>
      <c r="H26" s="31"/>
      <c r="I26" s="11"/>
      <c r="J26" s="50"/>
    </row>
    <row r="27" spans="1:10" x14ac:dyDescent="0.25">
      <c r="A27" s="23"/>
      <c r="B27" s="29"/>
      <c r="C27" s="23"/>
      <c r="D27" s="11"/>
      <c r="E27" s="11" t="s">
        <v>10</v>
      </c>
      <c r="F27" s="11">
        <f>SUM(F5:F16)</f>
        <v>98925.909999999989</v>
      </c>
      <c r="G27" s="11">
        <f>SUM(G5:G16)</f>
        <v>90462.77</v>
      </c>
      <c r="H27" s="31">
        <f>SUM(H5:H16)</f>
        <v>9017.3300000000017</v>
      </c>
      <c r="I27" s="47">
        <f>SUM(I5:I16)</f>
        <v>4508.6650000000009</v>
      </c>
      <c r="J27" s="48"/>
    </row>
    <row r="28" spans="1:10" x14ac:dyDescent="0.25">
      <c r="A28" s="1"/>
      <c r="B28" s="4"/>
      <c r="C28" s="1"/>
      <c r="D28" s="2"/>
      <c r="E28" s="54" t="s">
        <v>25</v>
      </c>
      <c r="F28" s="52">
        <f>F17+F18+F19+F21+F20+F22+F23+F24</f>
        <v>32140.309999999998</v>
      </c>
      <c r="G28" s="52">
        <f>G21+G22+G23+G24+G20+G19+G18+G17</f>
        <v>28897.960000000003</v>
      </c>
      <c r="H28" s="53">
        <f>H21+H22+H23+H24+H20+H19+H18+H17</f>
        <v>2889.6</v>
      </c>
      <c r="I28" s="54">
        <f>I21+I22+I23+I17+I18+I19+I20+I24</f>
        <v>1444.8</v>
      </c>
      <c r="J28" s="21"/>
    </row>
    <row r="29" spans="1:10" x14ac:dyDescent="0.25">
      <c r="A29" s="1"/>
      <c r="B29" s="4"/>
      <c r="C29" s="1"/>
      <c r="D29" s="2"/>
      <c r="E29" s="13"/>
      <c r="F29" s="2"/>
      <c r="G29" s="2"/>
      <c r="H29" s="5"/>
      <c r="I29" s="13"/>
      <c r="J29" s="21"/>
    </row>
    <row r="30" spans="1:10" x14ac:dyDescent="0.25">
      <c r="A30" s="1"/>
      <c r="B30" s="4"/>
      <c r="C30" s="1"/>
      <c r="D30" s="2"/>
      <c r="E30" s="13" t="s">
        <v>26</v>
      </c>
      <c r="F30" s="2">
        <f>F27-F28</f>
        <v>66785.599999999991</v>
      </c>
      <c r="G30" s="2">
        <f>G27-G28</f>
        <v>61564.81</v>
      </c>
      <c r="H30" s="5">
        <f>H27-H28</f>
        <v>6127.7300000000014</v>
      </c>
      <c r="I30" s="6">
        <f>I27-I28</f>
        <v>3063.8650000000007</v>
      </c>
      <c r="J30" s="21"/>
    </row>
    <row r="31" spans="1:10" x14ac:dyDescent="0.25">
      <c r="A31" s="1"/>
      <c r="B31" s="4"/>
      <c r="C31" s="1"/>
      <c r="D31" s="2"/>
      <c r="E31" s="13"/>
      <c r="F31" s="2"/>
      <c r="G31" s="2"/>
      <c r="H31" s="5"/>
      <c r="I31" s="13"/>
      <c r="J31" s="21"/>
    </row>
    <row r="32" spans="1:10" x14ac:dyDescent="0.25">
      <c r="A32" s="1"/>
      <c r="B32" s="4"/>
      <c r="C32" s="1"/>
      <c r="D32" s="2"/>
      <c r="E32" s="13"/>
      <c r="F32" s="2"/>
      <c r="G32" s="2"/>
      <c r="H32" s="5"/>
      <c r="I32" s="13"/>
      <c r="J32" s="21"/>
    </row>
    <row r="33" spans="1:10" x14ac:dyDescent="0.25">
      <c r="A33" s="1"/>
      <c r="B33" s="4"/>
      <c r="C33" s="1"/>
      <c r="D33" s="2"/>
      <c r="E33" s="13"/>
      <c r="F33" s="2"/>
      <c r="G33" s="2"/>
      <c r="H33" s="5"/>
      <c r="I33" s="13"/>
      <c r="J33" s="21"/>
    </row>
    <row r="34" spans="1:10" x14ac:dyDescent="0.25">
      <c r="A34" s="1"/>
      <c r="B34" s="4"/>
      <c r="C34" s="1"/>
      <c r="D34" s="2"/>
      <c r="E34" s="13"/>
      <c r="F34" s="2"/>
      <c r="G34" s="2"/>
      <c r="H34" s="5"/>
      <c r="I34" s="13"/>
      <c r="J34" s="21"/>
    </row>
    <row r="35" spans="1:10" x14ac:dyDescent="0.25">
      <c r="A35" s="1"/>
      <c r="B35" s="4"/>
      <c r="C35" s="1"/>
      <c r="D35" s="2"/>
      <c r="E35" s="2"/>
      <c r="F35" s="2"/>
      <c r="G35" s="2"/>
      <c r="H35" s="5"/>
      <c r="I35" s="13"/>
      <c r="J35" s="1"/>
    </row>
    <row r="36" spans="1:10" x14ac:dyDescent="0.25">
      <c r="A36" s="1"/>
      <c r="B36" s="4"/>
      <c r="C36" s="1"/>
      <c r="D36" s="2"/>
      <c r="E36" s="2"/>
      <c r="F36" s="2"/>
      <c r="G36" s="2"/>
      <c r="H36" s="5"/>
      <c r="I36" s="13"/>
      <c r="J36" s="1"/>
    </row>
    <row r="37" spans="1:10" x14ac:dyDescent="0.25">
      <c r="A37" s="1"/>
      <c r="B37" s="4"/>
      <c r="C37" s="1"/>
      <c r="D37" s="2"/>
      <c r="E37" s="2"/>
      <c r="F37" s="2"/>
      <c r="G37" s="2"/>
      <c r="H37" s="5"/>
      <c r="I37" s="13"/>
      <c r="J37" s="1"/>
    </row>
    <row r="38" spans="1:10" x14ac:dyDescent="0.25">
      <c r="A38" s="1"/>
      <c r="B38" s="4"/>
      <c r="C38" s="1"/>
      <c r="D38" s="2"/>
      <c r="E38" s="2"/>
      <c r="F38" s="2"/>
      <c r="G38" s="2"/>
      <c r="H38" s="5"/>
      <c r="I38" s="13"/>
      <c r="J38" s="12"/>
    </row>
  </sheetData>
  <mergeCells count="1">
    <mergeCell ref="D1:E1"/>
  </mergeCells>
  <conditionalFormatting sqref="C1:C4 D5:E20">
    <cfRule type="cellIs" dxfId="125" priority="6" operator="equal">
      <formula>15698.2</formula>
    </cfRule>
    <cfRule type="cellIs" dxfId="124" priority="7" operator="equal">
      <formula>"kapalı"</formula>
    </cfRule>
  </conditionalFormatting>
  <conditionalFormatting sqref="D1 F1:H1 D2:H4 J3:J4 G5:G38">
    <cfRule type="cellIs" dxfId="123" priority="8" operator="equal">
      <formula>"K.KART"</formula>
    </cfRule>
  </conditionalFormatting>
  <conditionalFormatting sqref="D21:F38">
    <cfRule type="cellIs" dxfId="122" priority="4" operator="equal">
      <formula>15698.2</formula>
    </cfRule>
    <cfRule type="cellIs" dxfId="121" priority="5" operator="equal">
      <formula>"kapalı"</formula>
    </cfRule>
  </conditionalFormatting>
  <conditionalFormatting sqref="F5:F9">
    <cfRule type="cellIs" dxfId="120" priority="3" operator="equal">
      <formula>"K.KART"</formula>
    </cfRule>
  </conditionalFormatting>
  <conditionalFormatting sqref="F8:F20">
    <cfRule type="cellIs" dxfId="119" priority="1" operator="equal">
      <formula>15698.2</formula>
    </cfRule>
    <cfRule type="cellIs" dxfId="118" priority="2" operator="equal">
      <formula>"kapalı"</formula>
    </cfRule>
  </conditionalFormatting>
  <conditionalFormatting sqref="G38:H38">
    <cfRule type="cellIs" dxfId="117" priority="9" operator="equal">
      <formula>"K.KART"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9E9F-E1DD-4C67-A29B-C7C7C855AD4C}">
  <dimension ref="A1:J26"/>
  <sheetViews>
    <sheetView topLeftCell="A7" workbookViewId="0">
      <selection activeCell="D16" sqref="D16"/>
    </sheetView>
  </sheetViews>
  <sheetFormatPr defaultRowHeight="15" x14ac:dyDescent="0.25"/>
  <cols>
    <col min="1" max="1" width="15.85546875" customWidth="1"/>
    <col min="2" max="2" width="12.140625" customWidth="1"/>
    <col min="3" max="3" width="13" customWidth="1"/>
    <col min="6" max="6" width="12.28515625" customWidth="1"/>
    <col min="7" max="7" width="13.7109375" customWidth="1"/>
    <col min="10" max="10" width="5.85546875" customWidth="1"/>
  </cols>
  <sheetData>
    <row r="1" spans="1:10" x14ac:dyDescent="0.25">
      <c r="A1" s="23"/>
      <c r="B1" s="23"/>
      <c r="C1" s="11"/>
      <c r="D1" s="101" t="s">
        <v>27</v>
      </c>
      <c r="E1" s="102"/>
      <c r="F1" s="11"/>
      <c r="G1" s="11"/>
      <c r="H1" s="11"/>
      <c r="I1" s="11"/>
      <c r="J1" s="24"/>
    </row>
    <row r="2" spans="1:10" x14ac:dyDescent="0.25">
      <c r="A2" s="23" t="s">
        <v>44</v>
      </c>
      <c r="B2" s="23">
        <v>2025</v>
      </c>
      <c r="C2" s="11"/>
      <c r="D2" s="11"/>
      <c r="E2" s="11"/>
      <c r="F2" s="11"/>
      <c r="G2" s="11"/>
      <c r="H2" s="11"/>
      <c r="I2" s="11"/>
      <c r="J2" s="25"/>
    </row>
    <row r="3" spans="1:10" ht="38.25" x14ac:dyDescent="0.25">
      <c r="A3" s="26" t="s">
        <v>0</v>
      </c>
      <c r="B3" s="26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</row>
    <row r="4" spans="1:10" x14ac:dyDescent="0.25">
      <c r="A4" s="26"/>
      <c r="B4" s="26"/>
      <c r="C4" s="27"/>
      <c r="D4" s="27"/>
      <c r="E4" s="27"/>
      <c r="F4" s="27"/>
      <c r="G4" s="27"/>
      <c r="H4" s="28"/>
      <c r="I4" s="27"/>
      <c r="J4" s="27"/>
    </row>
    <row r="5" spans="1:10" x14ac:dyDescent="0.25">
      <c r="A5" s="23" t="s">
        <v>45</v>
      </c>
      <c r="B5" s="29">
        <v>45726</v>
      </c>
      <c r="C5" s="35">
        <v>268441054362</v>
      </c>
      <c r="D5" s="11" t="s">
        <v>12</v>
      </c>
      <c r="E5" s="60" t="s">
        <v>13</v>
      </c>
      <c r="F5" s="41">
        <v>13891.39</v>
      </c>
      <c r="G5" s="41">
        <v>12618.1</v>
      </c>
      <c r="H5" s="42">
        <v>1261.8</v>
      </c>
      <c r="I5" s="43">
        <f>H5*J5</f>
        <v>630.9</v>
      </c>
      <c r="J5" s="32">
        <v>0.5</v>
      </c>
    </row>
    <row r="6" spans="1:10" x14ac:dyDescent="0.25">
      <c r="A6" s="36" t="s">
        <v>46</v>
      </c>
      <c r="B6" s="36">
        <v>45735</v>
      </c>
      <c r="C6" s="22">
        <v>227712237</v>
      </c>
      <c r="D6" s="37" t="s">
        <v>12</v>
      </c>
      <c r="E6" s="37" t="s">
        <v>13</v>
      </c>
      <c r="F6" s="57">
        <v>1838.25</v>
      </c>
      <c r="G6" s="57">
        <v>1653.21</v>
      </c>
      <c r="H6" s="61">
        <v>165.3</v>
      </c>
      <c r="I6" s="62">
        <f t="shared" ref="I6:I17" si="0">H6*J6</f>
        <v>82.65</v>
      </c>
      <c r="J6" s="32">
        <v>0.5</v>
      </c>
    </row>
    <row r="7" spans="1:10" x14ac:dyDescent="0.25">
      <c r="A7" s="22" t="s">
        <v>47</v>
      </c>
      <c r="B7" s="36">
        <v>45720</v>
      </c>
      <c r="C7" s="22">
        <v>133735660</v>
      </c>
      <c r="D7" s="37" t="s">
        <v>12</v>
      </c>
      <c r="E7" s="37" t="s">
        <v>13</v>
      </c>
      <c r="F7" s="57">
        <v>1989.76</v>
      </c>
      <c r="G7" s="57">
        <v>1810.27</v>
      </c>
      <c r="H7" s="63">
        <v>181</v>
      </c>
      <c r="I7" s="62">
        <f t="shared" si="0"/>
        <v>90.5</v>
      </c>
      <c r="J7" s="32">
        <v>0.5</v>
      </c>
    </row>
    <row r="8" spans="1:10" x14ac:dyDescent="0.25">
      <c r="A8" s="22" t="s">
        <v>48</v>
      </c>
      <c r="B8" s="36">
        <v>45733</v>
      </c>
      <c r="C8" s="51">
        <v>272412685</v>
      </c>
      <c r="D8" s="37" t="s">
        <v>12</v>
      </c>
      <c r="E8" s="37" t="s">
        <v>13</v>
      </c>
      <c r="F8" s="57">
        <v>2724.13</v>
      </c>
      <c r="G8" s="57">
        <v>2489.36</v>
      </c>
      <c r="H8" s="64">
        <v>248.9</v>
      </c>
      <c r="I8" s="62">
        <f t="shared" si="0"/>
        <v>124.45</v>
      </c>
      <c r="J8" s="32">
        <v>0.5</v>
      </c>
    </row>
    <row r="9" spans="1:10" x14ac:dyDescent="0.25">
      <c r="A9" s="22" t="s">
        <v>49</v>
      </c>
      <c r="B9" s="36">
        <v>45726</v>
      </c>
      <c r="C9" s="51">
        <v>1487524624</v>
      </c>
      <c r="D9" s="37" t="s">
        <v>12</v>
      </c>
      <c r="E9" s="37" t="s">
        <v>13</v>
      </c>
      <c r="F9" s="57">
        <v>6452</v>
      </c>
      <c r="G9" s="57">
        <v>5760.73</v>
      </c>
      <c r="H9" s="64">
        <v>576</v>
      </c>
      <c r="I9" s="62">
        <f t="shared" si="0"/>
        <v>288</v>
      </c>
      <c r="J9" s="32">
        <v>0.5</v>
      </c>
    </row>
    <row r="10" spans="1:10" x14ac:dyDescent="0.25">
      <c r="A10" s="22"/>
      <c r="B10" s="36"/>
      <c r="C10" s="51"/>
      <c r="D10" s="37"/>
      <c r="E10" s="65"/>
      <c r="F10" s="57"/>
      <c r="G10" s="57"/>
      <c r="H10" s="64"/>
      <c r="I10" s="62">
        <f t="shared" si="0"/>
        <v>0</v>
      </c>
      <c r="J10" s="32">
        <v>0.5</v>
      </c>
    </row>
    <row r="11" spans="1:10" x14ac:dyDescent="0.25">
      <c r="A11" s="23"/>
      <c r="B11" s="29"/>
      <c r="C11" s="35"/>
      <c r="D11" s="11"/>
      <c r="E11" s="11"/>
      <c r="F11" s="41"/>
      <c r="G11" s="41"/>
      <c r="H11" s="42"/>
      <c r="I11" s="43">
        <f t="shared" si="0"/>
        <v>0</v>
      </c>
      <c r="J11" s="32">
        <v>0.5</v>
      </c>
    </row>
    <row r="12" spans="1:10" x14ac:dyDescent="0.25">
      <c r="A12" s="23"/>
      <c r="B12" s="29"/>
      <c r="C12" s="35"/>
      <c r="D12" s="11"/>
      <c r="E12" s="11"/>
      <c r="F12" s="41"/>
      <c r="G12" s="41"/>
      <c r="H12" s="42"/>
      <c r="I12" s="43">
        <f t="shared" si="0"/>
        <v>0</v>
      </c>
      <c r="J12" s="32">
        <v>0.5</v>
      </c>
    </row>
    <row r="13" spans="1:10" x14ac:dyDescent="0.25">
      <c r="A13" s="23"/>
      <c r="B13" s="29"/>
      <c r="C13" s="35"/>
      <c r="D13" s="11"/>
      <c r="E13" s="11"/>
      <c r="F13" s="41"/>
      <c r="G13" s="41"/>
      <c r="H13" s="42"/>
      <c r="I13" s="43">
        <f t="shared" si="0"/>
        <v>0</v>
      </c>
      <c r="J13" s="32">
        <v>0.5</v>
      </c>
    </row>
    <row r="14" spans="1:10" x14ac:dyDescent="0.25">
      <c r="A14" s="23"/>
      <c r="B14" s="29"/>
      <c r="C14" s="23"/>
      <c r="D14" s="11"/>
      <c r="E14" s="11"/>
      <c r="F14" s="41"/>
      <c r="G14" s="41"/>
      <c r="H14" s="46"/>
      <c r="I14" s="43">
        <f t="shared" si="0"/>
        <v>0</v>
      </c>
      <c r="J14" s="32">
        <v>0.5</v>
      </c>
    </row>
    <row r="15" spans="1:10" x14ac:dyDescent="0.25">
      <c r="A15" s="22"/>
      <c r="B15" s="36"/>
      <c r="C15" s="51"/>
      <c r="D15" s="37"/>
      <c r="E15" s="37"/>
      <c r="F15" s="37"/>
      <c r="G15" s="37"/>
      <c r="H15" s="38"/>
      <c r="I15" s="43">
        <f t="shared" si="0"/>
        <v>0</v>
      </c>
      <c r="J15" s="32">
        <v>0.5</v>
      </c>
    </row>
    <row r="16" spans="1:10" x14ac:dyDescent="0.25">
      <c r="A16" s="22"/>
      <c r="B16" s="36"/>
      <c r="C16" s="51"/>
      <c r="D16" s="37"/>
      <c r="E16" s="37"/>
      <c r="F16" s="37"/>
      <c r="G16" s="37"/>
      <c r="H16" s="38"/>
      <c r="I16" s="43">
        <f t="shared" si="0"/>
        <v>0</v>
      </c>
      <c r="J16" s="32">
        <v>0.5</v>
      </c>
    </row>
    <row r="17" spans="1:10" x14ac:dyDescent="0.25">
      <c r="A17" s="22"/>
      <c r="B17" s="36"/>
      <c r="C17" s="51"/>
      <c r="D17" s="37"/>
      <c r="E17" s="37"/>
      <c r="F17" s="37"/>
      <c r="G17" s="37"/>
      <c r="H17" s="38"/>
      <c r="I17" s="43">
        <f t="shared" si="0"/>
        <v>0</v>
      </c>
      <c r="J17" s="32">
        <v>0.5</v>
      </c>
    </row>
    <row r="18" spans="1:10" x14ac:dyDescent="0.25">
      <c r="A18" s="22"/>
      <c r="B18" s="36"/>
      <c r="C18" s="22"/>
      <c r="D18" s="37"/>
      <c r="E18" s="37"/>
      <c r="F18" s="37"/>
      <c r="G18" s="37"/>
      <c r="H18" s="38"/>
      <c r="I18" s="37"/>
      <c r="J18" s="49"/>
    </row>
    <row r="19" spans="1:10" x14ac:dyDescent="0.25">
      <c r="A19" s="23"/>
      <c r="B19" s="29"/>
      <c r="C19" s="35"/>
      <c r="D19" s="11"/>
      <c r="E19" s="11"/>
      <c r="F19" s="11"/>
      <c r="G19" s="11"/>
      <c r="H19" s="31"/>
      <c r="I19" s="11"/>
      <c r="J19" s="50"/>
    </row>
    <row r="20" spans="1:10" x14ac:dyDescent="0.25">
      <c r="A20" s="23"/>
      <c r="B20" s="29"/>
      <c r="C20" s="35"/>
      <c r="D20" s="11"/>
      <c r="E20" s="11"/>
      <c r="F20" s="11"/>
      <c r="G20" s="11"/>
      <c r="H20" s="31"/>
      <c r="I20" s="11"/>
      <c r="J20" s="50"/>
    </row>
    <row r="21" spans="1:10" x14ac:dyDescent="0.25">
      <c r="A21" s="23"/>
      <c r="B21" s="29"/>
      <c r="C21" s="23"/>
      <c r="D21" s="11"/>
      <c r="E21" s="11" t="s">
        <v>10</v>
      </c>
      <c r="F21" s="11">
        <f>F5+F6+F7+F8+F9+F10+F11+F12+F13+F14</f>
        <v>26895.53</v>
      </c>
      <c r="G21" s="11">
        <f>G5+G6+G7+G8+G9+G10+G11+G12+G13+G14</f>
        <v>24331.670000000002</v>
      </c>
      <c r="H21" s="31">
        <f>H5+H6+H7+H8+H9+H10+H11+H12+H13+H14</f>
        <v>2433</v>
      </c>
      <c r="I21" s="47">
        <f>I5</f>
        <v>630.9</v>
      </c>
      <c r="J21" s="48"/>
    </row>
    <row r="22" spans="1:10" x14ac:dyDescent="0.25">
      <c r="A22" s="1"/>
      <c r="B22" s="4"/>
      <c r="C22" s="1"/>
      <c r="D22" s="2"/>
      <c r="E22" s="54" t="s">
        <v>25</v>
      </c>
      <c r="F22" s="52">
        <f>F6+F7+F8+F9</f>
        <v>13004.14</v>
      </c>
      <c r="G22" s="52">
        <f>G6+G7+G8+G9</f>
        <v>11713.57</v>
      </c>
      <c r="H22" s="53">
        <f>H6+H7+H8+H9</f>
        <v>1171.2</v>
      </c>
      <c r="I22" s="54">
        <f>I6+I7+I8+I9</f>
        <v>585.6</v>
      </c>
      <c r="J22" s="21"/>
    </row>
    <row r="23" spans="1:10" x14ac:dyDescent="0.25">
      <c r="A23" s="1"/>
      <c r="B23" s="4"/>
      <c r="C23" s="1"/>
      <c r="D23" s="2"/>
      <c r="E23" s="2"/>
      <c r="F23" s="2"/>
      <c r="G23" s="2"/>
      <c r="H23" s="5"/>
      <c r="I23" s="13"/>
      <c r="J23" s="1"/>
    </row>
    <row r="24" spans="1:10" x14ac:dyDescent="0.25">
      <c r="A24" s="1"/>
      <c r="B24" s="4"/>
      <c r="C24" s="1"/>
      <c r="D24" s="2"/>
      <c r="E24" s="2"/>
      <c r="F24" s="2"/>
      <c r="G24" s="2"/>
      <c r="H24" s="5"/>
      <c r="I24" s="13"/>
      <c r="J24" s="1"/>
    </row>
    <row r="25" spans="1:10" x14ac:dyDescent="0.25">
      <c r="A25" s="1"/>
      <c r="B25" s="4"/>
      <c r="C25" s="1"/>
      <c r="D25" s="2"/>
      <c r="E25" s="2" t="s">
        <v>26</v>
      </c>
      <c r="F25" s="2">
        <f>I21-I22</f>
        <v>45.299999999999955</v>
      </c>
      <c r="G25" s="2"/>
      <c r="H25" s="5"/>
      <c r="I25" s="6">
        <f>I21-I22</f>
        <v>45.299999999999955</v>
      </c>
      <c r="J25" s="1"/>
    </row>
    <row r="26" spans="1:10" x14ac:dyDescent="0.25">
      <c r="A26" s="1"/>
      <c r="B26" s="4"/>
      <c r="C26" s="1"/>
      <c r="D26" s="2"/>
      <c r="E26" s="2"/>
      <c r="F26" s="2"/>
      <c r="G26" s="2"/>
      <c r="H26" s="5"/>
      <c r="I26" s="13"/>
      <c r="J26" s="12"/>
    </row>
  </sheetData>
  <mergeCells count="1">
    <mergeCell ref="D1:E1"/>
  </mergeCells>
  <conditionalFormatting sqref="C1:C4 D5:E9 D10 D11:E14">
    <cfRule type="cellIs" dxfId="116" priority="6" operator="equal">
      <formula>15698.2</formula>
    </cfRule>
    <cfRule type="cellIs" dxfId="115" priority="7" operator="equal">
      <formula>"kapalı"</formula>
    </cfRule>
  </conditionalFormatting>
  <conditionalFormatting sqref="D1 F1:H1 D2:H4 J3:J4 G5:G26">
    <cfRule type="cellIs" dxfId="114" priority="8" operator="equal">
      <formula>"K.KART"</formula>
    </cfRule>
  </conditionalFormatting>
  <conditionalFormatting sqref="D15:F26">
    <cfRule type="cellIs" dxfId="113" priority="4" operator="equal">
      <formula>15698.2</formula>
    </cfRule>
    <cfRule type="cellIs" dxfId="112" priority="5" operator="equal">
      <formula>"kapalı"</formula>
    </cfRule>
  </conditionalFormatting>
  <conditionalFormatting sqref="F5:F6">
    <cfRule type="cellIs" dxfId="111" priority="3" operator="equal">
      <formula>"K.KART"</formula>
    </cfRule>
  </conditionalFormatting>
  <conditionalFormatting sqref="F6:F14">
    <cfRule type="cellIs" dxfId="110" priority="1" operator="equal">
      <formula>15698.2</formula>
    </cfRule>
    <cfRule type="cellIs" dxfId="109" priority="2" operator="equal">
      <formula>"kapalı"</formula>
    </cfRule>
  </conditionalFormatting>
  <conditionalFormatting sqref="G26:H26">
    <cfRule type="cellIs" dxfId="108" priority="9" operator="equal">
      <formula>"K.KART"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B118-00DB-4A81-8BB3-1E72F0B713C2}">
  <dimension ref="A1:J26"/>
  <sheetViews>
    <sheetView topLeftCell="A16" workbookViewId="0">
      <selection activeCell="L6" sqref="L6"/>
    </sheetView>
  </sheetViews>
  <sheetFormatPr defaultRowHeight="15" x14ac:dyDescent="0.25"/>
  <cols>
    <col min="1" max="1" width="17.85546875" customWidth="1"/>
    <col min="2" max="2" width="11.28515625" customWidth="1"/>
    <col min="3" max="3" width="17.7109375" customWidth="1"/>
    <col min="6" max="6" width="13.7109375" customWidth="1"/>
    <col min="7" max="7" width="13" customWidth="1"/>
    <col min="10" max="10" width="6.5703125" customWidth="1"/>
  </cols>
  <sheetData>
    <row r="1" spans="1:10" x14ac:dyDescent="0.25">
      <c r="A1" s="23"/>
      <c r="B1" s="23"/>
      <c r="C1" s="11"/>
      <c r="D1" s="101" t="s">
        <v>27</v>
      </c>
      <c r="E1" s="102"/>
      <c r="F1" s="11"/>
      <c r="G1" s="11"/>
      <c r="H1" s="11"/>
      <c r="I1" s="11"/>
      <c r="J1" s="24"/>
    </row>
    <row r="2" spans="1:10" x14ac:dyDescent="0.25">
      <c r="A2" s="23" t="s">
        <v>50</v>
      </c>
      <c r="B2" s="23">
        <v>2025</v>
      </c>
      <c r="C2" s="11"/>
      <c r="D2" s="11"/>
      <c r="E2" s="11"/>
      <c r="F2" s="11"/>
      <c r="G2" s="11"/>
      <c r="H2" s="11"/>
      <c r="I2" s="11"/>
      <c r="J2" s="25"/>
    </row>
    <row r="3" spans="1:10" ht="38.25" x14ac:dyDescent="0.25">
      <c r="A3" s="26" t="s">
        <v>0</v>
      </c>
      <c r="B3" s="26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</row>
    <row r="4" spans="1:10" x14ac:dyDescent="0.25">
      <c r="A4" s="66"/>
      <c r="B4" s="66"/>
      <c r="C4" s="67"/>
      <c r="D4" s="67"/>
      <c r="E4" s="67"/>
      <c r="F4" s="67"/>
      <c r="G4" s="67"/>
      <c r="H4" s="68"/>
      <c r="I4" s="67"/>
      <c r="J4" s="67"/>
    </row>
    <row r="5" spans="1:10" x14ac:dyDescent="0.25">
      <c r="A5" s="23" t="s">
        <v>51</v>
      </c>
      <c r="B5" s="29">
        <v>45749</v>
      </c>
      <c r="C5" s="35">
        <v>301000179047485</v>
      </c>
      <c r="D5" s="11" t="s">
        <v>12</v>
      </c>
      <c r="E5" s="60" t="s">
        <v>13</v>
      </c>
      <c r="F5" s="41">
        <v>13461.79</v>
      </c>
      <c r="G5" s="41">
        <v>12280.93</v>
      </c>
      <c r="H5" s="42">
        <v>1228</v>
      </c>
      <c r="I5" s="43">
        <f>H5*J5</f>
        <v>614</v>
      </c>
      <c r="J5" s="32">
        <v>0.5</v>
      </c>
    </row>
    <row r="6" spans="1:10" x14ac:dyDescent="0.25">
      <c r="A6" s="29" t="s">
        <v>52</v>
      </c>
      <c r="B6" s="29">
        <v>45764</v>
      </c>
      <c r="C6" s="35">
        <v>100000363229095</v>
      </c>
      <c r="D6" s="11" t="s">
        <v>12</v>
      </c>
      <c r="E6" s="60" t="s">
        <v>13</v>
      </c>
      <c r="F6" s="41">
        <v>6939.53</v>
      </c>
      <c r="G6" s="41">
        <v>6307.94</v>
      </c>
      <c r="H6" s="44">
        <v>630.70000000000005</v>
      </c>
      <c r="I6" s="43">
        <f t="shared" ref="I6:I19" si="0">H6*J6</f>
        <v>315.35000000000002</v>
      </c>
      <c r="J6" s="32">
        <v>0.5</v>
      </c>
    </row>
    <row r="7" spans="1:10" x14ac:dyDescent="0.25">
      <c r="A7" s="23" t="s">
        <v>53</v>
      </c>
      <c r="B7" s="29">
        <v>45768</v>
      </c>
      <c r="C7" s="34">
        <v>100000364000744</v>
      </c>
      <c r="D7" s="11" t="s">
        <v>12</v>
      </c>
      <c r="E7" s="60" t="s">
        <v>13</v>
      </c>
      <c r="F7" s="41">
        <v>8871.52</v>
      </c>
      <c r="G7" s="41">
        <v>8047.64</v>
      </c>
      <c r="H7" s="45">
        <v>804.7</v>
      </c>
      <c r="I7" s="43">
        <f t="shared" si="0"/>
        <v>402.35</v>
      </c>
      <c r="J7" s="32">
        <v>0.5</v>
      </c>
    </row>
    <row r="8" spans="1:10" x14ac:dyDescent="0.25">
      <c r="A8" s="23" t="s">
        <v>54</v>
      </c>
      <c r="B8" s="29">
        <v>45772</v>
      </c>
      <c r="C8" s="35">
        <v>100000365625056</v>
      </c>
      <c r="D8" s="11" t="s">
        <v>12</v>
      </c>
      <c r="E8" s="60" t="s">
        <v>13</v>
      </c>
      <c r="F8" s="41">
        <v>9531.57</v>
      </c>
      <c r="G8" s="41">
        <v>8763.01</v>
      </c>
      <c r="H8" s="42">
        <v>876.3</v>
      </c>
      <c r="I8" s="43">
        <f t="shared" si="0"/>
        <v>438.15</v>
      </c>
      <c r="J8" s="32">
        <v>0.5</v>
      </c>
    </row>
    <row r="9" spans="1:10" x14ac:dyDescent="0.25">
      <c r="A9" s="23" t="s">
        <v>55</v>
      </c>
      <c r="B9" s="29">
        <v>45773</v>
      </c>
      <c r="C9" s="35">
        <v>30203057</v>
      </c>
      <c r="D9" s="11" t="s">
        <v>12</v>
      </c>
      <c r="E9" s="11" t="s">
        <v>13</v>
      </c>
      <c r="F9" s="41">
        <v>12044.92</v>
      </c>
      <c r="G9" s="41">
        <v>10893.24</v>
      </c>
      <c r="H9" s="42">
        <v>1089.3</v>
      </c>
      <c r="I9" s="43">
        <f t="shared" si="0"/>
        <v>544.65</v>
      </c>
      <c r="J9" s="32">
        <v>0.5</v>
      </c>
    </row>
    <row r="10" spans="1:10" x14ac:dyDescent="0.25">
      <c r="A10" s="23" t="s">
        <v>55</v>
      </c>
      <c r="B10" s="29">
        <v>45773</v>
      </c>
      <c r="C10" s="35">
        <v>30203129</v>
      </c>
      <c r="D10" s="11" t="s">
        <v>56</v>
      </c>
      <c r="E10" s="69" t="s">
        <v>13</v>
      </c>
      <c r="F10" s="41">
        <v>720</v>
      </c>
      <c r="G10" s="41">
        <v>685.72</v>
      </c>
      <c r="H10" s="42">
        <v>68.5</v>
      </c>
      <c r="I10" s="43">
        <f t="shared" si="0"/>
        <v>34.25</v>
      </c>
      <c r="J10" s="32">
        <v>0.5</v>
      </c>
    </row>
    <row r="11" spans="1:10" x14ac:dyDescent="0.25">
      <c r="A11" s="23" t="s">
        <v>57</v>
      </c>
      <c r="B11" s="29">
        <v>45776</v>
      </c>
      <c r="C11" s="35">
        <v>367195064</v>
      </c>
      <c r="D11" s="11" t="s">
        <v>12</v>
      </c>
      <c r="E11" s="11" t="s">
        <v>13</v>
      </c>
      <c r="F11" s="41">
        <v>19641.259999999998</v>
      </c>
      <c r="G11" s="41">
        <v>17903.04</v>
      </c>
      <c r="H11" s="42">
        <v>1790.3</v>
      </c>
      <c r="I11" s="43">
        <f t="shared" si="0"/>
        <v>895.15</v>
      </c>
      <c r="J11" s="32">
        <v>0.5</v>
      </c>
    </row>
    <row r="12" spans="1:10" x14ac:dyDescent="0.25">
      <c r="A12" s="22" t="s">
        <v>58</v>
      </c>
      <c r="B12" s="36">
        <v>45769</v>
      </c>
      <c r="C12" s="51">
        <v>1000090968644</v>
      </c>
      <c r="D12" s="37" t="s">
        <v>12</v>
      </c>
      <c r="E12" s="37" t="s">
        <v>13</v>
      </c>
      <c r="F12" s="57">
        <v>391.89</v>
      </c>
      <c r="G12" s="57">
        <v>352.24</v>
      </c>
      <c r="H12" s="64">
        <v>35.200000000000003</v>
      </c>
      <c r="I12" s="62">
        <f t="shared" si="0"/>
        <v>17.600000000000001</v>
      </c>
      <c r="J12" s="40">
        <v>0.5</v>
      </c>
    </row>
    <row r="13" spans="1:10" x14ac:dyDescent="0.25">
      <c r="A13" s="22" t="s">
        <v>51</v>
      </c>
      <c r="B13" s="36">
        <v>45749</v>
      </c>
      <c r="C13" s="51">
        <v>1000102945303</v>
      </c>
      <c r="D13" s="37" t="s">
        <v>12</v>
      </c>
      <c r="E13" s="37" t="s">
        <v>13</v>
      </c>
      <c r="F13" s="57">
        <v>3474.25</v>
      </c>
      <c r="G13" s="57">
        <v>3145.78</v>
      </c>
      <c r="H13" s="64">
        <v>314.5</v>
      </c>
      <c r="I13" s="62">
        <f t="shared" si="0"/>
        <v>157.25</v>
      </c>
      <c r="J13" s="40">
        <v>0.5</v>
      </c>
    </row>
    <row r="14" spans="1:10" x14ac:dyDescent="0.25">
      <c r="A14" s="23"/>
      <c r="B14" s="29"/>
      <c r="C14" s="23"/>
      <c r="D14" s="11"/>
      <c r="E14" s="11"/>
      <c r="F14" s="41"/>
      <c r="G14" s="41"/>
      <c r="H14" s="46"/>
      <c r="I14" s="43">
        <f t="shared" si="0"/>
        <v>0</v>
      </c>
      <c r="J14" s="32">
        <v>0.5</v>
      </c>
    </row>
    <row r="15" spans="1:10" x14ac:dyDescent="0.25">
      <c r="A15" s="22"/>
      <c r="B15" s="36"/>
      <c r="C15" s="51"/>
      <c r="D15" s="37"/>
      <c r="E15" s="37"/>
      <c r="F15" s="37"/>
      <c r="G15" s="37"/>
      <c r="H15" s="38"/>
      <c r="I15" s="43">
        <f t="shared" si="0"/>
        <v>0</v>
      </c>
      <c r="J15" s="32">
        <v>0.5</v>
      </c>
    </row>
    <row r="16" spans="1:10" x14ac:dyDescent="0.25">
      <c r="A16" s="22"/>
      <c r="B16" s="36"/>
      <c r="C16" s="51"/>
      <c r="D16" s="37"/>
      <c r="E16" s="37"/>
      <c r="F16" s="37"/>
      <c r="G16" s="37"/>
      <c r="H16" s="38"/>
      <c r="I16" s="43">
        <f t="shared" si="0"/>
        <v>0</v>
      </c>
      <c r="J16" s="32">
        <v>0.5</v>
      </c>
    </row>
    <row r="17" spans="1:10" x14ac:dyDescent="0.25">
      <c r="A17" s="22"/>
      <c r="B17" s="36"/>
      <c r="C17" s="51"/>
      <c r="D17" s="37"/>
      <c r="E17" s="37"/>
      <c r="F17" s="37"/>
      <c r="G17" s="37"/>
      <c r="H17" s="38"/>
      <c r="I17" s="43">
        <f t="shared" si="0"/>
        <v>0</v>
      </c>
      <c r="J17" s="32">
        <v>0.5</v>
      </c>
    </row>
    <row r="18" spans="1:10" x14ac:dyDescent="0.25">
      <c r="A18" s="22"/>
      <c r="B18" s="36"/>
      <c r="C18" s="22"/>
      <c r="D18" s="37"/>
      <c r="E18" s="37"/>
      <c r="F18" s="37"/>
      <c r="G18" s="37"/>
      <c r="H18" s="38"/>
      <c r="I18" s="43">
        <f t="shared" si="0"/>
        <v>0</v>
      </c>
      <c r="J18" s="32">
        <v>0.5</v>
      </c>
    </row>
    <row r="19" spans="1:10" x14ac:dyDescent="0.25">
      <c r="A19" s="23"/>
      <c r="B19" s="29"/>
      <c r="C19" s="35"/>
      <c r="D19" s="11"/>
      <c r="E19" s="11"/>
      <c r="F19" s="11"/>
      <c r="G19" s="11"/>
      <c r="H19" s="31"/>
      <c r="I19" s="43">
        <f t="shared" si="0"/>
        <v>0</v>
      </c>
      <c r="J19" s="32">
        <v>0.5</v>
      </c>
    </row>
    <row r="20" spans="1:10" x14ac:dyDescent="0.25">
      <c r="A20" s="23"/>
      <c r="B20" s="29"/>
      <c r="C20" s="35"/>
      <c r="D20" s="11"/>
      <c r="E20" s="11"/>
      <c r="F20" s="11"/>
      <c r="G20" s="11"/>
      <c r="H20" s="31"/>
      <c r="I20" s="11"/>
      <c r="J20" s="50"/>
    </row>
    <row r="21" spans="1:10" x14ac:dyDescent="0.25">
      <c r="A21" s="23"/>
      <c r="B21" s="29"/>
      <c r="C21" s="23"/>
      <c r="D21" s="11"/>
      <c r="E21" s="11" t="s">
        <v>10</v>
      </c>
      <c r="F21" s="11">
        <f>F5+F6+F7+F8+F9+F10+F11</f>
        <v>71210.59</v>
      </c>
      <c r="G21" s="11">
        <f>G5+G6+G7+G8+G9+G10+G11</f>
        <v>64881.52</v>
      </c>
      <c r="H21" s="31">
        <f>H5+H6+H7+H9+H10+H11</f>
        <v>5611.5</v>
      </c>
      <c r="I21" s="47">
        <f>I5+I6+I7+I8+I9+I10+I11</f>
        <v>3243.9</v>
      </c>
      <c r="J21" s="48"/>
    </row>
    <row r="22" spans="1:10" x14ac:dyDescent="0.25">
      <c r="A22" s="1"/>
      <c r="B22" s="4"/>
      <c r="C22" s="1"/>
      <c r="D22" s="2"/>
      <c r="E22" s="54" t="s">
        <v>25</v>
      </c>
      <c r="F22" s="52">
        <f>F12+F13</f>
        <v>3866.14</v>
      </c>
      <c r="G22" s="52">
        <f>G12+G13</f>
        <v>3498.0200000000004</v>
      </c>
      <c r="H22" s="53">
        <f>H12+H13</f>
        <v>349.7</v>
      </c>
      <c r="I22" s="54">
        <f>I12+I13</f>
        <v>174.85</v>
      </c>
      <c r="J22" s="21"/>
    </row>
    <row r="23" spans="1:10" x14ac:dyDescent="0.25">
      <c r="A23" s="1"/>
      <c r="B23" s="4"/>
      <c r="C23" s="1"/>
      <c r="D23" s="2"/>
      <c r="E23" s="2"/>
      <c r="F23" s="2"/>
      <c r="G23" s="2"/>
      <c r="H23" s="5"/>
      <c r="I23" s="13"/>
      <c r="J23" s="1"/>
    </row>
    <row r="24" spans="1:10" x14ac:dyDescent="0.25">
      <c r="A24" s="1"/>
      <c r="B24" s="4"/>
      <c r="C24" s="1"/>
      <c r="D24" s="2"/>
      <c r="E24" s="2"/>
      <c r="F24" s="2"/>
      <c r="G24" s="2"/>
      <c r="H24" s="5"/>
      <c r="I24" s="13"/>
      <c r="J24" s="1"/>
    </row>
    <row r="25" spans="1:10" x14ac:dyDescent="0.25">
      <c r="A25" s="1"/>
      <c r="B25" s="4"/>
      <c r="C25" s="1"/>
      <c r="D25" s="2"/>
      <c r="E25" s="2" t="s">
        <v>26</v>
      </c>
      <c r="F25" s="2">
        <f>I25</f>
        <v>3069.05</v>
      </c>
      <c r="G25" s="2"/>
      <c r="H25" s="5"/>
      <c r="I25" s="6">
        <f>I21-I22</f>
        <v>3069.05</v>
      </c>
      <c r="J25" s="1"/>
    </row>
    <row r="26" spans="1:10" x14ac:dyDescent="0.25">
      <c r="A26" s="1"/>
      <c r="B26" s="4"/>
      <c r="C26" s="1"/>
      <c r="D26" s="2"/>
      <c r="E26" s="2"/>
      <c r="F26" s="2"/>
      <c r="G26" s="2"/>
      <c r="H26" s="5"/>
      <c r="I26" s="13"/>
      <c r="J26" s="12"/>
    </row>
  </sheetData>
  <mergeCells count="1">
    <mergeCell ref="D1:E1"/>
  </mergeCells>
  <conditionalFormatting sqref="C1:C4 D5:E14 F6:F14">
    <cfRule type="cellIs" dxfId="107" priority="4" operator="equal">
      <formula>15698.2</formula>
    </cfRule>
    <cfRule type="cellIs" dxfId="106" priority="5" operator="equal">
      <formula>"kapalı"</formula>
    </cfRule>
  </conditionalFormatting>
  <conditionalFormatting sqref="D1 F1:H1 D2:H4 J3:J4 G5:G26">
    <cfRule type="cellIs" dxfId="105" priority="6" operator="equal">
      <formula>"K.KART"</formula>
    </cfRule>
  </conditionalFormatting>
  <conditionalFormatting sqref="D15:F26">
    <cfRule type="cellIs" dxfId="104" priority="2" operator="equal">
      <formula>15698.2</formula>
    </cfRule>
    <cfRule type="cellIs" dxfId="103" priority="3" operator="equal">
      <formula>"kapalı"</formula>
    </cfRule>
  </conditionalFormatting>
  <conditionalFormatting sqref="F5:F6">
    <cfRule type="cellIs" dxfId="102" priority="1" operator="equal">
      <formula>"K.KART"</formula>
    </cfRule>
  </conditionalFormatting>
  <conditionalFormatting sqref="G26:H26">
    <cfRule type="cellIs" dxfId="101" priority="7" operator="equal">
      <formula>"K.KART"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E5AD-585B-4949-A95B-C8B27CAA9B39}">
  <sheetPr>
    <pageSetUpPr fitToPage="1"/>
  </sheetPr>
  <dimension ref="A1:J34"/>
  <sheetViews>
    <sheetView topLeftCell="A10" workbookViewId="0">
      <selection activeCell="M11" sqref="M11"/>
    </sheetView>
  </sheetViews>
  <sheetFormatPr defaultRowHeight="15" x14ac:dyDescent="0.25"/>
  <cols>
    <col min="1" max="1" width="20.5703125" customWidth="1"/>
    <col min="2" max="2" width="11.5703125" customWidth="1"/>
    <col min="3" max="3" width="18.7109375" customWidth="1"/>
    <col min="6" max="6" width="13.42578125" customWidth="1"/>
    <col min="7" max="7" width="12.28515625" customWidth="1"/>
    <col min="8" max="8" width="10.28515625" customWidth="1"/>
    <col min="9" max="9" width="11" customWidth="1"/>
    <col min="10" max="10" width="6.140625" customWidth="1"/>
  </cols>
  <sheetData>
    <row r="1" spans="1:10" x14ac:dyDescent="0.25">
      <c r="A1" s="23"/>
      <c r="B1" s="23"/>
      <c r="C1" s="35"/>
      <c r="D1" s="101" t="s">
        <v>27</v>
      </c>
      <c r="E1" s="102"/>
      <c r="F1" s="11"/>
      <c r="G1" s="11"/>
      <c r="H1" s="11"/>
      <c r="I1" s="11"/>
      <c r="J1" s="24"/>
    </row>
    <row r="2" spans="1:10" x14ac:dyDescent="0.25">
      <c r="A2" s="23" t="s">
        <v>59</v>
      </c>
      <c r="B2" s="23">
        <v>2025</v>
      </c>
      <c r="C2" s="35"/>
      <c r="D2" s="11"/>
      <c r="E2" s="11"/>
      <c r="F2" s="11"/>
      <c r="G2" s="11"/>
      <c r="H2" s="11"/>
      <c r="I2" s="11"/>
      <c r="J2" s="25"/>
    </row>
    <row r="3" spans="1:10" ht="25.5" x14ac:dyDescent="0.25">
      <c r="A3" s="26" t="s">
        <v>0</v>
      </c>
      <c r="B3" s="26" t="s">
        <v>1</v>
      </c>
      <c r="C3" s="70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</row>
    <row r="4" spans="1:10" x14ac:dyDescent="0.25">
      <c r="A4" s="66" t="s">
        <v>60</v>
      </c>
      <c r="B4" s="71">
        <v>45782</v>
      </c>
      <c r="C4" s="72">
        <v>301000187647210</v>
      </c>
      <c r="D4" s="67" t="s">
        <v>12</v>
      </c>
      <c r="E4" s="67" t="s">
        <v>13</v>
      </c>
      <c r="F4" s="67">
        <v>12020.31</v>
      </c>
      <c r="G4" s="67">
        <v>10906</v>
      </c>
      <c r="H4" s="73">
        <v>1090.5999999999999</v>
      </c>
      <c r="I4" s="43">
        <f>H4*J4</f>
        <v>545.29999999999995</v>
      </c>
      <c r="J4" s="32">
        <v>0.5</v>
      </c>
    </row>
    <row r="5" spans="1:10" x14ac:dyDescent="0.25">
      <c r="A5" s="23" t="s">
        <v>61</v>
      </c>
      <c r="B5" s="29">
        <v>45787</v>
      </c>
      <c r="C5" s="35">
        <v>100000368411956</v>
      </c>
      <c r="D5" s="11" t="s">
        <v>12</v>
      </c>
      <c r="E5" s="67" t="s">
        <v>13</v>
      </c>
      <c r="F5" s="41">
        <v>2816.3</v>
      </c>
      <c r="G5" s="41">
        <v>2531.06</v>
      </c>
      <c r="H5" s="74">
        <v>253.1</v>
      </c>
      <c r="I5" s="43">
        <f>H5*J5</f>
        <v>126.55</v>
      </c>
      <c r="J5" s="32">
        <v>0.5</v>
      </c>
    </row>
    <row r="6" spans="1:10" x14ac:dyDescent="0.25">
      <c r="A6" s="29" t="s">
        <v>62</v>
      </c>
      <c r="B6" s="29">
        <v>45783</v>
      </c>
      <c r="C6" s="35">
        <v>268441054604</v>
      </c>
      <c r="D6" s="11" t="s">
        <v>12</v>
      </c>
      <c r="E6" s="67" t="s">
        <v>13</v>
      </c>
      <c r="F6" s="41">
        <v>11578.75</v>
      </c>
      <c r="G6" s="41">
        <v>10519.54</v>
      </c>
      <c r="H6" s="75">
        <v>1051.9000000000001</v>
      </c>
      <c r="I6" s="43">
        <f t="shared" ref="I6:I25" si="0">H6*J6</f>
        <v>525.95000000000005</v>
      </c>
      <c r="J6" s="32">
        <v>0.5</v>
      </c>
    </row>
    <row r="7" spans="1:10" x14ac:dyDescent="0.25">
      <c r="A7" s="23" t="s">
        <v>63</v>
      </c>
      <c r="B7" s="29">
        <v>45784</v>
      </c>
      <c r="C7" s="35">
        <v>100000370042354</v>
      </c>
      <c r="D7" s="11" t="s">
        <v>12</v>
      </c>
      <c r="E7" s="67" t="s">
        <v>13</v>
      </c>
      <c r="F7" s="41">
        <v>8471.39</v>
      </c>
      <c r="G7" s="41">
        <v>7780.85</v>
      </c>
      <c r="H7" s="45">
        <v>778</v>
      </c>
      <c r="I7" s="43">
        <f t="shared" si="0"/>
        <v>389</v>
      </c>
      <c r="J7" s="32">
        <v>0.5</v>
      </c>
    </row>
    <row r="8" spans="1:10" x14ac:dyDescent="0.25">
      <c r="A8" s="23" t="s">
        <v>64</v>
      </c>
      <c r="B8" s="29">
        <v>45787</v>
      </c>
      <c r="C8" s="35">
        <v>333000021613649</v>
      </c>
      <c r="D8" s="11" t="s">
        <v>65</v>
      </c>
      <c r="E8" s="67" t="s">
        <v>13</v>
      </c>
      <c r="F8" s="41">
        <v>32243.279999999999</v>
      </c>
      <c r="G8" s="41">
        <v>30707.89</v>
      </c>
      <c r="H8" s="74">
        <v>4606.05</v>
      </c>
      <c r="I8" s="43">
        <f t="shared" si="0"/>
        <v>2303.0250000000001</v>
      </c>
      <c r="J8" s="32">
        <v>0.5</v>
      </c>
    </row>
    <row r="9" spans="1:10" x14ac:dyDescent="0.25">
      <c r="A9" s="23" t="s">
        <v>66</v>
      </c>
      <c r="B9" s="29">
        <v>45790</v>
      </c>
      <c r="C9" s="35">
        <v>100000372267454</v>
      </c>
      <c r="D9" s="11" t="s">
        <v>12</v>
      </c>
      <c r="E9" s="67" t="s">
        <v>13</v>
      </c>
      <c r="F9" s="41">
        <v>6965.59</v>
      </c>
      <c r="G9" s="41">
        <v>6331.63</v>
      </c>
      <c r="H9" s="74">
        <v>633.1</v>
      </c>
      <c r="I9" s="43">
        <f t="shared" si="0"/>
        <v>316.55</v>
      </c>
      <c r="J9" s="32">
        <v>0.5</v>
      </c>
    </row>
    <row r="10" spans="1:10" x14ac:dyDescent="0.25">
      <c r="A10" s="23" t="s">
        <v>66</v>
      </c>
      <c r="B10" s="29">
        <v>45790</v>
      </c>
      <c r="C10" s="35">
        <v>11984878</v>
      </c>
      <c r="D10" s="11" t="s">
        <v>24</v>
      </c>
      <c r="E10" s="67" t="s">
        <v>13</v>
      </c>
      <c r="F10" s="41">
        <v>150</v>
      </c>
      <c r="G10" s="41">
        <v>150</v>
      </c>
      <c r="H10" s="74">
        <v>15</v>
      </c>
      <c r="I10" s="43">
        <f t="shared" si="0"/>
        <v>7.5</v>
      </c>
      <c r="J10" s="32">
        <v>0.5</v>
      </c>
    </row>
    <row r="11" spans="1:10" x14ac:dyDescent="0.25">
      <c r="A11" s="23" t="s">
        <v>67</v>
      </c>
      <c r="B11" s="29">
        <v>45797</v>
      </c>
      <c r="C11" s="35">
        <v>100000369973496</v>
      </c>
      <c r="D11" s="11" t="s">
        <v>12</v>
      </c>
      <c r="E11" s="67" t="s">
        <v>13</v>
      </c>
      <c r="F11" s="41">
        <v>8907.0300000000007</v>
      </c>
      <c r="G11" s="41">
        <v>8079.85</v>
      </c>
      <c r="H11" s="74">
        <v>808</v>
      </c>
      <c r="I11" s="43">
        <f t="shared" si="0"/>
        <v>404</v>
      </c>
      <c r="J11" s="32">
        <v>0.5</v>
      </c>
    </row>
    <row r="12" spans="1:10" x14ac:dyDescent="0.25">
      <c r="A12" s="23" t="s">
        <v>68</v>
      </c>
      <c r="B12" s="29">
        <v>45797</v>
      </c>
      <c r="C12" s="35">
        <v>100000374302828</v>
      </c>
      <c r="D12" s="11" t="s">
        <v>12</v>
      </c>
      <c r="E12" s="67" t="s">
        <v>13</v>
      </c>
      <c r="F12" s="41">
        <v>15570.74</v>
      </c>
      <c r="G12" s="41">
        <v>14184.45</v>
      </c>
      <c r="H12" s="74">
        <v>1418.4</v>
      </c>
      <c r="I12" s="43">
        <f t="shared" si="0"/>
        <v>709.2</v>
      </c>
      <c r="J12" s="32">
        <v>0.5</v>
      </c>
    </row>
    <row r="13" spans="1:10" x14ac:dyDescent="0.25">
      <c r="A13" s="76" t="s">
        <v>69</v>
      </c>
      <c r="B13" s="77">
        <v>45802</v>
      </c>
      <c r="C13" s="78">
        <v>154496799</v>
      </c>
      <c r="D13" s="60" t="s">
        <v>12</v>
      </c>
      <c r="E13" s="67" t="s">
        <v>13</v>
      </c>
      <c r="F13" s="79">
        <v>8494.4</v>
      </c>
      <c r="G13" s="79">
        <v>7584.29</v>
      </c>
      <c r="H13" s="80">
        <v>758.4</v>
      </c>
      <c r="I13" s="43">
        <f t="shared" si="0"/>
        <v>379.2</v>
      </c>
      <c r="J13" s="32">
        <v>0.5</v>
      </c>
    </row>
    <row r="14" spans="1:10" x14ac:dyDescent="0.25">
      <c r="A14" s="76" t="s">
        <v>69</v>
      </c>
      <c r="B14" s="77">
        <v>45802</v>
      </c>
      <c r="C14" s="78">
        <v>154497026</v>
      </c>
      <c r="D14" s="60" t="s">
        <v>22</v>
      </c>
      <c r="E14" s="67" t="s">
        <v>13</v>
      </c>
      <c r="F14" s="79">
        <v>5309</v>
      </c>
      <c r="G14" s="79">
        <v>5055.3500000000004</v>
      </c>
      <c r="H14" s="80">
        <v>505.5</v>
      </c>
      <c r="I14" s="43">
        <f t="shared" si="0"/>
        <v>252.75</v>
      </c>
      <c r="J14" s="32">
        <v>0.5</v>
      </c>
    </row>
    <row r="15" spans="1:10" x14ac:dyDescent="0.25">
      <c r="A15" s="76" t="s">
        <v>69</v>
      </c>
      <c r="B15" s="77">
        <v>45797</v>
      </c>
      <c r="C15" s="78">
        <v>154497548</v>
      </c>
      <c r="D15" s="60" t="s">
        <v>22</v>
      </c>
      <c r="E15" s="67" t="s">
        <v>13</v>
      </c>
      <c r="F15" s="79">
        <v>999.7</v>
      </c>
      <c r="G15" s="79">
        <v>952.04</v>
      </c>
      <c r="H15" s="80">
        <v>95.2</v>
      </c>
      <c r="I15" s="43">
        <f t="shared" si="0"/>
        <v>47.6</v>
      </c>
      <c r="J15" s="32">
        <v>0.5</v>
      </c>
    </row>
    <row r="16" spans="1:10" x14ac:dyDescent="0.25">
      <c r="A16" s="76" t="s">
        <v>70</v>
      </c>
      <c r="B16" s="77">
        <v>45799</v>
      </c>
      <c r="C16" s="78">
        <v>95913687</v>
      </c>
      <c r="D16" s="60" t="s">
        <v>12</v>
      </c>
      <c r="E16" s="67" t="s">
        <v>13</v>
      </c>
      <c r="F16" s="79">
        <v>7584.55</v>
      </c>
      <c r="G16" s="79">
        <v>6859.36</v>
      </c>
      <c r="H16" s="80">
        <v>685.9</v>
      </c>
      <c r="I16" s="43">
        <f>H16*J16</f>
        <v>342.95</v>
      </c>
      <c r="J16" s="32">
        <v>0.5</v>
      </c>
    </row>
    <row r="17" spans="1:10" x14ac:dyDescent="0.25">
      <c r="A17" s="76" t="s">
        <v>70</v>
      </c>
      <c r="B17" s="77">
        <v>45798</v>
      </c>
      <c r="C17" s="78">
        <v>95914714</v>
      </c>
      <c r="D17" s="60" t="s">
        <v>23</v>
      </c>
      <c r="E17" s="67" t="s">
        <v>13</v>
      </c>
      <c r="F17" s="79">
        <v>300.3</v>
      </c>
      <c r="G17" s="79">
        <v>286</v>
      </c>
      <c r="H17" s="80">
        <v>28.6</v>
      </c>
      <c r="I17" s="43">
        <f t="shared" si="0"/>
        <v>14.3</v>
      </c>
      <c r="J17" s="32">
        <v>0.5</v>
      </c>
    </row>
    <row r="18" spans="1:10" x14ac:dyDescent="0.25">
      <c r="A18" s="76" t="s">
        <v>71</v>
      </c>
      <c r="B18" s="77">
        <v>45798</v>
      </c>
      <c r="C18" s="78">
        <v>100000374969314</v>
      </c>
      <c r="D18" s="60" t="s">
        <v>12</v>
      </c>
      <c r="E18" s="67" t="s">
        <v>13</v>
      </c>
      <c r="F18" s="79">
        <v>17556.169999999998</v>
      </c>
      <c r="G18" s="79">
        <v>16087.96</v>
      </c>
      <c r="H18" s="80">
        <v>1608.7</v>
      </c>
      <c r="I18" s="43">
        <f t="shared" si="0"/>
        <v>804.35</v>
      </c>
      <c r="J18" s="32">
        <v>0.5</v>
      </c>
    </row>
    <row r="19" spans="1:10" x14ac:dyDescent="0.25">
      <c r="A19" s="76" t="s">
        <v>72</v>
      </c>
      <c r="B19" s="77">
        <v>45798</v>
      </c>
      <c r="C19" s="78">
        <v>100000374984263</v>
      </c>
      <c r="D19" s="60" t="s">
        <v>12</v>
      </c>
      <c r="E19" s="67" t="s">
        <v>13</v>
      </c>
      <c r="F19" s="60">
        <v>19716.97</v>
      </c>
      <c r="G19" s="60">
        <v>17972.060000000001</v>
      </c>
      <c r="H19" s="81">
        <v>1797.2</v>
      </c>
      <c r="I19" s="43">
        <f t="shared" si="0"/>
        <v>898.6</v>
      </c>
      <c r="J19" s="32">
        <v>0.5</v>
      </c>
    </row>
    <row r="20" spans="1:10" x14ac:dyDescent="0.25">
      <c r="A20" s="76" t="s">
        <v>74</v>
      </c>
      <c r="B20" s="77">
        <v>45807</v>
      </c>
      <c r="C20" s="78">
        <v>100000378731881</v>
      </c>
      <c r="D20" s="60" t="s">
        <v>12</v>
      </c>
      <c r="E20" s="67" t="s">
        <v>13</v>
      </c>
      <c r="F20" s="60">
        <v>19716.97</v>
      </c>
      <c r="G20" s="60">
        <v>17972.060000000001</v>
      </c>
      <c r="H20" s="81">
        <v>1797.02</v>
      </c>
      <c r="I20" s="43">
        <f t="shared" si="0"/>
        <v>898.51</v>
      </c>
      <c r="J20" s="32">
        <v>0.5</v>
      </c>
    </row>
    <row r="21" spans="1:10" x14ac:dyDescent="0.25">
      <c r="A21" s="76" t="s">
        <v>64</v>
      </c>
      <c r="B21" s="77">
        <v>45807</v>
      </c>
      <c r="C21" s="78">
        <v>268441054723</v>
      </c>
      <c r="D21" s="60" t="s">
        <v>12</v>
      </c>
      <c r="E21" s="67" t="s">
        <v>13</v>
      </c>
      <c r="F21" s="67">
        <v>20442.14</v>
      </c>
      <c r="G21" s="67">
        <v>18444.04</v>
      </c>
      <c r="H21" s="73">
        <v>1844.4</v>
      </c>
      <c r="I21" s="43">
        <f>H21*J21</f>
        <v>922.2</v>
      </c>
      <c r="J21" s="32">
        <v>0.5</v>
      </c>
    </row>
    <row r="22" spans="1:10" ht="13.5" customHeight="1" x14ac:dyDescent="0.25">
      <c r="A22" s="22" t="s">
        <v>63</v>
      </c>
      <c r="B22" s="36">
        <v>45782</v>
      </c>
      <c r="C22" s="51">
        <v>1225630824</v>
      </c>
      <c r="D22" s="37" t="s">
        <v>12</v>
      </c>
      <c r="E22" s="37" t="s">
        <v>13</v>
      </c>
      <c r="F22" s="37">
        <v>108</v>
      </c>
      <c r="G22" s="37">
        <v>97.02</v>
      </c>
      <c r="H22" s="82">
        <v>9.6999999999999993</v>
      </c>
      <c r="I22" s="62">
        <f t="shared" si="0"/>
        <v>4.8499999999999996</v>
      </c>
      <c r="J22" s="40">
        <v>0.5</v>
      </c>
    </row>
    <row r="23" spans="1:10" x14ac:dyDescent="0.25">
      <c r="A23" s="22" t="s">
        <v>73</v>
      </c>
      <c r="B23" s="36">
        <v>45784</v>
      </c>
      <c r="C23" s="51">
        <v>135866668</v>
      </c>
      <c r="D23" s="37" t="s">
        <v>12</v>
      </c>
      <c r="E23" s="37" t="s">
        <v>13</v>
      </c>
      <c r="F23" s="37">
        <v>1704.24</v>
      </c>
      <c r="G23" s="37">
        <v>1551.15</v>
      </c>
      <c r="H23" s="82">
        <v>155.1</v>
      </c>
      <c r="I23" s="62">
        <f t="shared" si="0"/>
        <v>77.55</v>
      </c>
      <c r="J23" s="40">
        <v>0.5</v>
      </c>
    </row>
    <row r="24" spans="1:10" x14ac:dyDescent="0.25">
      <c r="A24" s="22"/>
      <c r="B24" s="36"/>
      <c r="C24" s="51"/>
      <c r="D24" s="37"/>
      <c r="E24" s="37"/>
      <c r="F24" s="37"/>
      <c r="G24" s="37"/>
      <c r="H24" s="82"/>
      <c r="I24" s="43">
        <f t="shared" si="0"/>
        <v>0</v>
      </c>
      <c r="J24" s="32">
        <v>0.5</v>
      </c>
    </row>
    <row r="25" spans="1:10" x14ac:dyDescent="0.25">
      <c r="A25" s="23"/>
      <c r="B25" s="29"/>
      <c r="C25" s="35"/>
      <c r="D25" s="11"/>
      <c r="E25" s="11"/>
      <c r="F25" s="11"/>
      <c r="G25" s="11"/>
      <c r="H25" s="83"/>
      <c r="I25" s="43">
        <f t="shared" si="0"/>
        <v>0</v>
      </c>
      <c r="J25" s="32">
        <v>0.5</v>
      </c>
    </row>
    <row r="26" spans="1:10" x14ac:dyDescent="0.25">
      <c r="A26" s="23"/>
      <c r="B26" s="29"/>
      <c r="C26" s="35"/>
      <c r="D26" s="11"/>
      <c r="E26" s="11"/>
      <c r="F26" s="11"/>
      <c r="G26" s="11"/>
      <c r="H26" s="31"/>
      <c r="I26" s="11"/>
      <c r="J26" s="50"/>
    </row>
    <row r="27" spans="1:10" x14ac:dyDescent="0.25">
      <c r="A27" s="23"/>
      <c r="B27" s="29"/>
      <c r="C27" s="35"/>
      <c r="D27" s="11"/>
      <c r="E27" s="11" t="s">
        <v>10</v>
      </c>
      <c r="F27" s="11">
        <f>SUM(F4:F21)</f>
        <v>198843.59000000003</v>
      </c>
      <c r="G27" s="11">
        <f>SUM(G4:G21)</f>
        <v>182404.43</v>
      </c>
      <c r="H27" s="31">
        <f>SUM(H4:H21)</f>
        <v>19775.070000000003</v>
      </c>
      <c r="I27" s="47">
        <f>SUM(I4:I21)</f>
        <v>9887.5350000000017</v>
      </c>
      <c r="J27" s="48"/>
    </row>
    <row r="28" spans="1:10" x14ac:dyDescent="0.25">
      <c r="A28" s="1"/>
      <c r="B28" s="4"/>
      <c r="C28" s="84"/>
      <c r="D28" s="2"/>
      <c r="E28" s="54" t="s">
        <v>25</v>
      </c>
      <c r="F28" s="52">
        <f>F22+F23</f>
        <v>1812.24</v>
      </c>
      <c r="G28" s="52">
        <f>G22+G23</f>
        <v>1648.17</v>
      </c>
      <c r="H28" s="53">
        <f>H22+H23</f>
        <v>164.79999999999998</v>
      </c>
      <c r="I28" s="54">
        <f>I23+I22</f>
        <v>82.399999999999991</v>
      </c>
      <c r="J28" s="21"/>
    </row>
    <row r="29" spans="1:10" x14ac:dyDescent="0.25">
      <c r="A29" s="1"/>
      <c r="B29" s="4"/>
      <c r="C29" s="84"/>
      <c r="D29" s="2"/>
      <c r="E29" s="2"/>
      <c r="F29" s="2"/>
      <c r="G29" s="2"/>
      <c r="H29" s="5"/>
      <c r="I29" s="13"/>
      <c r="J29" s="1"/>
    </row>
    <row r="30" spans="1:10" x14ac:dyDescent="0.25">
      <c r="A30" s="1"/>
      <c r="B30" s="4"/>
      <c r="C30" s="84"/>
      <c r="D30" s="2"/>
      <c r="E30" s="2"/>
      <c r="F30" s="2"/>
      <c r="G30" s="2"/>
      <c r="H30" s="5"/>
      <c r="I30" s="13"/>
      <c r="J30" s="1"/>
    </row>
    <row r="31" spans="1:10" x14ac:dyDescent="0.25">
      <c r="A31" s="1"/>
      <c r="B31" s="4"/>
      <c r="C31" s="84"/>
      <c r="D31" s="2"/>
      <c r="E31" s="2" t="s">
        <v>26</v>
      </c>
      <c r="F31" s="2">
        <f>I27-I28</f>
        <v>9805.135000000002</v>
      </c>
      <c r="G31" s="2"/>
      <c r="H31" s="5"/>
      <c r="I31" s="6">
        <f>I27-I28</f>
        <v>9805.135000000002</v>
      </c>
      <c r="J31" s="1"/>
    </row>
    <row r="32" spans="1:10" x14ac:dyDescent="0.25">
      <c r="A32" s="1"/>
      <c r="B32" s="4"/>
      <c r="C32" s="84"/>
      <c r="D32" s="2"/>
      <c r="E32" s="2"/>
      <c r="F32" s="2"/>
      <c r="G32" s="87" t="s">
        <v>82</v>
      </c>
      <c r="H32" s="88"/>
      <c r="I32" s="87">
        <v>9753.89</v>
      </c>
      <c r="J32" s="12"/>
    </row>
    <row r="34" spans="9:9" x14ac:dyDescent="0.25">
      <c r="I34" s="86"/>
    </row>
  </sheetData>
  <mergeCells count="1">
    <mergeCell ref="D1:E1"/>
  </mergeCells>
  <conditionalFormatting sqref="C1:C4 D5">
    <cfRule type="cellIs" dxfId="100" priority="6" operator="equal">
      <formula>15698.2</formula>
    </cfRule>
    <cfRule type="cellIs" dxfId="99" priority="7" operator="equal">
      <formula>"kapalı"</formula>
    </cfRule>
  </conditionalFormatting>
  <conditionalFormatting sqref="D1 F1:H1 D2:H4 J3 G5:G20 G22:G32">
    <cfRule type="cellIs" dxfId="98" priority="8" operator="equal">
      <formula>"K.KART"</formula>
    </cfRule>
  </conditionalFormatting>
  <conditionalFormatting sqref="D6:F6 F7:F20 D7:D21 D22:F32">
    <cfRule type="cellIs" dxfId="97" priority="4" operator="equal">
      <formula>15698.2</formula>
    </cfRule>
    <cfRule type="cellIs" dxfId="96" priority="5" operator="equal">
      <formula>"kapalı"</formula>
    </cfRule>
  </conditionalFormatting>
  <conditionalFormatting sqref="E4:E21">
    <cfRule type="cellIs" dxfId="95" priority="2" operator="equal">
      <formula>"K.KART"</formula>
    </cfRule>
  </conditionalFormatting>
  <conditionalFormatting sqref="F5:F6">
    <cfRule type="cellIs" dxfId="94" priority="3" operator="equal">
      <formula>"K.KART"</formula>
    </cfRule>
  </conditionalFormatting>
  <conditionalFormatting sqref="F21:H21">
    <cfRule type="cellIs" dxfId="93" priority="1" operator="equal">
      <formula>"K.KART"</formula>
    </cfRule>
  </conditionalFormatting>
  <conditionalFormatting sqref="G32:H32">
    <cfRule type="cellIs" dxfId="92" priority="9" operator="equal">
      <formula>"K.KART"</formula>
    </cfRule>
  </conditionalFormatting>
  <pageMargins left="0.7" right="0.7" top="0.75" bottom="0.75" header="0.3" footer="0.3"/>
  <pageSetup paperSize="9" scale="72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0006-428F-4F69-9541-58CBED56C4AD}">
  <sheetPr>
    <pageSetUpPr fitToPage="1"/>
  </sheetPr>
  <dimension ref="A1:N38"/>
  <sheetViews>
    <sheetView topLeftCell="A19" zoomScale="115" zoomScaleNormal="115" workbookViewId="0">
      <selection activeCell="F37" sqref="F37"/>
    </sheetView>
  </sheetViews>
  <sheetFormatPr defaultRowHeight="15" x14ac:dyDescent="0.25"/>
  <cols>
    <col min="1" max="1" width="25" customWidth="1"/>
    <col min="2" max="2" width="11.28515625" customWidth="1"/>
    <col min="3" max="3" width="16.5703125" customWidth="1"/>
    <col min="6" max="6" width="12.140625" customWidth="1"/>
    <col min="7" max="7" width="11.5703125" customWidth="1"/>
    <col min="8" max="9" width="13.5703125" customWidth="1"/>
    <col min="10" max="10" width="5.42578125" customWidth="1"/>
  </cols>
  <sheetData>
    <row r="1" spans="1:14" x14ac:dyDescent="0.25">
      <c r="A1" s="23"/>
      <c r="B1" s="23"/>
      <c r="C1" s="35"/>
      <c r="D1" s="101" t="s">
        <v>27</v>
      </c>
      <c r="E1" s="102"/>
      <c r="F1" s="11"/>
      <c r="G1" s="11"/>
      <c r="H1" s="11"/>
      <c r="I1" s="11"/>
      <c r="J1" s="24"/>
    </row>
    <row r="2" spans="1:14" x14ac:dyDescent="0.25">
      <c r="A2" s="23" t="s">
        <v>75</v>
      </c>
      <c r="B2" s="23">
        <v>2025</v>
      </c>
      <c r="C2" s="35"/>
      <c r="D2" s="11"/>
      <c r="E2" s="11"/>
      <c r="F2" s="11"/>
      <c r="G2" s="11"/>
      <c r="H2" s="11"/>
      <c r="I2" s="11"/>
      <c r="J2" s="25"/>
    </row>
    <row r="3" spans="1:14" ht="38.25" x14ac:dyDescent="0.25">
      <c r="A3" s="26" t="s">
        <v>0</v>
      </c>
      <c r="B3" s="26" t="s">
        <v>1</v>
      </c>
      <c r="C3" s="70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</row>
    <row r="4" spans="1:14" x14ac:dyDescent="0.25">
      <c r="A4" s="23" t="s">
        <v>76</v>
      </c>
      <c r="B4" s="29">
        <v>45810</v>
      </c>
      <c r="C4" s="35">
        <v>100000379529472</v>
      </c>
      <c r="D4" s="11" t="s">
        <v>12</v>
      </c>
      <c r="E4" s="67" t="s">
        <v>13</v>
      </c>
      <c r="F4" s="41">
        <v>3962.03</v>
      </c>
      <c r="G4" s="41">
        <v>3560.75</v>
      </c>
      <c r="H4" s="74">
        <v>356</v>
      </c>
      <c r="I4" s="43">
        <f>H4*J4</f>
        <v>178</v>
      </c>
      <c r="J4" s="32">
        <v>0.5</v>
      </c>
    </row>
    <row r="5" spans="1:14" x14ac:dyDescent="0.25">
      <c r="A5" s="29" t="s">
        <v>77</v>
      </c>
      <c r="B5" s="29">
        <v>45810</v>
      </c>
      <c r="C5" s="35">
        <v>100000379707520</v>
      </c>
      <c r="D5" s="11" t="s">
        <v>12</v>
      </c>
      <c r="E5" s="67" t="s">
        <v>13</v>
      </c>
      <c r="F5" s="41">
        <v>18423.73</v>
      </c>
      <c r="G5" s="41">
        <v>16757.71</v>
      </c>
      <c r="H5" s="75">
        <v>1675.7</v>
      </c>
      <c r="I5" s="43">
        <f t="shared" ref="I5:I31" si="0">H5*J5</f>
        <v>837.85</v>
      </c>
      <c r="J5" s="32">
        <v>0.5</v>
      </c>
      <c r="N5" t="s">
        <v>95</v>
      </c>
    </row>
    <row r="6" spans="1:14" x14ac:dyDescent="0.25">
      <c r="A6" s="29" t="s">
        <v>78</v>
      </c>
      <c r="B6" s="29">
        <v>45811</v>
      </c>
      <c r="C6" s="35">
        <v>268441054745</v>
      </c>
      <c r="D6" s="11" t="s">
        <v>12</v>
      </c>
      <c r="E6" s="67" t="s">
        <v>13</v>
      </c>
      <c r="F6" s="41">
        <v>26781.85</v>
      </c>
      <c r="G6" s="41">
        <v>24421.13</v>
      </c>
      <c r="H6" s="45">
        <v>2442.1</v>
      </c>
      <c r="I6" s="43">
        <f t="shared" si="0"/>
        <v>1221.05</v>
      </c>
      <c r="J6" s="32">
        <v>0.5</v>
      </c>
    </row>
    <row r="7" spans="1:14" x14ac:dyDescent="0.25">
      <c r="A7" s="23" t="s">
        <v>79</v>
      </c>
      <c r="B7" s="29">
        <v>45814</v>
      </c>
      <c r="C7" s="35">
        <v>268441054750</v>
      </c>
      <c r="D7" s="11" t="s">
        <v>12</v>
      </c>
      <c r="E7" s="67" t="s">
        <v>13</v>
      </c>
      <c r="F7" s="41">
        <v>11506.61</v>
      </c>
      <c r="G7" s="41">
        <v>10460.549999999999</v>
      </c>
      <c r="H7" s="74">
        <v>1046</v>
      </c>
      <c r="I7" s="43">
        <f t="shared" si="0"/>
        <v>523</v>
      </c>
      <c r="J7" s="32">
        <v>0.5</v>
      </c>
    </row>
    <row r="8" spans="1:14" x14ac:dyDescent="0.25">
      <c r="A8" s="23" t="s">
        <v>80</v>
      </c>
      <c r="B8" s="29">
        <v>45818</v>
      </c>
      <c r="C8" s="35">
        <v>100000381167683</v>
      </c>
      <c r="D8" s="11" t="s">
        <v>12</v>
      </c>
      <c r="E8" s="67" t="s">
        <v>13</v>
      </c>
      <c r="F8" s="41">
        <v>9174.09</v>
      </c>
      <c r="G8" s="41">
        <v>8322.1</v>
      </c>
      <c r="H8" s="74">
        <v>832.2</v>
      </c>
      <c r="I8" s="43">
        <f t="shared" si="0"/>
        <v>416.1</v>
      </c>
      <c r="J8" s="32">
        <v>0.5</v>
      </c>
    </row>
    <row r="9" spans="1:14" x14ac:dyDescent="0.25">
      <c r="A9" s="23" t="s">
        <v>81</v>
      </c>
      <c r="B9" s="29">
        <v>45818</v>
      </c>
      <c r="C9" s="35">
        <v>100000381308852</v>
      </c>
      <c r="D9" s="11" t="s">
        <v>12</v>
      </c>
      <c r="E9" s="67" t="s">
        <v>13</v>
      </c>
      <c r="F9" s="41">
        <v>8727.7999999999993</v>
      </c>
      <c r="G9" s="41">
        <v>8016.35</v>
      </c>
      <c r="H9" s="74">
        <v>801.6</v>
      </c>
      <c r="I9" s="43">
        <f t="shared" si="0"/>
        <v>400.8</v>
      </c>
      <c r="J9" s="32">
        <v>0.5</v>
      </c>
    </row>
    <row r="10" spans="1:14" x14ac:dyDescent="0.25">
      <c r="A10" s="23" t="s">
        <v>81</v>
      </c>
      <c r="B10" s="29">
        <v>45818</v>
      </c>
      <c r="C10" s="35">
        <v>100000381308852</v>
      </c>
      <c r="D10" s="11" t="s">
        <v>24</v>
      </c>
      <c r="E10" s="67" t="s">
        <v>13</v>
      </c>
      <c r="F10" s="41">
        <v>150</v>
      </c>
      <c r="G10" s="41">
        <v>150</v>
      </c>
      <c r="H10" s="74">
        <v>15</v>
      </c>
      <c r="I10" s="43">
        <f t="shared" si="0"/>
        <v>7.5</v>
      </c>
      <c r="J10" s="32">
        <v>0.5</v>
      </c>
    </row>
    <row r="11" spans="1:14" x14ac:dyDescent="0.25">
      <c r="A11" s="23" t="s">
        <v>83</v>
      </c>
      <c r="B11" s="29">
        <v>45820</v>
      </c>
      <c r="C11" s="35">
        <v>301000197965335</v>
      </c>
      <c r="D11" s="11" t="s">
        <v>12</v>
      </c>
      <c r="E11" s="67" t="s">
        <v>13</v>
      </c>
      <c r="F11" s="41">
        <v>12628.02</v>
      </c>
      <c r="G11" s="41">
        <v>11457.38</v>
      </c>
      <c r="H11" s="74">
        <v>1145.7</v>
      </c>
      <c r="I11" s="43">
        <f t="shared" si="0"/>
        <v>572.85</v>
      </c>
      <c r="J11" s="32">
        <v>0.5</v>
      </c>
    </row>
    <row r="12" spans="1:14" x14ac:dyDescent="0.25">
      <c r="A12" s="76" t="s">
        <v>84</v>
      </c>
      <c r="B12" s="77">
        <v>45822</v>
      </c>
      <c r="C12" s="78">
        <v>301000198252974</v>
      </c>
      <c r="D12" s="60" t="s">
        <v>12</v>
      </c>
      <c r="E12" s="67" t="s">
        <v>13</v>
      </c>
      <c r="F12" s="79">
        <v>12608.77</v>
      </c>
      <c r="G12" s="79">
        <v>11581.4</v>
      </c>
      <c r="H12" s="80">
        <v>1158.0999999999999</v>
      </c>
      <c r="I12" s="43">
        <f t="shared" si="0"/>
        <v>579.04999999999995</v>
      </c>
      <c r="J12" s="32">
        <v>0.5</v>
      </c>
    </row>
    <row r="13" spans="1:14" x14ac:dyDescent="0.25">
      <c r="A13" s="76" t="s">
        <v>85</v>
      </c>
      <c r="B13" s="77">
        <v>45821</v>
      </c>
      <c r="C13" s="78">
        <v>100000382911595</v>
      </c>
      <c r="D13" s="60" t="s">
        <v>12</v>
      </c>
      <c r="E13" s="67" t="s">
        <v>13</v>
      </c>
      <c r="F13" s="79">
        <v>16037.89</v>
      </c>
      <c r="G13" s="79">
        <v>14610.01</v>
      </c>
      <c r="H13" s="80">
        <v>1461</v>
      </c>
      <c r="I13" s="43">
        <f>H13*J13</f>
        <v>730.5</v>
      </c>
      <c r="J13" s="32">
        <v>0.5</v>
      </c>
    </row>
    <row r="14" spans="1:14" x14ac:dyDescent="0.25">
      <c r="A14" s="76" t="s">
        <v>86</v>
      </c>
      <c r="B14" s="77">
        <v>45824</v>
      </c>
      <c r="C14" s="78">
        <v>100000383732401</v>
      </c>
      <c r="D14" s="60" t="s">
        <v>12</v>
      </c>
      <c r="E14" s="67" t="s">
        <v>13</v>
      </c>
      <c r="F14" s="79">
        <v>26550.42</v>
      </c>
      <c r="G14" s="79">
        <v>24200.75</v>
      </c>
      <c r="H14" s="80">
        <v>2420</v>
      </c>
      <c r="I14" s="43">
        <f t="shared" si="0"/>
        <v>1210</v>
      </c>
      <c r="J14" s="32">
        <v>0.5</v>
      </c>
    </row>
    <row r="15" spans="1:14" x14ac:dyDescent="0.25">
      <c r="A15" s="76" t="s">
        <v>78</v>
      </c>
      <c r="B15" s="77">
        <v>45825</v>
      </c>
      <c r="C15" s="78">
        <v>100000383955659</v>
      </c>
      <c r="D15" s="60" t="s">
        <v>12</v>
      </c>
      <c r="E15" s="67" t="s">
        <v>13</v>
      </c>
      <c r="F15" s="60">
        <v>8727.7999999999993</v>
      </c>
      <c r="G15" s="60">
        <v>8016.35</v>
      </c>
      <c r="H15" s="81">
        <v>801.6</v>
      </c>
      <c r="I15" s="43">
        <f t="shared" si="0"/>
        <v>400.8</v>
      </c>
      <c r="J15" s="32">
        <v>0.5</v>
      </c>
    </row>
    <row r="16" spans="1:14" x14ac:dyDescent="0.25">
      <c r="A16" s="76" t="s">
        <v>78</v>
      </c>
      <c r="B16" s="77">
        <v>45825</v>
      </c>
      <c r="C16" s="78">
        <v>100000383955659</v>
      </c>
      <c r="D16" s="60" t="s">
        <v>24</v>
      </c>
      <c r="E16" s="67" t="s">
        <v>13</v>
      </c>
      <c r="F16" s="60">
        <v>150</v>
      </c>
      <c r="G16" s="60">
        <v>150</v>
      </c>
      <c r="H16" s="81">
        <v>15</v>
      </c>
      <c r="I16" s="43">
        <f t="shared" si="0"/>
        <v>7.5</v>
      </c>
      <c r="J16" s="32">
        <v>0.5</v>
      </c>
    </row>
    <row r="17" spans="1:10" x14ac:dyDescent="0.25">
      <c r="A17" s="76" t="s">
        <v>87</v>
      </c>
      <c r="B17" s="77">
        <v>45826</v>
      </c>
      <c r="C17" s="78">
        <v>268441054873</v>
      </c>
      <c r="D17" s="60" t="s">
        <v>12</v>
      </c>
      <c r="E17" s="67" t="s">
        <v>13</v>
      </c>
      <c r="F17" s="60">
        <v>19943.93</v>
      </c>
      <c r="G17" s="60">
        <v>17908.830000000002</v>
      </c>
      <c r="H17" s="81">
        <v>1790.9</v>
      </c>
      <c r="I17" s="43">
        <f t="shared" si="0"/>
        <v>895.45</v>
      </c>
      <c r="J17" s="32">
        <v>0.5</v>
      </c>
    </row>
    <row r="18" spans="1:10" x14ac:dyDescent="0.25">
      <c r="A18" s="76" t="s">
        <v>87</v>
      </c>
      <c r="B18" s="77">
        <v>45826</v>
      </c>
      <c r="C18" s="78">
        <v>368441001079</v>
      </c>
      <c r="D18" s="60" t="s">
        <v>56</v>
      </c>
      <c r="E18" s="67" t="s">
        <v>13</v>
      </c>
      <c r="F18" s="60">
        <v>672</v>
      </c>
      <c r="G18" s="60">
        <v>640</v>
      </c>
      <c r="H18" s="81">
        <v>64</v>
      </c>
      <c r="I18" s="43">
        <f t="shared" si="0"/>
        <v>32</v>
      </c>
      <c r="J18" s="32">
        <v>0.5</v>
      </c>
    </row>
    <row r="19" spans="1:10" x14ac:dyDescent="0.25">
      <c r="A19" s="76" t="s">
        <v>88</v>
      </c>
      <c r="B19" s="77">
        <v>45825</v>
      </c>
      <c r="C19" s="78">
        <v>30459729</v>
      </c>
      <c r="D19" s="60" t="s">
        <v>12</v>
      </c>
      <c r="E19" s="67" t="s">
        <v>13</v>
      </c>
      <c r="F19" s="60">
        <v>19265.25</v>
      </c>
      <c r="G19" s="60">
        <v>17517.63</v>
      </c>
      <c r="H19" s="89">
        <v>1751.7</v>
      </c>
      <c r="I19" s="85">
        <f t="shared" si="0"/>
        <v>875.85</v>
      </c>
      <c r="J19" s="32">
        <v>0.5</v>
      </c>
    </row>
    <row r="20" spans="1:10" x14ac:dyDescent="0.25">
      <c r="A20" s="76" t="s">
        <v>88</v>
      </c>
      <c r="B20" s="77">
        <v>45825</v>
      </c>
      <c r="C20" s="78">
        <v>30459729</v>
      </c>
      <c r="D20" s="60" t="s">
        <v>22</v>
      </c>
      <c r="E20" s="67" t="s">
        <v>13</v>
      </c>
      <c r="F20" s="60">
        <v>2000.15</v>
      </c>
      <c r="G20" s="60">
        <v>1903.12</v>
      </c>
      <c r="H20" s="89">
        <v>190.3</v>
      </c>
      <c r="I20" s="43">
        <f t="shared" si="0"/>
        <v>95.15</v>
      </c>
      <c r="J20" s="32">
        <v>0.5</v>
      </c>
    </row>
    <row r="21" spans="1:10" x14ac:dyDescent="0.25">
      <c r="A21" s="76" t="s">
        <v>89</v>
      </c>
      <c r="B21" s="77">
        <v>45838</v>
      </c>
      <c r="C21" s="78">
        <v>156680154</v>
      </c>
      <c r="D21" s="60" t="s">
        <v>12</v>
      </c>
      <c r="E21" s="67" t="s">
        <v>13</v>
      </c>
      <c r="F21" s="60">
        <v>6694.4</v>
      </c>
      <c r="G21" s="60">
        <v>5977.14</v>
      </c>
      <c r="H21" s="89">
        <v>597.70000000000005</v>
      </c>
      <c r="I21" s="85">
        <f t="shared" si="0"/>
        <v>298.85000000000002</v>
      </c>
      <c r="J21" s="32">
        <v>0.5</v>
      </c>
    </row>
    <row r="22" spans="1:10" x14ac:dyDescent="0.25">
      <c r="A22" s="76" t="s">
        <v>89</v>
      </c>
      <c r="B22" s="77">
        <v>45838</v>
      </c>
      <c r="C22" s="78">
        <v>1381748286</v>
      </c>
      <c r="D22" s="60" t="s">
        <v>92</v>
      </c>
      <c r="E22" s="67" t="s">
        <v>13</v>
      </c>
      <c r="F22" s="60">
        <v>1413.1</v>
      </c>
      <c r="G22" s="60">
        <v>1345.81</v>
      </c>
      <c r="H22" s="89">
        <v>201.75</v>
      </c>
      <c r="I22" s="43">
        <f t="shared" si="0"/>
        <v>100.875</v>
      </c>
      <c r="J22" s="32">
        <v>0.5</v>
      </c>
    </row>
    <row r="23" spans="1:10" x14ac:dyDescent="0.25">
      <c r="A23" s="76" t="s">
        <v>89</v>
      </c>
      <c r="B23" s="77">
        <v>45838</v>
      </c>
      <c r="C23" s="78">
        <v>156680154</v>
      </c>
      <c r="D23" s="60" t="s">
        <v>22</v>
      </c>
      <c r="E23" s="67" t="s">
        <v>13</v>
      </c>
      <c r="F23" s="60">
        <v>4602.3999999999996</v>
      </c>
      <c r="G23" s="60">
        <v>4382.58</v>
      </c>
      <c r="H23" s="89">
        <v>438.2</v>
      </c>
      <c r="I23" s="43">
        <f t="shared" si="0"/>
        <v>219.1</v>
      </c>
      <c r="J23" s="32">
        <v>0.5</v>
      </c>
    </row>
    <row r="24" spans="1:10" x14ac:dyDescent="0.25">
      <c r="A24" s="76" t="s">
        <v>90</v>
      </c>
      <c r="B24" s="77">
        <v>45831</v>
      </c>
      <c r="C24" s="78">
        <v>30515020</v>
      </c>
      <c r="D24" s="60" t="s">
        <v>12</v>
      </c>
      <c r="E24" s="67" t="s">
        <v>13</v>
      </c>
      <c r="F24" s="60">
        <v>17342.7</v>
      </c>
      <c r="G24" s="60">
        <v>15686.63</v>
      </c>
      <c r="H24" s="89">
        <v>1568.6</v>
      </c>
      <c r="I24" s="85">
        <f t="shared" si="0"/>
        <v>784.3</v>
      </c>
      <c r="J24" s="32">
        <v>0.5</v>
      </c>
    </row>
    <row r="25" spans="1:10" x14ac:dyDescent="0.25">
      <c r="A25" s="76" t="s">
        <v>90</v>
      </c>
      <c r="B25" s="77">
        <v>45831</v>
      </c>
      <c r="C25" s="78">
        <v>30516625</v>
      </c>
      <c r="D25" s="60" t="s">
        <v>22</v>
      </c>
      <c r="E25" s="67" t="s">
        <v>13</v>
      </c>
      <c r="F25" s="60">
        <v>1499.6</v>
      </c>
      <c r="G25" s="60">
        <v>1421.74</v>
      </c>
      <c r="H25" s="89">
        <v>142.1</v>
      </c>
      <c r="I25" s="43">
        <f t="shared" si="0"/>
        <v>71.05</v>
      </c>
      <c r="J25" s="32">
        <v>0.5</v>
      </c>
    </row>
    <row r="26" spans="1:10" x14ac:dyDescent="0.25">
      <c r="A26" s="23" t="s">
        <v>91</v>
      </c>
      <c r="B26" s="29">
        <v>45832</v>
      </c>
      <c r="C26" s="35">
        <v>268441054905</v>
      </c>
      <c r="D26" s="11" t="s">
        <v>12</v>
      </c>
      <c r="E26" s="67" t="s">
        <v>13</v>
      </c>
      <c r="F26" s="11">
        <v>27636.58</v>
      </c>
      <c r="G26" s="11">
        <v>25235.16</v>
      </c>
      <c r="H26" s="83">
        <v>2523.5</v>
      </c>
      <c r="I26" s="43">
        <f t="shared" si="0"/>
        <v>1261.75</v>
      </c>
      <c r="J26" s="32">
        <v>0.5</v>
      </c>
    </row>
    <row r="27" spans="1:10" x14ac:dyDescent="0.25">
      <c r="A27" s="23" t="s">
        <v>91</v>
      </c>
      <c r="B27" s="29">
        <v>45832</v>
      </c>
      <c r="C27" s="35">
        <v>368441001092</v>
      </c>
      <c r="D27" s="11" t="s">
        <v>56</v>
      </c>
      <c r="E27" s="67" t="s">
        <v>13</v>
      </c>
      <c r="F27" s="11">
        <v>976.5</v>
      </c>
      <c r="G27" s="11">
        <v>930</v>
      </c>
      <c r="H27" s="83">
        <v>93</v>
      </c>
      <c r="I27" s="43">
        <f t="shared" si="0"/>
        <v>46.5</v>
      </c>
      <c r="J27" s="32">
        <v>0.5</v>
      </c>
    </row>
    <row r="28" spans="1:10" x14ac:dyDescent="0.25">
      <c r="A28" s="22" t="s">
        <v>51</v>
      </c>
      <c r="B28" s="36">
        <v>45819</v>
      </c>
      <c r="C28" s="51">
        <v>301000179047485</v>
      </c>
      <c r="D28" s="37" t="s">
        <v>12</v>
      </c>
      <c r="E28" s="37" t="s">
        <v>13</v>
      </c>
      <c r="F28" s="37">
        <v>11101.37</v>
      </c>
      <c r="G28" s="37">
        <v>10127.56</v>
      </c>
      <c r="H28" s="90">
        <v>1012.8</v>
      </c>
      <c r="I28" s="62">
        <f t="shared" si="0"/>
        <v>506.4</v>
      </c>
      <c r="J28" s="40">
        <v>0.5</v>
      </c>
    </row>
    <row r="29" spans="1:10" x14ac:dyDescent="0.25">
      <c r="A29" s="22" t="s">
        <v>87</v>
      </c>
      <c r="B29" s="36">
        <v>45832</v>
      </c>
      <c r="C29" s="51">
        <v>268441054873</v>
      </c>
      <c r="D29" s="37" t="s">
        <v>12</v>
      </c>
      <c r="E29" s="37" t="s">
        <v>13</v>
      </c>
      <c r="F29" s="37">
        <v>19332.310000000001</v>
      </c>
      <c r="G29" s="37">
        <v>17361.07</v>
      </c>
      <c r="H29" s="90">
        <v>1736.1</v>
      </c>
      <c r="I29" s="62">
        <f t="shared" si="0"/>
        <v>868.05</v>
      </c>
      <c r="J29" s="40">
        <v>0.5</v>
      </c>
    </row>
    <row r="30" spans="1:10" x14ac:dyDescent="0.25">
      <c r="A30" s="23"/>
      <c r="B30" s="29"/>
      <c r="C30" s="35"/>
      <c r="D30" s="11"/>
      <c r="E30" s="11"/>
      <c r="F30" s="11"/>
      <c r="G30" s="11"/>
      <c r="H30" s="31"/>
      <c r="I30" s="43">
        <f t="shared" si="0"/>
        <v>0</v>
      </c>
      <c r="J30" s="32">
        <v>0.5</v>
      </c>
    </row>
    <row r="31" spans="1:10" x14ac:dyDescent="0.25">
      <c r="A31" s="23"/>
      <c r="B31" s="29"/>
      <c r="C31" s="35"/>
      <c r="D31" s="11"/>
      <c r="E31" s="11"/>
      <c r="F31" s="11"/>
      <c r="G31" s="11"/>
      <c r="H31" s="31"/>
      <c r="I31" s="43">
        <f t="shared" si="0"/>
        <v>0</v>
      </c>
      <c r="J31" s="32">
        <v>0.5</v>
      </c>
    </row>
    <row r="32" spans="1:10" x14ac:dyDescent="0.25">
      <c r="A32" s="23"/>
      <c r="B32" s="29"/>
      <c r="C32" s="35"/>
      <c r="D32" s="11"/>
      <c r="E32" s="11"/>
      <c r="F32" s="11"/>
      <c r="G32" s="11"/>
      <c r="H32" s="31"/>
      <c r="I32" s="41"/>
      <c r="J32" s="50"/>
    </row>
    <row r="33" spans="1:10" x14ac:dyDescent="0.25">
      <c r="A33" s="23"/>
      <c r="B33" s="29"/>
      <c r="C33" s="35"/>
      <c r="D33" s="11"/>
      <c r="E33" s="11" t="s">
        <v>10</v>
      </c>
      <c r="F33" s="11">
        <f>SUM(F4:F32)</f>
        <v>287909.3</v>
      </c>
      <c r="G33" s="11">
        <f>SUM(G4:G32)</f>
        <v>262141.75</v>
      </c>
      <c r="H33" s="31">
        <f>SUM(H4:H32)</f>
        <v>26280.649999999998</v>
      </c>
      <c r="I33" s="47">
        <f>SUM(I4:I27)</f>
        <v>11765.875</v>
      </c>
      <c r="J33" s="48"/>
    </row>
    <row r="34" spans="1:10" x14ac:dyDescent="0.25">
      <c r="A34" s="1"/>
      <c r="B34" s="4"/>
      <c r="C34" s="84"/>
      <c r="D34" s="2"/>
      <c r="E34" s="54" t="s">
        <v>25</v>
      </c>
      <c r="F34" s="52"/>
      <c r="G34" s="52"/>
      <c r="H34" s="53"/>
      <c r="I34" s="54">
        <f>I28+I29</f>
        <v>1374.4499999999998</v>
      </c>
      <c r="J34" s="21"/>
    </row>
    <row r="35" spans="1:10" x14ac:dyDescent="0.25">
      <c r="A35" s="1"/>
      <c r="B35" s="4"/>
      <c r="C35" s="84"/>
      <c r="D35" s="2"/>
      <c r="E35" s="2"/>
      <c r="F35" s="2"/>
      <c r="G35" s="2"/>
      <c r="H35" s="5"/>
      <c r="I35" s="13"/>
      <c r="J35" s="1"/>
    </row>
    <row r="36" spans="1:10" x14ac:dyDescent="0.25">
      <c r="A36" s="1"/>
      <c r="B36" s="4"/>
      <c r="C36" s="84"/>
      <c r="D36" s="2"/>
      <c r="E36" s="2"/>
      <c r="F36" s="2"/>
      <c r="G36" s="2"/>
      <c r="H36" s="5"/>
      <c r="I36" s="13"/>
      <c r="J36" s="1"/>
    </row>
    <row r="37" spans="1:10" x14ac:dyDescent="0.25">
      <c r="A37" s="1"/>
      <c r="B37" s="4"/>
      <c r="C37" s="84"/>
      <c r="D37" s="2"/>
      <c r="E37" s="2" t="s">
        <v>26</v>
      </c>
      <c r="F37" s="2">
        <f>I33-I34</f>
        <v>10391.424999999999</v>
      </c>
      <c r="G37" s="2"/>
      <c r="H37" s="5"/>
      <c r="I37" s="6">
        <f>I33-I34</f>
        <v>10391.424999999999</v>
      </c>
      <c r="J37" s="1"/>
    </row>
    <row r="38" spans="1:10" x14ac:dyDescent="0.25">
      <c r="A38" s="1"/>
      <c r="B38" s="4"/>
      <c r="C38" s="84"/>
      <c r="D38" s="2"/>
      <c r="E38" s="2"/>
      <c r="F38" s="2"/>
      <c r="G38" s="2"/>
      <c r="H38" s="5"/>
      <c r="I38" s="13"/>
      <c r="J38" s="12"/>
    </row>
  </sheetData>
  <mergeCells count="1">
    <mergeCell ref="D1:E1"/>
  </mergeCells>
  <conditionalFormatting sqref="C1:C3 D4 D6:D26 F6:F26">
    <cfRule type="cellIs" dxfId="91" priority="5" operator="equal">
      <formula>15698.2</formula>
    </cfRule>
    <cfRule type="cellIs" dxfId="90" priority="6" operator="equal">
      <formula>"kapalı"</formula>
    </cfRule>
  </conditionalFormatting>
  <conditionalFormatting sqref="D1 F1:H1 D2:H3 J3 E4:E27 G4:G38">
    <cfRule type="cellIs" dxfId="89" priority="7" operator="equal">
      <formula>"K.KART"</formula>
    </cfRule>
  </conditionalFormatting>
  <conditionalFormatting sqref="D5:F5 D27:F38">
    <cfRule type="cellIs" dxfId="88" priority="3" operator="equal">
      <formula>15698.2</formula>
    </cfRule>
    <cfRule type="cellIs" dxfId="87" priority="4" operator="equal">
      <formula>"kapalı"</formula>
    </cfRule>
  </conditionalFormatting>
  <conditionalFormatting sqref="F4:F5">
    <cfRule type="cellIs" dxfId="86" priority="2" operator="equal">
      <formula>"K.KART"</formula>
    </cfRule>
  </conditionalFormatting>
  <conditionalFormatting sqref="G38:H38">
    <cfRule type="cellIs" dxfId="85" priority="8" operator="equal">
      <formula>"K.KART"</formula>
    </cfRule>
  </conditionalFormatting>
  <pageMargins left="0.7" right="0.7" top="0.75" bottom="0.75" header="0.3" footer="0.3"/>
  <pageSetup paperSize="9" scale="69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AC23-07F4-4A35-BA8F-EE2999921263}">
  <dimension ref="A1:J36"/>
  <sheetViews>
    <sheetView topLeftCell="A16" workbookViewId="0">
      <selection activeCell="I33" sqref="I33"/>
    </sheetView>
  </sheetViews>
  <sheetFormatPr defaultRowHeight="15" x14ac:dyDescent="0.25"/>
  <cols>
    <col min="1" max="1" width="20.140625" customWidth="1"/>
    <col min="2" max="2" width="11.85546875" customWidth="1"/>
    <col min="3" max="3" width="18.7109375" customWidth="1"/>
    <col min="4" max="4" width="9.28515625" customWidth="1"/>
    <col min="6" max="7" width="14.42578125" customWidth="1"/>
    <col min="8" max="8" width="13.5703125" customWidth="1"/>
    <col min="9" max="9" width="12.7109375" customWidth="1"/>
    <col min="10" max="10" width="6.28515625" customWidth="1"/>
  </cols>
  <sheetData>
    <row r="1" spans="1:10" x14ac:dyDescent="0.25">
      <c r="A1" s="23"/>
      <c r="B1" s="23"/>
      <c r="C1" s="35"/>
      <c r="D1" s="101" t="s">
        <v>27</v>
      </c>
      <c r="E1" s="102"/>
      <c r="F1" s="11"/>
      <c r="G1" s="11"/>
      <c r="H1" s="11"/>
      <c r="I1" s="11"/>
      <c r="J1" s="24"/>
    </row>
    <row r="2" spans="1:10" x14ac:dyDescent="0.25">
      <c r="A2" s="23" t="s">
        <v>93</v>
      </c>
      <c r="B2" s="23">
        <v>2025</v>
      </c>
      <c r="C2" s="35"/>
      <c r="D2" s="11"/>
      <c r="E2" s="11"/>
      <c r="F2" s="11"/>
      <c r="G2" s="11"/>
      <c r="H2" s="11"/>
      <c r="I2" s="11"/>
      <c r="J2" s="25"/>
    </row>
    <row r="3" spans="1:10" ht="25.5" x14ac:dyDescent="0.25">
      <c r="A3" s="26" t="s">
        <v>0</v>
      </c>
      <c r="B3" s="26" t="s">
        <v>1</v>
      </c>
      <c r="C3" s="70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</row>
    <row r="4" spans="1:10" x14ac:dyDescent="0.25">
      <c r="A4" s="23" t="s">
        <v>94</v>
      </c>
      <c r="B4" s="29">
        <v>45840</v>
      </c>
      <c r="C4" s="35">
        <v>100000389843762</v>
      </c>
      <c r="D4" s="11" t="s">
        <v>12</v>
      </c>
      <c r="E4" s="67" t="s">
        <v>13</v>
      </c>
      <c r="F4" s="41">
        <v>7319.5</v>
      </c>
      <c r="G4" s="41">
        <v>6653.33</v>
      </c>
      <c r="H4" s="74">
        <v>665.3</v>
      </c>
      <c r="I4" s="43">
        <f>H4*J4</f>
        <v>332.65</v>
      </c>
      <c r="J4" s="32">
        <v>0.5</v>
      </c>
    </row>
    <row r="5" spans="1:10" x14ac:dyDescent="0.25">
      <c r="A5" s="29" t="s">
        <v>94</v>
      </c>
      <c r="B5" s="29">
        <v>45840</v>
      </c>
      <c r="C5" s="35">
        <v>100000389843762</v>
      </c>
      <c r="D5" s="11" t="s">
        <v>24</v>
      </c>
      <c r="E5" s="67" t="s">
        <v>13</v>
      </c>
      <c r="F5" s="41">
        <v>150</v>
      </c>
      <c r="G5" s="41">
        <v>150</v>
      </c>
      <c r="H5" s="75">
        <v>15</v>
      </c>
      <c r="I5" s="43">
        <f t="shared" ref="I5:I29" si="0">H5*J5</f>
        <v>7.5</v>
      </c>
      <c r="J5" s="32">
        <v>0.5</v>
      </c>
    </row>
    <row r="6" spans="1:10" x14ac:dyDescent="0.25">
      <c r="A6" s="29" t="s">
        <v>96</v>
      </c>
      <c r="B6" s="29">
        <v>45840</v>
      </c>
      <c r="C6" s="35">
        <v>100000390020571</v>
      </c>
      <c r="D6" s="11" t="s">
        <v>12</v>
      </c>
      <c r="E6" s="67" t="s">
        <v>13</v>
      </c>
      <c r="F6" s="41">
        <v>9920.7999999999993</v>
      </c>
      <c r="G6" s="41">
        <v>9130.76</v>
      </c>
      <c r="H6" s="45">
        <v>913</v>
      </c>
      <c r="I6" s="43">
        <f t="shared" si="0"/>
        <v>456.5</v>
      </c>
      <c r="J6" s="32">
        <v>0.5</v>
      </c>
    </row>
    <row r="7" spans="1:10" x14ac:dyDescent="0.25">
      <c r="A7" s="23" t="s">
        <v>96</v>
      </c>
      <c r="B7" s="29">
        <v>45840</v>
      </c>
      <c r="C7" s="35">
        <v>576388</v>
      </c>
      <c r="D7" s="11" t="s">
        <v>24</v>
      </c>
      <c r="E7" s="67" t="s">
        <v>13</v>
      </c>
      <c r="F7" s="41">
        <v>150</v>
      </c>
      <c r="G7" s="41">
        <v>150</v>
      </c>
      <c r="H7" s="74">
        <v>15</v>
      </c>
      <c r="I7" s="43">
        <f t="shared" si="0"/>
        <v>7.5</v>
      </c>
      <c r="J7" s="32">
        <v>0.5</v>
      </c>
    </row>
    <row r="8" spans="1:10" x14ac:dyDescent="0.25">
      <c r="A8" s="23" t="s">
        <v>97</v>
      </c>
      <c r="B8" s="29">
        <v>45851</v>
      </c>
      <c r="C8" s="35">
        <v>268441054952</v>
      </c>
      <c r="D8" s="11" t="s">
        <v>12</v>
      </c>
      <c r="E8" s="67" t="s">
        <v>13</v>
      </c>
      <c r="F8" s="41">
        <v>8536.44</v>
      </c>
      <c r="G8" s="41">
        <v>7621.82</v>
      </c>
      <c r="H8" s="74">
        <v>762.1</v>
      </c>
      <c r="I8" s="43">
        <f t="shared" si="0"/>
        <v>381.05</v>
      </c>
      <c r="J8" s="32">
        <v>0.5</v>
      </c>
    </row>
    <row r="9" spans="1:10" x14ac:dyDescent="0.25">
      <c r="A9" s="23" t="s">
        <v>98</v>
      </c>
      <c r="B9" s="29">
        <v>45847</v>
      </c>
      <c r="C9" s="35">
        <v>268441054958</v>
      </c>
      <c r="D9" s="11" t="s">
        <v>12</v>
      </c>
      <c r="E9" s="67" t="s">
        <v>13</v>
      </c>
      <c r="F9" s="41">
        <v>22521.55</v>
      </c>
      <c r="G9" s="41">
        <v>20342.04</v>
      </c>
      <c r="H9" s="74">
        <v>2034.2</v>
      </c>
      <c r="I9" s="43">
        <f t="shared" si="0"/>
        <v>1017.1</v>
      </c>
      <c r="J9" s="32">
        <v>0.5</v>
      </c>
    </row>
    <row r="10" spans="1:10" x14ac:dyDescent="0.25">
      <c r="A10" s="23" t="s">
        <v>99</v>
      </c>
      <c r="B10" s="29">
        <v>45848</v>
      </c>
      <c r="C10" s="35">
        <v>100000393981553</v>
      </c>
      <c r="D10" s="11" t="s">
        <v>12</v>
      </c>
      <c r="E10" s="67" t="s">
        <v>13</v>
      </c>
      <c r="F10" s="41">
        <v>3689.71</v>
      </c>
      <c r="G10" s="41">
        <v>3316.01</v>
      </c>
      <c r="H10" s="74">
        <v>331.6</v>
      </c>
      <c r="I10" s="43">
        <f t="shared" si="0"/>
        <v>165.8</v>
      </c>
      <c r="J10" s="32">
        <v>0.5</v>
      </c>
    </row>
    <row r="11" spans="1:10" x14ac:dyDescent="0.25">
      <c r="A11" s="23" t="s">
        <v>99</v>
      </c>
      <c r="B11" s="29">
        <v>45848</v>
      </c>
      <c r="C11" s="35">
        <v>625581</v>
      </c>
      <c r="D11" s="11" t="s">
        <v>24</v>
      </c>
      <c r="E11" s="67" t="s">
        <v>13</v>
      </c>
      <c r="F11" s="41">
        <v>100</v>
      </c>
      <c r="G11" s="41">
        <v>100</v>
      </c>
      <c r="H11" s="74">
        <v>10</v>
      </c>
      <c r="I11" s="43">
        <f t="shared" si="0"/>
        <v>5</v>
      </c>
      <c r="J11" s="32">
        <v>0.5</v>
      </c>
    </row>
    <row r="12" spans="1:10" x14ac:dyDescent="0.25">
      <c r="A12" s="76" t="s">
        <v>86</v>
      </c>
      <c r="B12" s="77">
        <v>45864</v>
      </c>
      <c r="C12" s="78">
        <v>100000396551149</v>
      </c>
      <c r="D12" s="60" t="s">
        <v>12</v>
      </c>
      <c r="E12" s="67" t="s">
        <v>13</v>
      </c>
      <c r="F12" s="79">
        <v>9356.93</v>
      </c>
      <c r="G12" s="79">
        <v>8487.9699999999993</v>
      </c>
      <c r="H12" s="80">
        <v>848.8</v>
      </c>
      <c r="I12" s="43">
        <f t="shared" si="0"/>
        <v>424.4</v>
      </c>
      <c r="J12" s="32">
        <v>0.5</v>
      </c>
    </row>
    <row r="13" spans="1:10" x14ac:dyDescent="0.25">
      <c r="A13" s="76" t="s">
        <v>86</v>
      </c>
      <c r="B13" s="77">
        <v>45864</v>
      </c>
      <c r="C13" s="78">
        <v>675308</v>
      </c>
      <c r="D13" s="60" t="s">
        <v>24</v>
      </c>
      <c r="E13" s="67" t="s">
        <v>13</v>
      </c>
      <c r="F13" s="79">
        <v>100</v>
      </c>
      <c r="G13" s="79">
        <v>100</v>
      </c>
      <c r="H13" s="80">
        <v>10</v>
      </c>
      <c r="I13" s="43">
        <f>H13*J13</f>
        <v>5</v>
      </c>
      <c r="J13" s="32">
        <v>0.5</v>
      </c>
    </row>
    <row r="14" spans="1:10" x14ac:dyDescent="0.25">
      <c r="A14" s="76" t="s">
        <v>100</v>
      </c>
      <c r="B14" s="77">
        <v>45855</v>
      </c>
      <c r="C14" s="78">
        <v>301000207732584</v>
      </c>
      <c r="D14" s="60" t="s">
        <v>12</v>
      </c>
      <c r="E14" s="67" t="s">
        <v>13</v>
      </c>
      <c r="F14" s="79">
        <v>7716.86</v>
      </c>
      <c r="G14" s="79">
        <v>5144.57</v>
      </c>
      <c r="H14" s="80">
        <v>514.4</v>
      </c>
      <c r="I14" s="43">
        <f t="shared" si="0"/>
        <v>257.2</v>
      </c>
      <c r="J14" s="32">
        <v>0.5</v>
      </c>
    </row>
    <row r="15" spans="1:10" x14ac:dyDescent="0.25">
      <c r="A15" s="76" t="s">
        <v>101</v>
      </c>
      <c r="B15" s="77">
        <v>45857</v>
      </c>
      <c r="C15" s="78">
        <v>100000398581992</v>
      </c>
      <c r="D15" s="60" t="s">
        <v>12</v>
      </c>
      <c r="E15" s="67" t="s">
        <v>13</v>
      </c>
      <c r="F15" s="60">
        <v>9596.2099999999991</v>
      </c>
      <c r="G15" s="60">
        <v>8822.44</v>
      </c>
      <c r="H15" s="81">
        <v>882.2</v>
      </c>
      <c r="I15" s="43">
        <f t="shared" si="0"/>
        <v>441.1</v>
      </c>
      <c r="J15" s="32">
        <v>0.5</v>
      </c>
    </row>
    <row r="16" spans="1:10" x14ac:dyDescent="0.25">
      <c r="A16" s="76" t="s">
        <v>101</v>
      </c>
      <c r="B16" s="77">
        <v>45857</v>
      </c>
      <c r="C16" s="78">
        <v>709895</v>
      </c>
      <c r="D16" s="60" t="s">
        <v>24</v>
      </c>
      <c r="E16" s="67" t="s">
        <v>13</v>
      </c>
      <c r="F16" s="60">
        <v>100</v>
      </c>
      <c r="G16" s="60">
        <v>100</v>
      </c>
      <c r="H16" s="81">
        <v>10</v>
      </c>
      <c r="I16" s="43">
        <f t="shared" si="0"/>
        <v>5</v>
      </c>
      <c r="J16" s="32">
        <v>0.5</v>
      </c>
    </row>
    <row r="17" spans="1:10" x14ac:dyDescent="0.25">
      <c r="A17" s="76" t="s">
        <v>102</v>
      </c>
      <c r="B17" s="77">
        <v>45861</v>
      </c>
      <c r="C17" s="78">
        <v>301000209323851</v>
      </c>
      <c r="D17" s="60" t="s">
        <v>12</v>
      </c>
      <c r="E17" s="67" t="s">
        <v>13</v>
      </c>
      <c r="F17" s="60">
        <v>8860.41</v>
      </c>
      <c r="G17" s="60">
        <v>6173.71</v>
      </c>
      <c r="H17" s="81">
        <v>617.29999999999995</v>
      </c>
      <c r="I17" s="43">
        <f t="shared" si="0"/>
        <v>308.64999999999998</v>
      </c>
      <c r="J17" s="32">
        <v>0.5</v>
      </c>
    </row>
    <row r="18" spans="1:10" x14ac:dyDescent="0.25">
      <c r="A18" s="76" t="s">
        <v>103</v>
      </c>
      <c r="B18" s="77">
        <v>45866</v>
      </c>
      <c r="C18" s="78">
        <v>268441055023</v>
      </c>
      <c r="D18" s="60" t="s">
        <v>12</v>
      </c>
      <c r="E18" s="67" t="s">
        <v>13</v>
      </c>
      <c r="F18" s="60">
        <v>12366.62</v>
      </c>
      <c r="G18" s="60">
        <v>11041.63</v>
      </c>
      <c r="H18" s="89">
        <v>1104.0999999999999</v>
      </c>
      <c r="I18" s="85">
        <f t="shared" si="0"/>
        <v>552.04999999999995</v>
      </c>
      <c r="J18" s="32">
        <v>0.5</v>
      </c>
    </row>
    <row r="19" spans="1:10" x14ac:dyDescent="0.25">
      <c r="A19" s="76" t="s">
        <v>103</v>
      </c>
      <c r="B19" s="77">
        <v>45866</v>
      </c>
      <c r="C19" s="78">
        <v>368441001126</v>
      </c>
      <c r="D19" s="60" t="s">
        <v>56</v>
      </c>
      <c r="E19" s="67" t="s">
        <v>13</v>
      </c>
      <c r="F19" s="60">
        <v>210</v>
      </c>
      <c r="G19" s="60">
        <v>200</v>
      </c>
      <c r="H19" s="89">
        <v>20</v>
      </c>
      <c r="I19" s="43">
        <f t="shared" si="0"/>
        <v>10</v>
      </c>
      <c r="J19" s="32">
        <v>0.5</v>
      </c>
    </row>
    <row r="20" spans="1:10" x14ac:dyDescent="0.25">
      <c r="A20" s="76" t="s">
        <v>104</v>
      </c>
      <c r="B20" s="77">
        <v>45867</v>
      </c>
      <c r="C20" s="78">
        <v>100000403146759</v>
      </c>
      <c r="D20" s="60" t="s">
        <v>12</v>
      </c>
      <c r="E20" s="67" t="s">
        <v>13</v>
      </c>
      <c r="F20" s="60">
        <v>6905.23</v>
      </c>
      <c r="G20" s="60">
        <v>6276.77</v>
      </c>
      <c r="H20" s="89">
        <v>627.6</v>
      </c>
      <c r="I20" s="85">
        <f t="shared" si="0"/>
        <v>313.8</v>
      </c>
      <c r="J20" s="32">
        <v>0.5</v>
      </c>
    </row>
    <row r="21" spans="1:10" x14ac:dyDescent="0.25">
      <c r="A21" s="76" t="s">
        <v>104</v>
      </c>
      <c r="B21" s="77">
        <v>45867</v>
      </c>
      <c r="C21" s="78">
        <v>787909</v>
      </c>
      <c r="D21" s="60" t="s">
        <v>24</v>
      </c>
      <c r="E21" s="67" t="s">
        <v>13</v>
      </c>
      <c r="F21" s="60">
        <v>100</v>
      </c>
      <c r="G21" s="60">
        <v>100</v>
      </c>
      <c r="H21" s="89">
        <v>10</v>
      </c>
      <c r="I21" s="43">
        <f t="shared" si="0"/>
        <v>5</v>
      </c>
      <c r="J21" s="32">
        <v>0.5</v>
      </c>
    </row>
    <row r="22" spans="1:10" x14ac:dyDescent="0.25">
      <c r="A22" s="76" t="s">
        <v>105</v>
      </c>
      <c r="B22" s="77">
        <v>45867</v>
      </c>
      <c r="C22" s="78">
        <v>100000403430743</v>
      </c>
      <c r="D22" s="60" t="s">
        <v>12</v>
      </c>
      <c r="E22" s="67" t="s">
        <v>13</v>
      </c>
      <c r="F22" s="60">
        <v>7319.5</v>
      </c>
      <c r="G22" s="60">
        <v>6653.33</v>
      </c>
      <c r="H22" s="89">
        <v>665.3</v>
      </c>
      <c r="I22" s="85">
        <f t="shared" si="0"/>
        <v>332.65</v>
      </c>
      <c r="J22" s="32">
        <v>0.5</v>
      </c>
    </row>
    <row r="23" spans="1:10" x14ac:dyDescent="0.25">
      <c r="A23" s="76" t="s">
        <v>105</v>
      </c>
      <c r="B23" s="77">
        <v>45867</v>
      </c>
      <c r="C23" s="78">
        <v>793290</v>
      </c>
      <c r="D23" s="60" t="s">
        <v>24</v>
      </c>
      <c r="E23" s="67" t="s">
        <v>13</v>
      </c>
      <c r="F23" s="60">
        <v>100</v>
      </c>
      <c r="G23" s="60">
        <v>100</v>
      </c>
      <c r="H23" s="89">
        <v>10</v>
      </c>
      <c r="I23" s="43">
        <f t="shared" si="0"/>
        <v>5</v>
      </c>
      <c r="J23" s="32">
        <v>0.5</v>
      </c>
    </row>
    <row r="24" spans="1:10" x14ac:dyDescent="0.25">
      <c r="A24" s="22" t="s">
        <v>124</v>
      </c>
      <c r="B24" s="36">
        <v>45863</v>
      </c>
      <c r="C24" s="51">
        <v>301000130152895</v>
      </c>
      <c r="D24" s="37" t="s">
        <v>12</v>
      </c>
      <c r="E24" s="37" t="s">
        <v>13</v>
      </c>
      <c r="F24" s="37">
        <v>3226.84</v>
      </c>
      <c r="G24" s="37">
        <v>2956.66</v>
      </c>
      <c r="H24" s="90">
        <v>295.60000000000002</v>
      </c>
      <c r="I24" s="62">
        <f t="shared" si="0"/>
        <v>147.80000000000001</v>
      </c>
      <c r="J24" s="40">
        <v>0.5</v>
      </c>
    </row>
    <row r="25" spans="1:10" x14ac:dyDescent="0.25">
      <c r="A25" s="22" t="s">
        <v>83</v>
      </c>
      <c r="B25" s="36">
        <v>45839</v>
      </c>
      <c r="C25" s="51">
        <v>301000197965335</v>
      </c>
      <c r="D25" s="37" t="s">
        <v>12</v>
      </c>
      <c r="E25" s="37" t="s">
        <v>13</v>
      </c>
      <c r="F25" s="37">
        <v>11924.09</v>
      </c>
      <c r="G25" s="37">
        <v>10820.38</v>
      </c>
      <c r="H25" s="90">
        <v>1082</v>
      </c>
      <c r="I25" s="62">
        <f t="shared" si="0"/>
        <v>541</v>
      </c>
      <c r="J25" s="40">
        <v>0.5</v>
      </c>
    </row>
    <row r="26" spans="1:10" x14ac:dyDescent="0.25">
      <c r="A26" s="23"/>
      <c r="B26" s="29"/>
      <c r="C26" s="35"/>
      <c r="D26" s="11"/>
      <c r="E26" s="11"/>
      <c r="F26" s="11"/>
      <c r="G26" s="11"/>
      <c r="H26" s="83"/>
      <c r="I26" s="43">
        <f t="shared" si="0"/>
        <v>0</v>
      </c>
      <c r="J26" s="32">
        <v>0.5</v>
      </c>
    </row>
    <row r="27" spans="1:10" x14ac:dyDescent="0.25">
      <c r="A27" s="23"/>
      <c r="B27" s="29"/>
      <c r="C27" s="35"/>
      <c r="D27" s="11"/>
      <c r="E27" s="11"/>
      <c r="F27" s="11"/>
      <c r="G27" s="11"/>
      <c r="H27" s="83"/>
      <c r="I27" s="43">
        <f t="shared" si="0"/>
        <v>0</v>
      </c>
      <c r="J27" s="32">
        <v>0.5</v>
      </c>
    </row>
    <row r="28" spans="1:10" x14ac:dyDescent="0.25">
      <c r="A28" s="23"/>
      <c r="B28" s="29"/>
      <c r="C28" s="35"/>
      <c r="D28" s="11"/>
      <c r="E28" s="11"/>
      <c r="F28" s="11"/>
      <c r="G28" s="11"/>
      <c r="H28" s="31"/>
      <c r="I28" s="43">
        <f t="shared" si="0"/>
        <v>0</v>
      </c>
      <c r="J28" s="32">
        <v>0.5</v>
      </c>
    </row>
    <row r="29" spans="1:10" x14ac:dyDescent="0.25">
      <c r="A29" s="23"/>
      <c r="B29" s="29"/>
      <c r="C29" s="35"/>
      <c r="D29" s="11"/>
      <c r="E29" s="11"/>
      <c r="F29" s="11"/>
      <c r="G29" s="11"/>
      <c r="H29" s="31"/>
      <c r="I29" s="43">
        <f t="shared" si="0"/>
        <v>0</v>
      </c>
      <c r="J29" s="32">
        <v>0.5</v>
      </c>
    </row>
    <row r="30" spans="1:10" x14ac:dyDescent="0.25">
      <c r="A30" s="23"/>
      <c r="B30" s="29"/>
      <c r="C30" s="35"/>
      <c r="D30" s="11"/>
      <c r="E30" s="11"/>
      <c r="F30" s="11"/>
      <c r="G30" s="11"/>
      <c r="H30" s="31"/>
      <c r="I30" s="41"/>
      <c r="J30" s="50"/>
    </row>
    <row r="31" spans="1:10" x14ac:dyDescent="0.25">
      <c r="A31" s="23"/>
      <c r="B31" s="29"/>
      <c r="C31" s="35"/>
      <c r="D31" s="11"/>
      <c r="E31" s="11" t="s">
        <v>10</v>
      </c>
      <c r="F31" s="11">
        <f>SUM(F4:F30)</f>
        <v>130270.68999999999</v>
      </c>
      <c r="G31" s="11">
        <f>SUM(G4:G30)</f>
        <v>114441.42000000003</v>
      </c>
      <c r="H31" s="31">
        <f>SUM(H4:H30)</f>
        <v>11443.5</v>
      </c>
      <c r="I31" s="47">
        <f>SUM(I4:I30)</f>
        <v>5721.75</v>
      </c>
      <c r="J31" s="48"/>
    </row>
    <row r="32" spans="1:10" x14ac:dyDescent="0.25">
      <c r="A32" s="1"/>
      <c r="B32" s="4"/>
      <c r="C32" s="84"/>
      <c r="D32" s="2"/>
      <c r="E32" s="54" t="s">
        <v>25</v>
      </c>
      <c r="F32" s="52"/>
      <c r="G32" s="52"/>
      <c r="H32" s="53"/>
      <c r="I32" s="54">
        <f>I24+I25</f>
        <v>688.8</v>
      </c>
      <c r="J32" s="21"/>
    </row>
    <row r="33" spans="1:10" x14ac:dyDescent="0.25">
      <c r="A33" s="1"/>
      <c r="B33" s="4"/>
      <c r="C33" s="84"/>
      <c r="D33" s="2"/>
      <c r="E33" s="2"/>
      <c r="F33" s="2"/>
      <c r="G33" s="2"/>
      <c r="H33" s="5"/>
      <c r="I33" s="13"/>
      <c r="J33" s="1"/>
    </row>
    <row r="34" spans="1:10" x14ac:dyDescent="0.25">
      <c r="A34" s="1"/>
      <c r="B34" s="4"/>
      <c r="C34" s="84"/>
      <c r="D34" s="2"/>
      <c r="E34" s="2"/>
      <c r="F34" s="2"/>
      <c r="G34" s="2"/>
      <c r="H34" s="5"/>
      <c r="I34" s="13"/>
      <c r="J34" s="1"/>
    </row>
    <row r="35" spans="1:10" x14ac:dyDescent="0.25">
      <c r="A35" s="1"/>
      <c r="B35" s="4"/>
      <c r="C35" s="84"/>
      <c r="D35" s="2"/>
      <c r="E35" s="2" t="s">
        <v>26</v>
      </c>
      <c r="F35" s="2">
        <f>I31-I32</f>
        <v>5032.95</v>
      </c>
      <c r="G35" s="2"/>
      <c r="H35" s="5"/>
      <c r="I35" s="6">
        <f>I31-I32</f>
        <v>5032.95</v>
      </c>
      <c r="J35" s="1"/>
    </row>
    <row r="36" spans="1:10" x14ac:dyDescent="0.25">
      <c r="A36" s="1"/>
      <c r="B36" s="4"/>
      <c r="C36" s="84"/>
      <c r="D36" s="2"/>
      <c r="E36" s="2"/>
      <c r="F36" s="2"/>
      <c r="G36" s="2"/>
      <c r="H36" s="5"/>
      <c r="I36" s="13"/>
      <c r="J36" s="12"/>
    </row>
  </sheetData>
  <mergeCells count="1">
    <mergeCell ref="D1:E1"/>
  </mergeCells>
  <conditionalFormatting sqref="C1:C3 D4">
    <cfRule type="cellIs" dxfId="84" priority="7" operator="equal">
      <formula>15698.2</formula>
    </cfRule>
    <cfRule type="cellIs" dxfId="83" priority="8" operator="equal">
      <formula>"kapalı"</formula>
    </cfRule>
  </conditionalFormatting>
  <conditionalFormatting sqref="D1 F1:H1 D2:H3 J3 E4:E23">
    <cfRule type="cellIs" dxfId="82" priority="9" operator="equal">
      <formula>"K.KART"</formula>
    </cfRule>
  </conditionalFormatting>
  <conditionalFormatting sqref="D5:F5 D6:D23 F6:F23">
    <cfRule type="cellIs" dxfId="81" priority="5" operator="equal">
      <formula>15698.2</formula>
    </cfRule>
    <cfRule type="cellIs" dxfId="80" priority="6" operator="equal">
      <formula>"kapalı"</formula>
    </cfRule>
  </conditionalFormatting>
  <conditionalFormatting sqref="D24:F36">
    <cfRule type="cellIs" dxfId="79" priority="1" operator="equal">
      <formula>15698.2</formula>
    </cfRule>
    <cfRule type="cellIs" dxfId="78" priority="2" operator="equal">
      <formula>"kapalı"</formula>
    </cfRule>
  </conditionalFormatting>
  <conditionalFormatting sqref="F4:F5">
    <cfRule type="cellIs" dxfId="77" priority="4" operator="equal">
      <formula>"K.KART"</formula>
    </cfRule>
  </conditionalFormatting>
  <conditionalFormatting sqref="G4:G36">
    <cfRule type="cellIs" dxfId="76" priority="3" operator="equal">
      <formula>"K.KART"</formula>
    </cfRule>
  </conditionalFormatting>
  <conditionalFormatting sqref="G36:H36">
    <cfRule type="cellIs" dxfId="75" priority="10" operator="equal">
      <formula>"K.KART"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44A9-E68C-465F-895D-CF58136D6E1B}">
  <dimension ref="A1:J39"/>
  <sheetViews>
    <sheetView topLeftCell="A4" workbookViewId="0">
      <selection activeCell="I35" sqref="I35"/>
    </sheetView>
  </sheetViews>
  <sheetFormatPr defaultRowHeight="15" x14ac:dyDescent="0.25"/>
  <cols>
    <col min="1" max="1" width="22.7109375" customWidth="1"/>
    <col min="2" max="2" width="12.5703125" customWidth="1"/>
    <col min="3" max="3" width="21" customWidth="1"/>
    <col min="6" max="6" width="14.5703125" customWidth="1"/>
    <col min="7" max="7" width="13" customWidth="1"/>
    <col min="8" max="8" width="12" customWidth="1"/>
    <col min="9" max="9" width="11.5703125" customWidth="1"/>
    <col min="10" max="10" width="6.140625" customWidth="1"/>
  </cols>
  <sheetData>
    <row r="1" spans="1:10" x14ac:dyDescent="0.25">
      <c r="A1" s="23"/>
      <c r="B1" s="23"/>
      <c r="C1" s="35"/>
      <c r="D1" s="101" t="s">
        <v>27</v>
      </c>
      <c r="E1" s="102"/>
      <c r="F1" s="11"/>
      <c r="G1" s="11"/>
      <c r="H1" s="11"/>
      <c r="I1" s="11"/>
      <c r="J1" s="24"/>
    </row>
    <row r="2" spans="1:10" x14ac:dyDescent="0.25">
      <c r="A2" s="23" t="s">
        <v>106</v>
      </c>
      <c r="B2" s="23">
        <v>2025</v>
      </c>
      <c r="C2" s="35"/>
      <c r="D2" s="11"/>
      <c r="E2" s="11"/>
      <c r="F2" s="11"/>
      <c r="G2" s="11"/>
      <c r="H2" s="11"/>
      <c r="I2" s="11"/>
      <c r="J2" s="25"/>
    </row>
    <row r="3" spans="1:10" ht="25.5" x14ac:dyDescent="0.25">
      <c r="A3" s="26" t="s">
        <v>0</v>
      </c>
      <c r="B3" s="26" t="s">
        <v>1</v>
      </c>
      <c r="C3" s="70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</row>
    <row r="4" spans="1:10" x14ac:dyDescent="0.25">
      <c r="A4" s="91" t="s">
        <v>107</v>
      </c>
      <c r="B4" s="29">
        <v>45870</v>
      </c>
      <c r="C4" s="35">
        <v>160480105</v>
      </c>
      <c r="D4" s="11" t="s">
        <v>12</v>
      </c>
      <c r="E4" s="67" t="s">
        <v>13</v>
      </c>
      <c r="F4" s="41">
        <v>10519.2</v>
      </c>
      <c r="G4" s="41">
        <v>9392.14</v>
      </c>
      <c r="H4" s="74">
        <v>939.2</v>
      </c>
      <c r="I4" s="43">
        <f>H4*J4</f>
        <v>469.6</v>
      </c>
      <c r="J4" s="32">
        <v>0.5</v>
      </c>
    </row>
    <row r="5" spans="1:10" x14ac:dyDescent="0.25">
      <c r="A5" s="92" t="s">
        <v>107</v>
      </c>
      <c r="B5" s="29">
        <v>45870</v>
      </c>
      <c r="C5" s="35">
        <v>160481596</v>
      </c>
      <c r="D5" s="11" t="s">
        <v>108</v>
      </c>
      <c r="E5" s="67" t="s">
        <v>13</v>
      </c>
      <c r="F5" s="41">
        <v>5917</v>
      </c>
      <c r="G5" s="41">
        <v>5917</v>
      </c>
      <c r="H5" s="75">
        <v>563</v>
      </c>
      <c r="I5" s="43">
        <f t="shared" ref="I5:I31" si="0">H5*J5</f>
        <v>281.5</v>
      </c>
      <c r="J5" s="32">
        <v>0.5</v>
      </c>
    </row>
    <row r="6" spans="1:10" x14ac:dyDescent="0.25">
      <c r="A6" s="92" t="s">
        <v>109</v>
      </c>
      <c r="B6" s="29">
        <v>45871</v>
      </c>
      <c r="C6" s="35">
        <v>100000401928434</v>
      </c>
      <c r="D6" s="11" t="s">
        <v>12</v>
      </c>
      <c r="E6" s="67" t="s">
        <v>13</v>
      </c>
      <c r="F6" s="41">
        <v>9497.68</v>
      </c>
      <c r="G6" s="41">
        <v>8615.65</v>
      </c>
      <c r="H6" s="45">
        <v>861.56</v>
      </c>
      <c r="I6" s="43">
        <f t="shared" si="0"/>
        <v>430.78</v>
      </c>
      <c r="J6" s="32">
        <v>0.5</v>
      </c>
    </row>
    <row r="7" spans="1:10" x14ac:dyDescent="0.25">
      <c r="A7" s="91" t="s">
        <v>109</v>
      </c>
      <c r="B7" s="29">
        <v>45871</v>
      </c>
      <c r="C7" s="35">
        <v>821835</v>
      </c>
      <c r="D7" s="11" t="s">
        <v>24</v>
      </c>
      <c r="E7" s="67" t="s">
        <v>13</v>
      </c>
      <c r="F7" s="41">
        <v>100</v>
      </c>
      <c r="G7" s="41">
        <v>100</v>
      </c>
      <c r="H7" s="74">
        <v>5</v>
      </c>
      <c r="I7" s="43">
        <f t="shared" si="0"/>
        <v>2.5</v>
      </c>
      <c r="J7" s="32">
        <v>0.5</v>
      </c>
    </row>
    <row r="8" spans="1:10" x14ac:dyDescent="0.25">
      <c r="A8" s="91" t="s">
        <v>110</v>
      </c>
      <c r="B8" s="29">
        <v>45871</v>
      </c>
      <c r="C8" s="35">
        <v>76394741</v>
      </c>
      <c r="D8" s="11" t="s">
        <v>12</v>
      </c>
      <c r="E8" s="67" t="s">
        <v>13</v>
      </c>
      <c r="F8" s="41">
        <v>11928.01</v>
      </c>
      <c r="G8" s="41">
        <v>10665.69</v>
      </c>
      <c r="H8" s="74">
        <v>1066.56</v>
      </c>
      <c r="I8" s="43">
        <f t="shared" si="0"/>
        <v>533.28</v>
      </c>
      <c r="J8" s="32">
        <v>0.5</v>
      </c>
    </row>
    <row r="9" spans="1:10" x14ac:dyDescent="0.25">
      <c r="A9" s="91" t="s">
        <v>110</v>
      </c>
      <c r="B9" s="29">
        <v>45871</v>
      </c>
      <c r="C9" s="35">
        <v>76394958</v>
      </c>
      <c r="D9" s="11" t="s">
        <v>56</v>
      </c>
      <c r="E9" s="67" t="s">
        <v>13</v>
      </c>
      <c r="F9" s="41">
        <v>3816.77</v>
      </c>
      <c r="G9" s="41">
        <v>3635.02</v>
      </c>
      <c r="H9" s="74">
        <v>363.5</v>
      </c>
      <c r="I9" s="43">
        <f t="shared" si="0"/>
        <v>181.75</v>
      </c>
      <c r="J9" s="32">
        <v>0.5</v>
      </c>
    </row>
    <row r="10" spans="1:10" x14ac:dyDescent="0.25">
      <c r="A10" s="91" t="s">
        <v>111</v>
      </c>
      <c r="B10" s="29">
        <v>45876</v>
      </c>
      <c r="C10" s="35">
        <v>160932182</v>
      </c>
      <c r="D10" s="11" t="s">
        <v>12</v>
      </c>
      <c r="E10" s="67" t="s">
        <v>13</v>
      </c>
      <c r="F10" s="41">
        <v>5259.2</v>
      </c>
      <c r="G10" s="41">
        <v>4695.71</v>
      </c>
      <c r="H10" s="74">
        <v>469.5</v>
      </c>
      <c r="I10" s="43">
        <f t="shared" si="0"/>
        <v>234.75</v>
      </c>
      <c r="J10" s="32">
        <v>0.5</v>
      </c>
    </row>
    <row r="11" spans="1:10" x14ac:dyDescent="0.25">
      <c r="A11" s="91" t="s">
        <v>111</v>
      </c>
      <c r="B11" s="29">
        <v>45876</v>
      </c>
      <c r="C11" s="35">
        <v>160933565</v>
      </c>
      <c r="D11" s="11" t="s">
        <v>108</v>
      </c>
      <c r="E11" s="67" t="s">
        <v>13</v>
      </c>
      <c r="F11" s="41">
        <v>3615</v>
      </c>
      <c r="G11" s="41">
        <v>3615</v>
      </c>
      <c r="H11" s="74">
        <v>344.3</v>
      </c>
      <c r="I11" s="43">
        <f t="shared" si="0"/>
        <v>172.15</v>
      </c>
      <c r="J11" s="32">
        <v>0.5</v>
      </c>
    </row>
    <row r="12" spans="1:10" x14ac:dyDescent="0.25">
      <c r="A12" s="93" t="s">
        <v>112</v>
      </c>
      <c r="B12" s="77">
        <v>45877</v>
      </c>
      <c r="C12" s="78">
        <v>160851276</v>
      </c>
      <c r="D12" s="60" t="s">
        <v>12</v>
      </c>
      <c r="E12" s="67" t="s">
        <v>13</v>
      </c>
      <c r="F12" s="79">
        <v>10808.8</v>
      </c>
      <c r="G12" s="79">
        <v>9650.7099999999991</v>
      </c>
      <c r="H12" s="80">
        <v>965</v>
      </c>
      <c r="I12" s="43">
        <f t="shared" si="0"/>
        <v>482.5</v>
      </c>
      <c r="J12" s="32">
        <v>0.5</v>
      </c>
    </row>
    <row r="13" spans="1:10" x14ac:dyDescent="0.25">
      <c r="A13" s="93" t="s">
        <v>112</v>
      </c>
      <c r="B13" s="77">
        <v>45877</v>
      </c>
      <c r="C13" s="78">
        <v>160851617</v>
      </c>
      <c r="D13" s="60" t="s">
        <v>108</v>
      </c>
      <c r="E13" s="67" t="s">
        <v>13</v>
      </c>
      <c r="F13" s="79">
        <v>6755</v>
      </c>
      <c r="G13" s="79">
        <v>6755</v>
      </c>
      <c r="H13" s="80">
        <v>675.5</v>
      </c>
      <c r="I13" s="43">
        <f>H13*J13</f>
        <v>337.75</v>
      </c>
      <c r="J13" s="32">
        <v>0.5</v>
      </c>
    </row>
    <row r="14" spans="1:10" x14ac:dyDescent="0.25">
      <c r="A14" s="93" t="s">
        <v>113</v>
      </c>
      <c r="B14" s="77">
        <v>45877</v>
      </c>
      <c r="C14" s="78">
        <v>76472193</v>
      </c>
      <c r="D14" s="60" t="s">
        <v>12</v>
      </c>
      <c r="E14" s="67" t="s">
        <v>13</v>
      </c>
      <c r="F14" s="79">
        <v>7215.54</v>
      </c>
      <c r="G14" s="79">
        <v>6442.46</v>
      </c>
      <c r="H14" s="80">
        <v>644.20000000000005</v>
      </c>
      <c r="I14" s="43">
        <f t="shared" si="0"/>
        <v>322.10000000000002</v>
      </c>
      <c r="J14" s="32">
        <v>0.5</v>
      </c>
    </row>
    <row r="15" spans="1:10" x14ac:dyDescent="0.25">
      <c r="A15" s="93" t="s">
        <v>113</v>
      </c>
      <c r="B15" s="77">
        <v>45877</v>
      </c>
      <c r="C15" s="78">
        <v>76472240</v>
      </c>
      <c r="D15" s="60" t="s">
        <v>23</v>
      </c>
      <c r="E15" s="67" t="s">
        <v>13</v>
      </c>
      <c r="F15" s="60">
        <v>1002.77</v>
      </c>
      <c r="G15" s="60">
        <v>955.02</v>
      </c>
      <c r="H15" s="81">
        <v>95.5</v>
      </c>
      <c r="I15" s="43">
        <f t="shared" si="0"/>
        <v>47.75</v>
      </c>
      <c r="J15" s="32">
        <v>0.5</v>
      </c>
    </row>
    <row r="16" spans="1:10" x14ac:dyDescent="0.25">
      <c r="A16" s="93" t="s">
        <v>114</v>
      </c>
      <c r="B16" s="77">
        <v>45874</v>
      </c>
      <c r="C16" s="78">
        <v>76474100</v>
      </c>
      <c r="D16" s="60" t="s">
        <v>12</v>
      </c>
      <c r="E16" s="67" t="s">
        <v>13</v>
      </c>
      <c r="F16" s="60">
        <v>20643.12</v>
      </c>
      <c r="G16" s="60">
        <v>18536.669999999998</v>
      </c>
      <c r="H16" s="81">
        <v>1853.6</v>
      </c>
      <c r="I16" s="43">
        <f t="shared" si="0"/>
        <v>926.8</v>
      </c>
      <c r="J16" s="32">
        <v>0.5</v>
      </c>
    </row>
    <row r="17" spans="1:10" x14ac:dyDescent="0.25">
      <c r="A17" s="93" t="s">
        <v>114</v>
      </c>
      <c r="B17" s="77">
        <v>45874</v>
      </c>
      <c r="C17" s="78">
        <v>76474499</v>
      </c>
      <c r="D17" s="60" t="s">
        <v>108</v>
      </c>
      <c r="E17" s="67" t="s">
        <v>13</v>
      </c>
      <c r="F17" s="60">
        <v>4011.14</v>
      </c>
      <c r="G17" s="60">
        <v>3853.28</v>
      </c>
      <c r="H17" s="81">
        <v>385.3</v>
      </c>
      <c r="I17" s="43">
        <f t="shared" si="0"/>
        <v>192.65</v>
      </c>
      <c r="J17" s="32">
        <v>0.5</v>
      </c>
    </row>
    <row r="18" spans="1:10" x14ac:dyDescent="0.25">
      <c r="A18" s="93" t="s">
        <v>115</v>
      </c>
      <c r="B18" s="77">
        <v>45876</v>
      </c>
      <c r="C18" s="78">
        <v>100000403337970</v>
      </c>
      <c r="D18" s="60" t="s">
        <v>12</v>
      </c>
      <c r="E18" s="67" t="s">
        <v>13</v>
      </c>
      <c r="F18" s="60">
        <v>9497.68</v>
      </c>
      <c r="G18" s="60">
        <v>8615.85</v>
      </c>
      <c r="H18" s="89">
        <v>861.5</v>
      </c>
      <c r="I18" s="85">
        <f t="shared" si="0"/>
        <v>430.75</v>
      </c>
      <c r="J18" s="32">
        <v>0.5</v>
      </c>
    </row>
    <row r="19" spans="1:10" x14ac:dyDescent="0.25">
      <c r="A19" s="93" t="s">
        <v>115</v>
      </c>
      <c r="B19" s="77">
        <v>45876</v>
      </c>
      <c r="C19" s="78">
        <v>847057</v>
      </c>
      <c r="D19" s="60" t="s">
        <v>24</v>
      </c>
      <c r="E19" s="67" t="s">
        <v>13</v>
      </c>
      <c r="F19" s="60">
        <v>100</v>
      </c>
      <c r="G19" s="60">
        <v>100</v>
      </c>
      <c r="H19" s="89">
        <v>5</v>
      </c>
      <c r="I19" s="43">
        <f t="shared" si="0"/>
        <v>2.5</v>
      </c>
      <c r="J19" s="32">
        <v>0.5</v>
      </c>
    </row>
    <row r="20" spans="1:10" x14ac:dyDescent="0.25">
      <c r="A20" s="93" t="s">
        <v>116</v>
      </c>
      <c r="B20" s="77">
        <v>45884</v>
      </c>
      <c r="C20" s="78">
        <v>100000406170367</v>
      </c>
      <c r="D20" s="60" t="s">
        <v>12</v>
      </c>
      <c r="E20" s="67" t="s">
        <v>13</v>
      </c>
      <c r="F20" s="60">
        <v>3567.25</v>
      </c>
      <c r="G20" s="60">
        <v>3205.95</v>
      </c>
      <c r="H20" s="89">
        <v>320.5</v>
      </c>
      <c r="I20" s="85">
        <f t="shared" si="0"/>
        <v>160.25</v>
      </c>
      <c r="J20" s="32">
        <v>0.5</v>
      </c>
    </row>
    <row r="21" spans="1:10" x14ac:dyDescent="0.25">
      <c r="A21" s="93" t="s">
        <v>116</v>
      </c>
      <c r="B21" s="77">
        <v>45884</v>
      </c>
      <c r="C21" s="78">
        <v>834744</v>
      </c>
      <c r="D21" s="60" t="s">
        <v>24</v>
      </c>
      <c r="E21" s="67" t="s">
        <v>13</v>
      </c>
      <c r="F21" s="60">
        <v>100</v>
      </c>
      <c r="G21" s="60">
        <v>100</v>
      </c>
      <c r="H21" s="89">
        <v>5</v>
      </c>
      <c r="I21" s="43">
        <f t="shared" si="0"/>
        <v>2.5</v>
      </c>
      <c r="J21" s="32">
        <v>0.5</v>
      </c>
    </row>
    <row r="22" spans="1:10" x14ac:dyDescent="0.25">
      <c r="A22" s="93" t="s">
        <v>117</v>
      </c>
      <c r="B22" s="77">
        <v>45893</v>
      </c>
      <c r="C22" s="78">
        <v>301000217472643</v>
      </c>
      <c r="D22" s="60" t="s">
        <v>12</v>
      </c>
      <c r="E22" s="67" t="s">
        <v>13</v>
      </c>
      <c r="F22" s="60">
        <v>8587.1299999999992</v>
      </c>
      <c r="G22" s="60">
        <v>7736.15</v>
      </c>
      <c r="H22" s="89">
        <v>773.6</v>
      </c>
      <c r="I22" s="85">
        <f t="shared" si="0"/>
        <v>386.8</v>
      </c>
      <c r="J22" s="32">
        <v>0.5</v>
      </c>
    </row>
    <row r="23" spans="1:10" x14ac:dyDescent="0.25">
      <c r="A23" s="93" t="s">
        <v>118</v>
      </c>
      <c r="B23" s="77">
        <v>45891</v>
      </c>
      <c r="C23" s="78">
        <v>301000217710033</v>
      </c>
      <c r="D23" s="60" t="s">
        <v>12</v>
      </c>
      <c r="E23" s="67" t="s">
        <v>13</v>
      </c>
      <c r="F23" s="60">
        <v>16383.52</v>
      </c>
      <c r="G23" s="60">
        <v>14832.81</v>
      </c>
      <c r="H23" s="89">
        <v>1483</v>
      </c>
      <c r="I23" s="43">
        <f t="shared" si="0"/>
        <v>741.5</v>
      </c>
      <c r="J23" s="32">
        <v>0.5</v>
      </c>
    </row>
    <row r="24" spans="1:10" x14ac:dyDescent="0.25">
      <c r="A24" s="91" t="s">
        <v>119</v>
      </c>
      <c r="B24" s="29">
        <v>45897</v>
      </c>
      <c r="C24" s="35">
        <v>311000479539554</v>
      </c>
      <c r="D24" s="11" t="s">
        <v>12</v>
      </c>
      <c r="E24" s="67" t="s">
        <v>13</v>
      </c>
      <c r="F24" s="11">
        <v>7305.98</v>
      </c>
      <c r="G24" s="11">
        <v>6523.2</v>
      </c>
      <c r="H24" s="83">
        <v>652.29999999999995</v>
      </c>
      <c r="I24" s="43">
        <f t="shared" si="0"/>
        <v>326.14999999999998</v>
      </c>
      <c r="J24" s="32">
        <v>0.5</v>
      </c>
    </row>
    <row r="25" spans="1:10" x14ac:dyDescent="0.25">
      <c r="A25" s="91" t="s">
        <v>119</v>
      </c>
      <c r="B25" s="29">
        <v>45897</v>
      </c>
      <c r="C25" s="35">
        <v>460000021886116</v>
      </c>
      <c r="D25" s="11" t="s">
        <v>23</v>
      </c>
      <c r="E25" s="67" t="s">
        <v>13</v>
      </c>
      <c r="F25" s="11">
        <v>600</v>
      </c>
      <c r="G25" s="11">
        <v>571.42999999999995</v>
      </c>
      <c r="H25" s="83">
        <v>57.1</v>
      </c>
      <c r="I25" s="43">
        <f t="shared" si="0"/>
        <v>28.55</v>
      </c>
      <c r="J25" s="32">
        <v>0.5</v>
      </c>
    </row>
    <row r="26" spans="1:10" x14ac:dyDescent="0.25">
      <c r="A26" s="22" t="s">
        <v>72</v>
      </c>
      <c r="B26" s="36">
        <v>45883</v>
      </c>
      <c r="C26" s="51">
        <v>10000374984263</v>
      </c>
      <c r="D26" s="37" t="s">
        <v>12</v>
      </c>
      <c r="E26" s="37" t="s">
        <v>13</v>
      </c>
      <c r="F26" s="37">
        <v>14856.05</v>
      </c>
      <c r="G26" s="37">
        <v>13546.34</v>
      </c>
      <c r="H26" s="90">
        <v>1354.6</v>
      </c>
      <c r="I26" s="62">
        <f t="shared" si="0"/>
        <v>677.3</v>
      </c>
      <c r="J26" s="40">
        <v>0.5</v>
      </c>
    </row>
    <row r="27" spans="1:10" x14ac:dyDescent="0.25">
      <c r="A27" s="22" t="s">
        <v>64</v>
      </c>
      <c r="B27" s="36">
        <v>45889</v>
      </c>
      <c r="C27" s="51">
        <v>333000021613649</v>
      </c>
      <c r="D27" s="37" t="s">
        <v>65</v>
      </c>
      <c r="E27" s="37" t="s">
        <v>13</v>
      </c>
      <c r="F27" s="37">
        <v>23232.85</v>
      </c>
      <c r="G27" s="37">
        <v>22126.52</v>
      </c>
      <c r="H27" s="90">
        <v>3318.9</v>
      </c>
      <c r="I27" s="62">
        <f t="shared" si="0"/>
        <v>1659.45</v>
      </c>
      <c r="J27" s="40">
        <v>0.5</v>
      </c>
    </row>
    <row r="28" spans="1:10" x14ac:dyDescent="0.25">
      <c r="A28" s="22" t="s">
        <v>64</v>
      </c>
      <c r="B28" s="36">
        <v>45889</v>
      </c>
      <c r="C28" s="51">
        <v>268441054723</v>
      </c>
      <c r="D28" s="37" t="s">
        <v>12</v>
      </c>
      <c r="E28" s="37" t="s">
        <v>13</v>
      </c>
      <c r="F28" s="37">
        <v>16017.68</v>
      </c>
      <c r="G28" s="37">
        <v>14452.04</v>
      </c>
      <c r="H28" s="90">
        <v>1445.2</v>
      </c>
      <c r="I28" s="62">
        <f t="shared" si="0"/>
        <v>722.6</v>
      </c>
      <c r="J28" s="40">
        <v>0.5</v>
      </c>
    </row>
    <row r="29" spans="1:10" x14ac:dyDescent="0.25">
      <c r="A29" s="22" t="s">
        <v>88</v>
      </c>
      <c r="B29" s="36">
        <v>45870</v>
      </c>
      <c r="C29" s="51">
        <v>30459729</v>
      </c>
      <c r="D29" s="37" t="s">
        <v>12</v>
      </c>
      <c r="E29" s="37" t="s">
        <v>13</v>
      </c>
      <c r="F29" s="37">
        <v>16995.64</v>
      </c>
      <c r="G29" s="37">
        <v>15453.91</v>
      </c>
      <c r="H29" s="90">
        <v>1545.3</v>
      </c>
      <c r="I29" s="62">
        <f t="shared" si="0"/>
        <v>772.65</v>
      </c>
      <c r="J29" s="40">
        <v>0.5</v>
      </c>
    </row>
    <row r="30" spans="1:10" x14ac:dyDescent="0.25">
      <c r="A30" s="22" t="s">
        <v>122</v>
      </c>
      <c r="B30" s="36">
        <v>45876</v>
      </c>
      <c r="C30" s="51">
        <v>2305894</v>
      </c>
      <c r="D30" s="37" t="s">
        <v>12</v>
      </c>
      <c r="E30" s="37" t="s">
        <v>13</v>
      </c>
      <c r="F30" s="37">
        <v>413.78</v>
      </c>
      <c r="G30" s="37">
        <v>379.61</v>
      </c>
      <c r="H30" s="90">
        <v>37.9</v>
      </c>
      <c r="I30" s="62">
        <f t="shared" si="0"/>
        <v>18.95</v>
      </c>
      <c r="J30" s="40">
        <v>0.5</v>
      </c>
    </row>
    <row r="31" spans="1:10" x14ac:dyDescent="0.25">
      <c r="A31" s="22" t="s">
        <v>86</v>
      </c>
      <c r="B31" s="36">
        <v>45873</v>
      </c>
      <c r="C31" s="51">
        <v>100000383732401</v>
      </c>
      <c r="D31" s="37" t="s">
        <v>12</v>
      </c>
      <c r="E31" s="37" t="s">
        <v>13</v>
      </c>
      <c r="F31" s="37">
        <v>22714</v>
      </c>
      <c r="G31" s="37">
        <v>20710.29</v>
      </c>
      <c r="H31" s="90">
        <v>2071</v>
      </c>
      <c r="I31" s="62">
        <f t="shared" si="0"/>
        <v>1035.5</v>
      </c>
      <c r="J31" s="40">
        <v>0.5</v>
      </c>
    </row>
    <row r="32" spans="1:10" x14ac:dyDescent="0.25">
      <c r="A32" s="22" t="s">
        <v>123</v>
      </c>
      <c r="B32" s="36">
        <v>45870</v>
      </c>
      <c r="C32" s="51">
        <v>1537910924</v>
      </c>
      <c r="D32" s="37" t="s">
        <v>12</v>
      </c>
      <c r="E32" s="37" t="s">
        <v>13</v>
      </c>
      <c r="F32" s="37">
        <v>4487</v>
      </c>
      <c r="G32" s="37">
        <v>4006.26</v>
      </c>
      <c r="H32" s="90">
        <v>400.6</v>
      </c>
      <c r="I32" s="62">
        <f t="shared" ref="I32" si="1">H32*J32</f>
        <v>200.3</v>
      </c>
      <c r="J32" s="40">
        <v>0.5</v>
      </c>
    </row>
    <row r="33" spans="1:10" x14ac:dyDescent="0.25">
      <c r="A33" s="23"/>
      <c r="B33" s="29"/>
      <c r="C33" s="35"/>
      <c r="D33" s="11"/>
      <c r="E33" s="11"/>
      <c r="F33" s="11"/>
      <c r="G33" s="11"/>
      <c r="H33" s="83"/>
      <c r="I33" s="43">
        <f t="shared" ref="I33" si="2">H33*J33</f>
        <v>0</v>
      </c>
      <c r="J33" s="32">
        <v>0.5</v>
      </c>
    </row>
    <row r="34" spans="1:10" x14ac:dyDescent="0.25">
      <c r="A34" s="23"/>
      <c r="B34" s="29"/>
      <c r="C34" s="35"/>
      <c r="D34" s="11"/>
      <c r="E34" s="11" t="s">
        <v>10</v>
      </c>
      <c r="F34" s="11">
        <f>SUM(F4:F33)</f>
        <v>245947.78999999995</v>
      </c>
      <c r="G34" s="11">
        <f>SUM(G4:G33)</f>
        <v>225189.71</v>
      </c>
      <c r="H34" s="31">
        <f>SUM(H4:H33)</f>
        <v>23563.22</v>
      </c>
      <c r="I34" s="47">
        <f>SUM(I4:I33)</f>
        <v>11781.61</v>
      </c>
      <c r="J34" s="48"/>
    </row>
    <row r="35" spans="1:10" x14ac:dyDescent="0.25">
      <c r="A35" s="1"/>
      <c r="B35" s="4"/>
      <c r="C35" s="84"/>
      <c r="D35" s="2"/>
      <c r="E35" s="54" t="s">
        <v>25</v>
      </c>
      <c r="F35" s="52"/>
      <c r="G35" s="52"/>
      <c r="H35" s="53"/>
      <c r="I35" s="54">
        <f>I26+I27+I28+I29+I30+I31+I32</f>
        <v>5086.75</v>
      </c>
      <c r="J35" s="21"/>
    </row>
    <row r="36" spans="1:10" x14ac:dyDescent="0.25">
      <c r="A36" s="1"/>
      <c r="B36" s="4"/>
      <c r="C36" s="84"/>
      <c r="D36" s="2"/>
      <c r="E36" s="2"/>
      <c r="F36" s="2"/>
      <c r="G36" s="2"/>
      <c r="H36" s="5"/>
      <c r="I36" s="13"/>
      <c r="J36" s="1"/>
    </row>
    <row r="37" spans="1:10" x14ac:dyDescent="0.25">
      <c r="A37" s="1"/>
      <c r="B37" s="4"/>
      <c r="C37" s="84"/>
      <c r="D37" s="2"/>
      <c r="E37" s="2"/>
      <c r="F37" s="2"/>
      <c r="G37" s="2"/>
      <c r="H37" s="5"/>
      <c r="I37" s="13"/>
      <c r="J37" s="1"/>
    </row>
    <row r="38" spans="1:10" x14ac:dyDescent="0.25">
      <c r="A38" s="1"/>
      <c r="B38" s="4"/>
      <c r="C38" s="84"/>
      <c r="D38" s="2"/>
      <c r="E38" s="2" t="s">
        <v>26</v>
      </c>
      <c r="F38" s="2">
        <f>I34-I35</f>
        <v>6694.8600000000006</v>
      </c>
      <c r="G38" s="2"/>
      <c r="H38" s="5"/>
      <c r="I38" s="6">
        <f>I34-I35</f>
        <v>6694.8600000000006</v>
      </c>
      <c r="J38" s="1"/>
    </row>
    <row r="39" spans="1:10" x14ac:dyDescent="0.25">
      <c r="A39" s="1"/>
      <c r="B39" s="4"/>
      <c r="C39" s="84"/>
      <c r="D39" s="2"/>
      <c r="E39" s="2"/>
      <c r="F39" s="2"/>
      <c r="G39" s="2"/>
      <c r="H39" s="5"/>
      <c r="I39" s="13"/>
      <c r="J39" s="12"/>
    </row>
  </sheetData>
  <mergeCells count="1">
    <mergeCell ref="D1:E1"/>
  </mergeCells>
  <conditionalFormatting sqref="C1:C3 D4">
    <cfRule type="cellIs" dxfId="74" priority="9" operator="equal">
      <formula>15698.2</formula>
    </cfRule>
    <cfRule type="cellIs" dxfId="73" priority="10" operator="equal">
      <formula>"kapalı"</formula>
    </cfRule>
  </conditionalFormatting>
  <conditionalFormatting sqref="D1 F1:H1 D2:H3 J3 E4:E25">
    <cfRule type="cellIs" dxfId="72" priority="11" operator="equal">
      <formula>"K.KART"</formula>
    </cfRule>
  </conditionalFormatting>
  <conditionalFormatting sqref="D5:F5 D6:D24 F6:F24">
    <cfRule type="cellIs" dxfId="71" priority="7" operator="equal">
      <formula>15698.2</formula>
    </cfRule>
    <cfRule type="cellIs" dxfId="70" priority="8" operator="equal">
      <formula>"kapalı"</formula>
    </cfRule>
  </conditionalFormatting>
  <conditionalFormatting sqref="D25:F39">
    <cfRule type="cellIs" dxfId="69" priority="1" operator="equal">
      <formula>15698.2</formula>
    </cfRule>
    <cfRule type="cellIs" dxfId="68" priority="2" operator="equal">
      <formula>"kapalı"</formula>
    </cfRule>
  </conditionalFormatting>
  <conditionalFormatting sqref="F4:F5">
    <cfRule type="cellIs" dxfId="67" priority="6" operator="equal">
      <formula>"K.KART"</formula>
    </cfRule>
  </conditionalFormatting>
  <conditionalFormatting sqref="G4:G39">
    <cfRule type="cellIs" dxfId="66" priority="5" operator="equal">
      <formula>"K.KART"</formula>
    </cfRule>
  </conditionalFormatting>
  <conditionalFormatting sqref="G39:H39">
    <cfRule type="cellIs" dxfId="65" priority="12" operator="equal">
      <formula>"K.KART"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1A84-0323-4024-929B-8AA5696567B5}">
  <dimension ref="A1:J37"/>
  <sheetViews>
    <sheetView topLeftCell="A16" workbookViewId="0">
      <selection activeCell="K34" sqref="K34"/>
    </sheetView>
  </sheetViews>
  <sheetFormatPr defaultRowHeight="15" x14ac:dyDescent="0.25"/>
  <cols>
    <col min="1" max="1" width="22.7109375" customWidth="1"/>
    <col min="2" max="2" width="12.5703125" customWidth="1"/>
    <col min="3" max="3" width="21" customWidth="1"/>
    <col min="6" max="6" width="14.5703125" customWidth="1"/>
    <col min="7" max="7" width="13" customWidth="1"/>
    <col min="8" max="8" width="12" customWidth="1"/>
    <col min="9" max="9" width="11.5703125" customWidth="1"/>
    <col min="10" max="10" width="5.28515625" customWidth="1"/>
  </cols>
  <sheetData>
    <row r="1" spans="1:10" x14ac:dyDescent="0.25">
      <c r="A1" s="23"/>
      <c r="B1" s="23"/>
      <c r="C1" s="35"/>
      <c r="D1" s="101" t="s">
        <v>27</v>
      </c>
      <c r="E1" s="102"/>
      <c r="F1" s="11"/>
      <c r="G1" s="11"/>
      <c r="H1" s="11"/>
      <c r="I1" s="11"/>
      <c r="J1" s="24"/>
    </row>
    <row r="2" spans="1:10" x14ac:dyDescent="0.25">
      <c r="A2" s="23" t="s">
        <v>120</v>
      </c>
      <c r="B2" s="23">
        <v>2025</v>
      </c>
      <c r="C2" s="35"/>
      <c r="D2" s="11"/>
      <c r="E2" s="11"/>
      <c r="F2" s="11"/>
      <c r="G2" s="11"/>
      <c r="H2" s="11"/>
      <c r="I2" s="11"/>
      <c r="J2" s="25"/>
    </row>
    <row r="3" spans="1:10" ht="38.25" x14ac:dyDescent="0.25">
      <c r="A3" s="26" t="s">
        <v>0</v>
      </c>
      <c r="B3" s="26" t="s">
        <v>1</v>
      </c>
      <c r="C3" s="70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</row>
    <row r="4" spans="1:10" x14ac:dyDescent="0.25">
      <c r="A4" s="23" t="s">
        <v>121</v>
      </c>
      <c r="B4" s="29">
        <v>45901</v>
      </c>
      <c r="C4" s="35">
        <v>301000220488644</v>
      </c>
      <c r="D4" s="11" t="s">
        <v>12</v>
      </c>
      <c r="E4" s="67" t="s">
        <v>13</v>
      </c>
      <c r="F4" s="41">
        <v>19320.11</v>
      </c>
      <c r="G4" s="41">
        <v>17491.46</v>
      </c>
      <c r="H4" s="74">
        <f>G4*10%</f>
        <v>1749.146</v>
      </c>
      <c r="I4" s="43">
        <f>H4*J4</f>
        <v>874.57299999999998</v>
      </c>
      <c r="J4" s="32">
        <v>0.5</v>
      </c>
    </row>
    <row r="5" spans="1:10" x14ac:dyDescent="0.25">
      <c r="A5" s="29" t="s">
        <v>125</v>
      </c>
      <c r="B5" s="29">
        <v>45918</v>
      </c>
      <c r="C5" s="35">
        <v>100000425431179</v>
      </c>
      <c r="D5" s="11" t="s">
        <v>12</v>
      </c>
      <c r="E5" s="67" t="s">
        <v>13</v>
      </c>
      <c r="F5" s="41">
        <v>5089.58</v>
      </c>
      <c r="G5" s="41">
        <v>4608.41</v>
      </c>
      <c r="H5" s="74">
        <f t="shared" ref="H5:H6" si="0">G5*10%</f>
        <v>460.84100000000001</v>
      </c>
      <c r="I5" s="43">
        <f t="shared" ref="I5:I30" si="1">H5*J5</f>
        <v>230.4205</v>
      </c>
      <c r="J5" s="32">
        <v>0.5</v>
      </c>
    </row>
    <row r="6" spans="1:10" x14ac:dyDescent="0.25">
      <c r="A6" s="29" t="s">
        <v>126</v>
      </c>
      <c r="B6" s="29">
        <v>45925</v>
      </c>
      <c r="C6" s="35">
        <v>100000431357416</v>
      </c>
      <c r="D6" s="11" t="s">
        <v>12</v>
      </c>
      <c r="E6" s="67" t="s">
        <v>13</v>
      </c>
      <c r="F6" s="41">
        <v>3609.4</v>
      </c>
      <c r="G6" s="41">
        <v>3243.83</v>
      </c>
      <c r="H6" s="74">
        <f t="shared" si="0"/>
        <v>324.38300000000004</v>
      </c>
      <c r="I6" s="43">
        <f t="shared" si="1"/>
        <v>162.19150000000002</v>
      </c>
      <c r="J6" s="32">
        <v>0.5</v>
      </c>
    </row>
    <row r="7" spans="1:10" x14ac:dyDescent="0.25">
      <c r="A7" s="29" t="s">
        <v>131</v>
      </c>
      <c r="B7" s="29">
        <v>45924</v>
      </c>
      <c r="C7" s="35">
        <v>333000023938374</v>
      </c>
      <c r="D7" s="11" t="s">
        <v>65</v>
      </c>
      <c r="E7" s="67" t="s">
        <v>13</v>
      </c>
      <c r="F7" s="41">
        <v>48897.49</v>
      </c>
      <c r="G7" s="41">
        <v>46569.04</v>
      </c>
      <c r="H7" s="74">
        <v>6856.52</v>
      </c>
      <c r="I7" s="43">
        <f>H7*J7</f>
        <v>3428.26</v>
      </c>
      <c r="J7" s="32">
        <v>0.5</v>
      </c>
    </row>
    <row r="8" spans="1:10" x14ac:dyDescent="0.25">
      <c r="A8" s="22" t="s">
        <v>55</v>
      </c>
      <c r="B8" s="36">
        <v>45902</v>
      </c>
      <c r="C8" s="51">
        <v>30203057</v>
      </c>
      <c r="D8" s="37" t="s">
        <v>12</v>
      </c>
      <c r="E8" s="37" t="s">
        <v>13</v>
      </c>
      <c r="F8" s="37">
        <v>7985.95</v>
      </c>
      <c r="G8" s="37">
        <v>7222.37</v>
      </c>
      <c r="H8" s="90">
        <v>722.2</v>
      </c>
      <c r="I8" s="62">
        <f>H8*J8</f>
        <v>361.1</v>
      </c>
      <c r="J8" s="40">
        <v>0.5</v>
      </c>
    </row>
    <row r="9" spans="1:10" x14ac:dyDescent="0.25">
      <c r="A9" s="23"/>
      <c r="B9" s="29"/>
      <c r="C9" s="35"/>
      <c r="D9" s="11"/>
      <c r="E9" s="67"/>
      <c r="F9" s="41"/>
      <c r="G9" s="41"/>
      <c r="H9" s="74"/>
      <c r="I9" s="43">
        <f t="shared" si="1"/>
        <v>0</v>
      </c>
      <c r="J9" s="32">
        <v>0.5</v>
      </c>
    </row>
    <row r="10" spans="1:10" x14ac:dyDescent="0.25">
      <c r="A10" s="23"/>
      <c r="B10" s="29"/>
      <c r="C10" s="35"/>
      <c r="D10" s="11"/>
      <c r="E10" s="67"/>
      <c r="F10" s="41"/>
      <c r="G10" s="41"/>
      <c r="H10" s="74"/>
      <c r="I10" s="43">
        <f t="shared" si="1"/>
        <v>0</v>
      </c>
      <c r="J10" s="32">
        <v>0.5</v>
      </c>
    </row>
    <row r="11" spans="1:10" x14ac:dyDescent="0.25">
      <c r="A11" s="23"/>
      <c r="B11" s="29"/>
      <c r="C11" s="35"/>
      <c r="D11" s="11"/>
      <c r="E11" s="67"/>
      <c r="F11" s="41"/>
      <c r="G11" s="41"/>
      <c r="H11" s="74"/>
      <c r="I11" s="43">
        <f t="shared" si="1"/>
        <v>0</v>
      </c>
      <c r="J11" s="32">
        <v>0.5</v>
      </c>
    </row>
    <row r="12" spans="1:10" x14ac:dyDescent="0.25">
      <c r="A12" s="23"/>
      <c r="B12" s="29"/>
      <c r="C12" s="35"/>
      <c r="D12" s="11"/>
      <c r="E12" s="67"/>
      <c r="F12" s="41"/>
      <c r="G12" s="41"/>
      <c r="H12" s="74"/>
      <c r="I12" s="43">
        <f t="shared" si="1"/>
        <v>0</v>
      </c>
      <c r="J12" s="32">
        <v>0.5</v>
      </c>
    </row>
    <row r="13" spans="1:10" x14ac:dyDescent="0.25">
      <c r="A13" s="76"/>
      <c r="B13" s="77"/>
      <c r="C13" s="78"/>
      <c r="D13" s="60"/>
      <c r="E13" s="67"/>
      <c r="F13" s="79"/>
      <c r="G13" s="79"/>
      <c r="H13" s="80"/>
      <c r="I13" s="43">
        <f t="shared" si="1"/>
        <v>0</v>
      </c>
      <c r="J13" s="32">
        <v>0.5</v>
      </c>
    </row>
    <row r="14" spans="1:10" x14ac:dyDescent="0.25">
      <c r="A14" s="76"/>
      <c r="B14" s="77"/>
      <c r="C14" s="78"/>
      <c r="D14" s="60"/>
      <c r="E14" s="67"/>
      <c r="F14" s="79"/>
      <c r="G14" s="79"/>
      <c r="H14" s="80"/>
      <c r="I14" s="43">
        <f>H14*J14</f>
        <v>0</v>
      </c>
      <c r="J14" s="32">
        <v>0.5</v>
      </c>
    </row>
    <row r="15" spans="1:10" x14ac:dyDescent="0.25">
      <c r="A15" s="76"/>
      <c r="B15" s="77"/>
      <c r="C15" s="78"/>
      <c r="D15" s="60"/>
      <c r="E15" s="67"/>
      <c r="F15" s="79"/>
      <c r="G15" s="79"/>
      <c r="H15" s="80"/>
      <c r="I15" s="43">
        <f t="shared" si="1"/>
        <v>0</v>
      </c>
      <c r="J15" s="32">
        <v>0.5</v>
      </c>
    </row>
    <row r="16" spans="1:10" x14ac:dyDescent="0.25">
      <c r="A16" s="76"/>
      <c r="B16" s="77"/>
      <c r="C16" s="78"/>
      <c r="D16" s="60"/>
      <c r="E16" s="67"/>
      <c r="F16" s="60"/>
      <c r="G16" s="60"/>
      <c r="H16" s="81"/>
      <c r="I16" s="43">
        <f t="shared" si="1"/>
        <v>0</v>
      </c>
      <c r="J16" s="32">
        <v>0.5</v>
      </c>
    </row>
    <row r="17" spans="1:10" x14ac:dyDescent="0.25">
      <c r="A17" s="76"/>
      <c r="B17" s="77"/>
      <c r="C17" s="78"/>
      <c r="D17" s="60"/>
      <c r="E17" s="67"/>
      <c r="F17" s="60"/>
      <c r="G17" s="60"/>
      <c r="H17" s="81"/>
      <c r="I17" s="43">
        <f t="shared" si="1"/>
        <v>0</v>
      </c>
      <c r="J17" s="32">
        <v>0.5</v>
      </c>
    </row>
    <row r="18" spans="1:10" x14ac:dyDescent="0.25">
      <c r="A18" s="76"/>
      <c r="B18" s="77"/>
      <c r="C18" s="78"/>
      <c r="D18" s="60"/>
      <c r="E18" s="67"/>
      <c r="F18" s="60"/>
      <c r="G18" s="60"/>
      <c r="H18" s="81"/>
      <c r="I18" s="43">
        <f t="shared" si="1"/>
        <v>0</v>
      </c>
      <c r="J18" s="32">
        <v>0.5</v>
      </c>
    </row>
    <row r="19" spans="1:10" x14ac:dyDescent="0.25">
      <c r="A19" s="76"/>
      <c r="B19" s="77"/>
      <c r="C19" s="78"/>
      <c r="D19" s="60"/>
      <c r="E19" s="67"/>
      <c r="F19" s="60"/>
      <c r="G19" s="60"/>
      <c r="H19" s="89"/>
      <c r="I19" s="85">
        <f t="shared" si="1"/>
        <v>0</v>
      </c>
      <c r="J19" s="32">
        <v>0.5</v>
      </c>
    </row>
    <row r="20" spans="1:10" x14ac:dyDescent="0.25">
      <c r="A20" s="76"/>
      <c r="B20" s="77"/>
      <c r="C20" s="78"/>
      <c r="D20" s="60"/>
      <c r="E20" s="67"/>
      <c r="F20" s="60"/>
      <c r="G20" s="60"/>
      <c r="H20" s="89"/>
      <c r="I20" s="43">
        <f t="shared" si="1"/>
        <v>0</v>
      </c>
      <c r="J20" s="32">
        <v>0.5</v>
      </c>
    </row>
    <row r="21" spans="1:10" x14ac:dyDescent="0.25">
      <c r="A21" s="76"/>
      <c r="B21" s="77"/>
      <c r="C21" s="78"/>
      <c r="D21" s="60"/>
      <c r="E21" s="67"/>
      <c r="F21" s="60"/>
      <c r="G21" s="60"/>
      <c r="H21" s="89"/>
      <c r="I21" s="85">
        <f t="shared" si="1"/>
        <v>0</v>
      </c>
      <c r="J21" s="32">
        <v>0.5</v>
      </c>
    </row>
    <row r="22" spans="1:10" x14ac:dyDescent="0.25">
      <c r="A22" s="76"/>
      <c r="B22" s="77"/>
      <c r="C22" s="78"/>
      <c r="D22" s="60"/>
      <c r="E22" s="67"/>
      <c r="F22" s="60"/>
      <c r="G22" s="60"/>
      <c r="H22" s="89"/>
      <c r="I22" s="43">
        <f t="shared" si="1"/>
        <v>0</v>
      </c>
      <c r="J22" s="32">
        <v>0.5</v>
      </c>
    </row>
    <row r="23" spans="1:10" x14ac:dyDescent="0.25">
      <c r="A23" s="76"/>
      <c r="B23" s="77"/>
      <c r="C23" s="78"/>
      <c r="D23" s="60"/>
      <c r="E23" s="67"/>
      <c r="F23" s="60"/>
      <c r="G23" s="60"/>
      <c r="H23" s="89"/>
      <c r="I23" s="85">
        <f t="shared" si="1"/>
        <v>0</v>
      </c>
      <c r="J23" s="32">
        <v>0.5</v>
      </c>
    </row>
    <row r="24" spans="1:10" x14ac:dyDescent="0.25">
      <c r="A24" s="76"/>
      <c r="B24" s="77"/>
      <c r="C24" s="78"/>
      <c r="D24" s="60"/>
      <c r="E24" s="67"/>
      <c r="F24" s="60"/>
      <c r="G24" s="60"/>
      <c r="H24" s="89"/>
      <c r="I24" s="43">
        <f t="shared" si="1"/>
        <v>0</v>
      </c>
      <c r="J24" s="32">
        <v>0.5</v>
      </c>
    </row>
    <row r="25" spans="1:10" x14ac:dyDescent="0.25">
      <c r="A25" s="23"/>
      <c r="B25" s="29"/>
      <c r="C25" s="35"/>
      <c r="D25" s="11"/>
      <c r="E25" s="67"/>
      <c r="F25" s="11"/>
      <c r="G25" s="11"/>
      <c r="H25" s="83"/>
      <c r="I25" s="43">
        <f t="shared" si="1"/>
        <v>0</v>
      </c>
      <c r="J25" s="32">
        <v>0.5</v>
      </c>
    </row>
    <row r="26" spans="1:10" x14ac:dyDescent="0.25">
      <c r="A26" s="23"/>
      <c r="B26" s="29"/>
      <c r="C26" s="35"/>
      <c r="D26" s="11"/>
      <c r="E26" s="67"/>
      <c r="F26" s="11"/>
      <c r="G26" s="11"/>
      <c r="H26" s="83"/>
      <c r="I26" s="43">
        <f t="shared" si="1"/>
        <v>0</v>
      </c>
      <c r="J26" s="32">
        <v>0.5</v>
      </c>
    </row>
    <row r="27" spans="1:10" x14ac:dyDescent="0.25">
      <c r="A27" s="23"/>
      <c r="B27" s="29"/>
      <c r="C27" s="35"/>
      <c r="D27" s="11"/>
      <c r="E27" s="11"/>
      <c r="F27" s="11"/>
      <c r="G27" s="11"/>
      <c r="H27" s="83"/>
      <c r="I27" s="43">
        <f t="shared" si="1"/>
        <v>0</v>
      </c>
      <c r="J27" s="32">
        <v>0.5</v>
      </c>
    </row>
    <row r="28" spans="1:10" x14ac:dyDescent="0.25">
      <c r="A28" s="23"/>
      <c r="B28" s="29"/>
      <c r="C28" s="35"/>
      <c r="D28" s="11"/>
      <c r="E28" s="11"/>
      <c r="F28" s="11"/>
      <c r="G28" s="11"/>
      <c r="H28" s="83"/>
      <c r="I28" s="43">
        <f t="shared" si="1"/>
        <v>0</v>
      </c>
      <c r="J28" s="32">
        <v>0.5</v>
      </c>
    </row>
    <row r="29" spans="1:10" x14ac:dyDescent="0.25">
      <c r="A29" s="23"/>
      <c r="B29" s="29"/>
      <c r="C29" s="35"/>
      <c r="D29" s="11"/>
      <c r="E29" s="11"/>
      <c r="F29" s="11"/>
      <c r="G29" s="11"/>
      <c r="H29" s="31"/>
      <c r="I29" s="43">
        <f t="shared" si="1"/>
        <v>0</v>
      </c>
      <c r="J29" s="32">
        <v>0.5</v>
      </c>
    </row>
    <row r="30" spans="1:10" x14ac:dyDescent="0.25">
      <c r="A30" s="23"/>
      <c r="B30" s="29"/>
      <c r="C30" s="35"/>
      <c r="D30" s="11"/>
      <c r="E30" s="11"/>
      <c r="F30" s="11"/>
      <c r="G30" s="11"/>
      <c r="H30" s="31"/>
      <c r="I30" s="43">
        <f t="shared" si="1"/>
        <v>0</v>
      </c>
      <c r="J30" s="32">
        <v>0.5</v>
      </c>
    </row>
    <row r="31" spans="1:10" x14ac:dyDescent="0.25">
      <c r="A31" s="23"/>
      <c r="B31" s="29"/>
      <c r="C31" s="35"/>
      <c r="D31" s="11"/>
      <c r="E31" s="11"/>
      <c r="F31" s="11"/>
      <c r="G31" s="11"/>
      <c r="H31" s="31"/>
      <c r="I31" s="41"/>
      <c r="J31" s="50"/>
    </row>
    <row r="32" spans="1:10" x14ac:dyDescent="0.25">
      <c r="A32" s="23"/>
      <c r="B32" s="29"/>
      <c r="C32" s="35"/>
      <c r="D32" s="11"/>
      <c r="E32" s="11" t="s">
        <v>10</v>
      </c>
      <c r="F32" s="11">
        <f>SUM(F4:F31)</f>
        <v>84902.53</v>
      </c>
      <c r="G32" s="11">
        <f>SUM(G4:G31)</f>
        <v>79135.109999999986</v>
      </c>
      <c r="H32" s="31">
        <f>SUM(H4:H31)</f>
        <v>10113.09</v>
      </c>
      <c r="I32" s="47">
        <f>SUM(I4:I7)</f>
        <v>4695.4449999999997</v>
      </c>
      <c r="J32" s="48"/>
    </row>
    <row r="33" spans="1:10" x14ac:dyDescent="0.25">
      <c r="A33" s="1"/>
      <c r="B33" s="4"/>
      <c r="C33" s="84"/>
      <c r="D33" s="2"/>
      <c r="E33" s="54" t="s">
        <v>25</v>
      </c>
      <c r="F33" s="52"/>
      <c r="G33" s="52"/>
      <c r="H33" s="53"/>
      <c r="I33" s="54">
        <f>I8</f>
        <v>361.1</v>
      </c>
      <c r="J33" s="21"/>
    </row>
    <row r="34" spans="1:10" x14ac:dyDescent="0.25">
      <c r="A34" s="1"/>
      <c r="B34" s="4"/>
      <c r="C34" s="84"/>
      <c r="D34" s="2"/>
      <c r="E34" s="2"/>
      <c r="F34" s="2"/>
      <c r="G34" s="2"/>
      <c r="H34" s="5"/>
      <c r="I34" s="13"/>
      <c r="J34" s="1"/>
    </row>
    <row r="35" spans="1:10" x14ac:dyDescent="0.25">
      <c r="A35" s="1"/>
      <c r="B35" s="4"/>
      <c r="C35" s="84"/>
      <c r="D35" s="2"/>
      <c r="E35" s="2"/>
      <c r="F35" s="2"/>
      <c r="G35" s="2"/>
      <c r="H35" s="5"/>
      <c r="I35" s="13"/>
      <c r="J35" s="1"/>
    </row>
    <row r="36" spans="1:10" x14ac:dyDescent="0.25">
      <c r="A36" s="1"/>
      <c r="B36" s="4"/>
      <c r="C36" s="84"/>
      <c r="D36" s="2"/>
      <c r="E36" s="2" t="s">
        <v>26</v>
      </c>
      <c r="F36" s="2">
        <f>I32-I33</f>
        <v>4334.3449999999993</v>
      </c>
      <c r="G36" s="2"/>
      <c r="H36" s="5"/>
      <c r="I36" s="6">
        <f>I32-I33</f>
        <v>4334.3449999999993</v>
      </c>
      <c r="J36" s="1"/>
    </row>
    <row r="37" spans="1:10" x14ac:dyDescent="0.25">
      <c r="A37" s="1"/>
      <c r="B37" s="4"/>
      <c r="C37" s="84"/>
      <c r="D37" s="2"/>
      <c r="E37" s="2"/>
      <c r="F37" s="2"/>
      <c r="G37" s="2"/>
      <c r="H37" s="5"/>
      <c r="I37" s="13"/>
      <c r="J37" s="12"/>
    </row>
  </sheetData>
  <mergeCells count="1">
    <mergeCell ref="D1:E1"/>
  </mergeCells>
  <conditionalFormatting sqref="C1:C3 D4">
    <cfRule type="cellIs" dxfId="64" priority="7" operator="equal">
      <formula>15698.2</formula>
    </cfRule>
    <cfRule type="cellIs" dxfId="63" priority="8" operator="equal">
      <formula>"kapalı"</formula>
    </cfRule>
  </conditionalFormatting>
  <conditionalFormatting sqref="D1 F1:H1 D2:H3 J3 E4:E7 E9:E26">
    <cfRule type="cellIs" dxfId="62" priority="9" operator="equal">
      <formula>"K.KART"</formula>
    </cfRule>
  </conditionalFormatting>
  <conditionalFormatting sqref="D5:F5 D6:D7 F6:F7 D9:D25 F9:F25 D26:F37">
    <cfRule type="cellIs" dxfId="61" priority="5" operator="equal">
      <formula>15698.2</formula>
    </cfRule>
    <cfRule type="cellIs" dxfId="60" priority="6" operator="equal">
      <formula>"kapalı"</formula>
    </cfRule>
  </conditionalFormatting>
  <conditionalFormatting sqref="D8:F8">
    <cfRule type="cellIs" dxfId="59" priority="1" operator="equal">
      <formula>15698.2</formula>
    </cfRule>
    <cfRule type="cellIs" dxfId="58" priority="2" operator="equal">
      <formula>"kapalı"</formula>
    </cfRule>
  </conditionalFormatting>
  <conditionalFormatting sqref="F4:F5">
    <cfRule type="cellIs" dxfId="57" priority="4" operator="equal">
      <formula>"K.KART"</formula>
    </cfRule>
  </conditionalFormatting>
  <conditionalFormatting sqref="G4:G37">
    <cfRule type="cellIs" dxfId="56" priority="3" operator="equal">
      <formula>"K.KART"</formula>
    </cfRule>
  </conditionalFormatting>
  <conditionalFormatting sqref="G37:H37">
    <cfRule type="cellIs" dxfId="55" priority="10" operator="equal">
      <formula>"K.KART"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F65F-1C8B-4609-93FC-4161D3069AD8}">
  <dimension ref="A1:J36"/>
  <sheetViews>
    <sheetView workbookViewId="0">
      <selection activeCell="H15" sqref="H15"/>
    </sheetView>
  </sheetViews>
  <sheetFormatPr defaultRowHeight="15" x14ac:dyDescent="0.25"/>
  <cols>
    <col min="1" max="1" width="22.7109375" customWidth="1"/>
    <col min="2" max="2" width="12.5703125" customWidth="1"/>
    <col min="3" max="3" width="21" customWidth="1"/>
    <col min="6" max="6" width="14.5703125" customWidth="1"/>
    <col min="7" max="7" width="13" customWidth="1"/>
    <col min="8" max="8" width="12" customWidth="1"/>
    <col min="9" max="9" width="11.5703125" customWidth="1"/>
    <col min="10" max="10" width="5.28515625" customWidth="1"/>
  </cols>
  <sheetData>
    <row r="1" spans="1:10" x14ac:dyDescent="0.25">
      <c r="A1" s="23"/>
      <c r="B1" s="23"/>
      <c r="C1" s="35"/>
      <c r="D1" s="101" t="s">
        <v>27</v>
      </c>
      <c r="E1" s="102"/>
      <c r="F1" s="11"/>
      <c r="G1" s="11"/>
      <c r="H1" s="11"/>
      <c r="I1" s="11"/>
      <c r="J1" s="24"/>
    </row>
    <row r="2" spans="1:10" x14ac:dyDescent="0.25">
      <c r="A2" s="23" t="s">
        <v>127</v>
      </c>
      <c r="B2" s="23">
        <v>2025</v>
      </c>
      <c r="C2" s="35"/>
      <c r="D2" s="11"/>
      <c r="E2" s="11"/>
      <c r="F2" s="11"/>
      <c r="G2" s="11"/>
      <c r="H2" s="11"/>
      <c r="I2" s="11"/>
      <c r="J2" s="25"/>
    </row>
    <row r="3" spans="1:10" ht="38.25" x14ac:dyDescent="0.25">
      <c r="A3" s="26" t="s">
        <v>0</v>
      </c>
      <c r="B3" s="26" t="s">
        <v>1</v>
      </c>
      <c r="C3" s="70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</row>
    <row r="4" spans="1:10" x14ac:dyDescent="0.25">
      <c r="A4" s="23" t="s">
        <v>128</v>
      </c>
      <c r="B4" s="29">
        <v>45932</v>
      </c>
      <c r="C4" s="35">
        <v>1511049025</v>
      </c>
      <c r="D4" s="11" t="s">
        <v>65</v>
      </c>
      <c r="E4" s="67" t="s">
        <v>13</v>
      </c>
      <c r="F4" s="41">
        <v>38260</v>
      </c>
      <c r="G4" s="41">
        <v>36438.089999999997</v>
      </c>
      <c r="H4" s="74">
        <v>5465.7</v>
      </c>
      <c r="I4" s="43">
        <f>H4*J4</f>
        <v>2732.85</v>
      </c>
      <c r="J4" s="32">
        <v>0.5</v>
      </c>
    </row>
    <row r="5" spans="1:10" x14ac:dyDescent="0.25">
      <c r="A5" s="29" t="s">
        <v>129</v>
      </c>
      <c r="B5" s="29">
        <v>45933</v>
      </c>
      <c r="C5" s="35">
        <v>167257450</v>
      </c>
      <c r="D5" s="11" t="s">
        <v>12</v>
      </c>
      <c r="E5" s="67" t="s">
        <v>13</v>
      </c>
      <c r="F5" s="41">
        <v>10665.6</v>
      </c>
      <c r="G5" s="41">
        <v>9522.86</v>
      </c>
      <c r="H5" s="74">
        <v>952.2</v>
      </c>
      <c r="I5" s="43">
        <f t="shared" ref="I5:I29" si="0">H5*J5</f>
        <v>476.1</v>
      </c>
      <c r="J5" s="32">
        <v>0.5</v>
      </c>
    </row>
    <row r="6" spans="1:10" x14ac:dyDescent="0.25">
      <c r="A6" s="29" t="s">
        <v>129</v>
      </c>
      <c r="B6" s="29">
        <v>45933</v>
      </c>
      <c r="C6" s="35">
        <v>167257450</v>
      </c>
      <c r="D6" s="11" t="s">
        <v>22</v>
      </c>
      <c r="E6" s="67" t="s">
        <v>13</v>
      </c>
      <c r="F6" s="41">
        <v>5666.1</v>
      </c>
      <c r="G6" s="41">
        <v>5395.24</v>
      </c>
      <c r="H6" s="74">
        <v>539.9</v>
      </c>
      <c r="I6" s="43">
        <f t="shared" si="0"/>
        <v>269.95</v>
      </c>
      <c r="J6" s="32">
        <v>0.5</v>
      </c>
    </row>
    <row r="7" spans="1:10" x14ac:dyDescent="0.25">
      <c r="A7" s="29" t="s">
        <v>130</v>
      </c>
      <c r="B7" s="29">
        <v>45940</v>
      </c>
      <c r="C7" s="35">
        <v>100000440727040</v>
      </c>
      <c r="D7" s="11" t="s">
        <v>12</v>
      </c>
      <c r="E7" s="67" t="s">
        <v>13</v>
      </c>
      <c r="F7" s="41">
        <v>7595.22</v>
      </c>
      <c r="G7" s="41">
        <v>6903.95</v>
      </c>
      <c r="H7" s="74">
        <v>690.3</v>
      </c>
      <c r="I7" s="43">
        <f t="shared" ref="I7" si="1">H7*J7</f>
        <v>345.15</v>
      </c>
      <c r="J7" s="32">
        <v>0.5</v>
      </c>
    </row>
    <row r="8" spans="1:10" x14ac:dyDescent="0.25">
      <c r="A8" s="29" t="s">
        <v>132</v>
      </c>
      <c r="B8" s="29">
        <v>45946</v>
      </c>
      <c r="C8" s="35">
        <v>168640193</v>
      </c>
      <c r="D8" s="11" t="s">
        <v>12</v>
      </c>
      <c r="E8" s="67" t="s">
        <v>13</v>
      </c>
      <c r="F8" s="41">
        <v>15001.6</v>
      </c>
      <c r="G8" s="41">
        <v>13394.29</v>
      </c>
      <c r="H8" s="74">
        <v>1339.95</v>
      </c>
      <c r="I8" s="43">
        <f t="shared" si="0"/>
        <v>669.97500000000002</v>
      </c>
      <c r="J8" s="32">
        <v>0.5</v>
      </c>
    </row>
    <row r="9" spans="1:10" x14ac:dyDescent="0.25">
      <c r="A9" s="29" t="s">
        <v>132</v>
      </c>
      <c r="B9" s="29">
        <v>45946</v>
      </c>
      <c r="C9" s="35">
        <v>168640211</v>
      </c>
      <c r="D9" s="11" t="s">
        <v>22</v>
      </c>
      <c r="E9" s="67" t="s">
        <v>13</v>
      </c>
      <c r="F9" s="41">
        <v>7969.6</v>
      </c>
      <c r="G9" s="41">
        <v>7589.84</v>
      </c>
      <c r="H9" s="74">
        <v>843.96</v>
      </c>
      <c r="I9" s="43">
        <f t="shared" si="0"/>
        <v>421.98</v>
      </c>
      <c r="J9" s="32">
        <v>0.5</v>
      </c>
    </row>
    <row r="10" spans="1:10" x14ac:dyDescent="0.25">
      <c r="A10" s="29" t="s">
        <v>133</v>
      </c>
      <c r="B10" s="29">
        <v>45947</v>
      </c>
      <c r="C10" s="35">
        <v>1538635825</v>
      </c>
      <c r="D10" s="11" t="s">
        <v>12</v>
      </c>
      <c r="E10" s="67" t="s">
        <v>13</v>
      </c>
      <c r="F10" s="41">
        <v>7913</v>
      </c>
      <c r="G10" s="41">
        <v>7177.87</v>
      </c>
      <c r="H10" s="74">
        <v>717.7</v>
      </c>
      <c r="I10" s="43">
        <f t="shared" si="0"/>
        <v>358.85</v>
      </c>
      <c r="J10" s="32">
        <v>0.5</v>
      </c>
    </row>
    <row r="11" spans="1:10" x14ac:dyDescent="0.25">
      <c r="A11" s="29" t="s">
        <v>133</v>
      </c>
      <c r="B11" s="29">
        <v>45947</v>
      </c>
      <c r="C11" s="35">
        <v>1538636025</v>
      </c>
      <c r="D11" s="11" t="s">
        <v>22</v>
      </c>
      <c r="E11" s="67" t="s">
        <v>13</v>
      </c>
      <c r="F11" s="41">
        <v>3991</v>
      </c>
      <c r="G11" s="41">
        <v>3794.1</v>
      </c>
      <c r="H11" s="74">
        <v>379.4</v>
      </c>
      <c r="I11" s="43">
        <f t="shared" si="0"/>
        <v>189.7</v>
      </c>
      <c r="J11" s="32">
        <v>0.5</v>
      </c>
    </row>
    <row r="12" spans="1:10" x14ac:dyDescent="0.25">
      <c r="A12" s="29" t="s">
        <v>134</v>
      </c>
      <c r="B12" s="29">
        <v>45969</v>
      </c>
      <c r="C12" s="35">
        <v>100000452865404</v>
      </c>
      <c r="D12" s="11" t="s">
        <v>12</v>
      </c>
      <c r="E12" s="67" t="s">
        <v>13</v>
      </c>
      <c r="F12" s="41">
        <v>3646.01</v>
      </c>
      <c r="G12" s="41">
        <v>3276.73</v>
      </c>
      <c r="H12" s="74">
        <v>327.60000000000002</v>
      </c>
      <c r="I12" s="43">
        <f t="shared" si="0"/>
        <v>163.80000000000001</v>
      </c>
      <c r="J12" s="32">
        <v>0.5</v>
      </c>
    </row>
    <row r="13" spans="1:10" x14ac:dyDescent="0.25">
      <c r="A13" s="29" t="s">
        <v>134</v>
      </c>
      <c r="B13" s="29">
        <v>45969</v>
      </c>
      <c r="C13" s="78">
        <v>1171065</v>
      </c>
      <c r="D13" s="60" t="s">
        <v>24</v>
      </c>
      <c r="E13" s="67" t="s">
        <v>13</v>
      </c>
      <c r="F13" s="79">
        <v>100</v>
      </c>
      <c r="G13" s="79">
        <v>100</v>
      </c>
      <c r="H13" s="80">
        <v>5</v>
      </c>
      <c r="I13" s="43">
        <f t="shared" ref="I13:I18" si="2">H13*J13</f>
        <v>2.5</v>
      </c>
      <c r="J13" s="32">
        <v>0.5</v>
      </c>
    </row>
    <row r="14" spans="1:10" x14ac:dyDescent="0.25">
      <c r="A14" s="22" t="s">
        <v>32</v>
      </c>
      <c r="B14" s="36">
        <v>45937</v>
      </c>
      <c r="C14" s="51">
        <v>100000337848781</v>
      </c>
      <c r="D14" s="37" t="s">
        <v>12</v>
      </c>
      <c r="E14" s="37" t="s">
        <v>13</v>
      </c>
      <c r="F14" s="37">
        <v>5068.4399999999996</v>
      </c>
      <c r="G14" s="37">
        <v>4619.8900000000003</v>
      </c>
      <c r="H14" s="90">
        <v>461.9</v>
      </c>
      <c r="I14" s="62">
        <f t="shared" si="2"/>
        <v>230.95</v>
      </c>
      <c r="J14" s="40">
        <v>0.5</v>
      </c>
    </row>
    <row r="15" spans="1:10" x14ac:dyDescent="0.25">
      <c r="A15" s="22" t="s">
        <v>118</v>
      </c>
      <c r="B15" s="36">
        <v>45950</v>
      </c>
      <c r="C15" s="51">
        <v>3010002177410030</v>
      </c>
      <c r="D15" s="37" t="s">
        <v>12</v>
      </c>
      <c r="E15" s="37" t="s">
        <v>13</v>
      </c>
      <c r="F15" s="37">
        <v>13735.22</v>
      </c>
      <c r="G15" s="37">
        <v>12435.18</v>
      </c>
      <c r="H15" s="90">
        <v>1243.5</v>
      </c>
      <c r="I15" s="62">
        <f t="shared" si="2"/>
        <v>621.75</v>
      </c>
      <c r="J15" s="40">
        <v>0.5</v>
      </c>
    </row>
    <row r="16" spans="1:10" x14ac:dyDescent="0.25">
      <c r="A16" s="22" t="s">
        <v>20</v>
      </c>
      <c r="B16" s="36">
        <v>45937</v>
      </c>
      <c r="C16" s="51">
        <v>1028693125</v>
      </c>
      <c r="D16" s="37" t="s">
        <v>12</v>
      </c>
      <c r="E16" s="37" t="s">
        <v>13</v>
      </c>
      <c r="F16" s="37">
        <v>3314</v>
      </c>
      <c r="G16" s="37">
        <v>2958.95</v>
      </c>
      <c r="H16" s="90">
        <v>295.8</v>
      </c>
      <c r="I16" s="62">
        <f t="shared" si="2"/>
        <v>147.9</v>
      </c>
      <c r="J16" s="40">
        <v>0.5</v>
      </c>
    </row>
    <row r="17" spans="1:10" x14ac:dyDescent="0.25">
      <c r="A17" s="22" t="s">
        <v>107</v>
      </c>
      <c r="B17" s="36">
        <v>45957</v>
      </c>
      <c r="C17" s="51">
        <v>160480105</v>
      </c>
      <c r="D17" s="37" t="s">
        <v>12</v>
      </c>
      <c r="E17" s="37" t="s">
        <v>13</v>
      </c>
      <c r="F17" s="37">
        <v>8011.88</v>
      </c>
      <c r="G17" s="37">
        <v>7153.47</v>
      </c>
      <c r="H17" s="90">
        <v>715.3</v>
      </c>
      <c r="I17" s="62">
        <f t="shared" si="2"/>
        <v>357.65</v>
      </c>
      <c r="J17" s="40">
        <v>0.5</v>
      </c>
    </row>
    <row r="18" spans="1:10" x14ac:dyDescent="0.25">
      <c r="A18" s="22" t="s">
        <v>78</v>
      </c>
      <c r="B18" s="36">
        <v>45946</v>
      </c>
      <c r="C18" s="51">
        <v>268441054745</v>
      </c>
      <c r="D18" s="37" t="s">
        <v>12</v>
      </c>
      <c r="E18" s="37" t="s">
        <v>13</v>
      </c>
      <c r="F18" s="37">
        <v>16949.61</v>
      </c>
      <c r="G18" s="37">
        <v>15455.57</v>
      </c>
      <c r="H18" s="90">
        <v>1545.5</v>
      </c>
      <c r="I18" s="62">
        <f t="shared" si="2"/>
        <v>772.75</v>
      </c>
      <c r="J18" s="40">
        <v>0.5</v>
      </c>
    </row>
    <row r="19" spans="1:10" x14ac:dyDescent="0.25">
      <c r="A19" s="76"/>
      <c r="B19" s="77"/>
      <c r="C19" s="78"/>
      <c r="D19" s="60"/>
      <c r="E19" s="67"/>
      <c r="F19" s="60"/>
      <c r="G19" s="60"/>
      <c r="H19" s="89"/>
      <c r="I19" s="43">
        <f t="shared" si="0"/>
        <v>0</v>
      </c>
      <c r="J19" s="32">
        <v>0.5</v>
      </c>
    </row>
    <row r="20" spans="1:10" x14ac:dyDescent="0.25">
      <c r="A20" s="76"/>
      <c r="B20" s="77"/>
      <c r="C20" s="78"/>
      <c r="D20" s="60"/>
      <c r="E20" s="67"/>
      <c r="F20" s="60"/>
      <c r="G20" s="60"/>
      <c r="H20" s="89"/>
      <c r="I20" s="85">
        <f t="shared" si="0"/>
        <v>0</v>
      </c>
      <c r="J20" s="32">
        <v>0.5</v>
      </c>
    </row>
    <row r="21" spans="1:10" x14ac:dyDescent="0.25">
      <c r="A21" s="76"/>
      <c r="B21" s="77"/>
      <c r="C21" s="78"/>
      <c r="D21" s="60"/>
      <c r="E21" s="67"/>
      <c r="F21" s="60"/>
      <c r="G21" s="60"/>
      <c r="H21" s="89"/>
      <c r="I21" s="43">
        <f t="shared" si="0"/>
        <v>0</v>
      </c>
      <c r="J21" s="32">
        <v>0.5</v>
      </c>
    </row>
    <row r="22" spans="1:10" x14ac:dyDescent="0.25">
      <c r="A22" s="76"/>
      <c r="B22" s="77"/>
      <c r="C22" s="78"/>
      <c r="D22" s="60"/>
      <c r="E22" s="67"/>
      <c r="F22" s="60"/>
      <c r="G22" s="60"/>
      <c r="H22" s="89"/>
      <c r="I22" s="85">
        <f t="shared" si="0"/>
        <v>0</v>
      </c>
      <c r="J22" s="32">
        <v>0.5</v>
      </c>
    </row>
    <row r="23" spans="1:10" x14ac:dyDescent="0.25">
      <c r="A23" s="76"/>
      <c r="B23" s="77"/>
      <c r="C23" s="78"/>
      <c r="D23" s="60"/>
      <c r="E23" s="67"/>
      <c r="F23" s="60"/>
      <c r="G23" s="60"/>
      <c r="H23" s="89"/>
      <c r="I23" s="43">
        <f t="shared" si="0"/>
        <v>0</v>
      </c>
      <c r="J23" s="32">
        <v>0.5</v>
      </c>
    </row>
    <row r="24" spans="1:10" x14ac:dyDescent="0.25">
      <c r="A24" s="23"/>
      <c r="B24" s="29"/>
      <c r="C24" s="35"/>
      <c r="D24" s="11"/>
      <c r="E24" s="67"/>
      <c r="F24" s="11"/>
      <c r="G24" s="11"/>
      <c r="H24" s="83"/>
      <c r="I24" s="43">
        <f t="shared" si="0"/>
        <v>0</v>
      </c>
      <c r="J24" s="32">
        <v>0.5</v>
      </c>
    </row>
    <row r="25" spans="1:10" x14ac:dyDescent="0.25">
      <c r="A25" s="23"/>
      <c r="B25" s="29"/>
      <c r="C25" s="35"/>
      <c r="D25" s="11"/>
      <c r="E25" s="67"/>
      <c r="F25" s="11"/>
      <c r="G25" s="11"/>
      <c r="H25" s="83"/>
      <c r="I25" s="43">
        <f t="shared" si="0"/>
        <v>0</v>
      </c>
      <c r="J25" s="32">
        <v>0.5</v>
      </c>
    </row>
    <row r="26" spans="1:10" x14ac:dyDescent="0.25">
      <c r="A26" s="23"/>
      <c r="B26" s="29"/>
      <c r="C26" s="35"/>
      <c r="D26" s="11"/>
      <c r="E26" s="11"/>
      <c r="F26" s="11"/>
      <c r="G26" s="11"/>
      <c r="H26" s="83"/>
      <c r="I26" s="43">
        <f t="shared" si="0"/>
        <v>0</v>
      </c>
      <c r="J26" s="32">
        <v>0.5</v>
      </c>
    </row>
    <row r="27" spans="1:10" x14ac:dyDescent="0.25">
      <c r="A27" s="23"/>
      <c r="B27" s="29"/>
      <c r="C27" s="35"/>
      <c r="D27" s="11"/>
      <c r="E27" s="11"/>
      <c r="F27" s="11"/>
      <c r="G27" s="11"/>
      <c r="H27" s="83"/>
      <c r="I27" s="43">
        <f t="shared" si="0"/>
        <v>0</v>
      </c>
      <c r="J27" s="32">
        <v>0.5</v>
      </c>
    </row>
    <row r="28" spans="1:10" x14ac:dyDescent="0.25">
      <c r="A28" s="23"/>
      <c r="B28" s="29"/>
      <c r="C28" s="35"/>
      <c r="D28" s="11"/>
      <c r="E28" s="11"/>
      <c r="F28" s="11"/>
      <c r="G28" s="11"/>
      <c r="H28" s="31"/>
      <c r="I28" s="43">
        <f t="shared" si="0"/>
        <v>0</v>
      </c>
      <c r="J28" s="32">
        <v>0.5</v>
      </c>
    </row>
    <row r="29" spans="1:10" x14ac:dyDescent="0.25">
      <c r="A29" s="23"/>
      <c r="B29" s="29"/>
      <c r="C29" s="35"/>
      <c r="D29" s="11"/>
      <c r="E29" s="11"/>
      <c r="F29" s="11"/>
      <c r="G29" s="11"/>
      <c r="H29" s="31"/>
      <c r="I29" s="43">
        <f t="shared" si="0"/>
        <v>0</v>
      </c>
      <c r="J29" s="32">
        <v>0.5</v>
      </c>
    </row>
    <row r="30" spans="1:10" x14ac:dyDescent="0.25">
      <c r="A30" s="23"/>
      <c r="B30" s="29"/>
      <c r="C30" s="35"/>
      <c r="D30" s="11"/>
      <c r="E30" s="11"/>
      <c r="F30" s="11"/>
      <c r="G30" s="11"/>
      <c r="H30" s="31"/>
      <c r="I30" s="41"/>
      <c r="J30" s="50"/>
    </row>
    <row r="31" spans="1:10" x14ac:dyDescent="0.25">
      <c r="A31" s="23"/>
      <c r="B31" s="29"/>
      <c r="C31" s="35"/>
      <c r="D31" s="11"/>
      <c r="E31" s="11" t="s">
        <v>10</v>
      </c>
      <c r="F31" s="11">
        <f>SUM(F4:F30)</f>
        <v>147887.28000000003</v>
      </c>
      <c r="G31" s="11">
        <f>SUM(G4:G30)</f>
        <v>136216.02999999997</v>
      </c>
      <c r="H31" s="31">
        <f>SUM(H4:H30)</f>
        <v>15523.709999999997</v>
      </c>
      <c r="I31" s="47">
        <f>SUM(I4:I13)</f>
        <v>5630.8549999999996</v>
      </c>
      <c r="J31" s="48"/>
    </row>
    <row r="32" spans="1:10" x14ac:dyDescent="0.25">
      <c r="A32" s="1"/>
      <c r="B32" s="4"/>
      <c r="C32" s="84"/>
      <c r="D32" s="2"/>
      <c r="E32" s="54" t="s">
        <v>25</v>
      </c>
      <c r="F32" s="52"/>
      <c r="G32" s="52"/>
      <c r="H32" s="53"/>
      <c r="I32" s="54">
        <f>I14+I15+I16+I17+I18</f>
        <v>2131</v>
      </c>
      <c r="J32" s="21"/>
    </row>
    <row r="33" spans="1:10" x14ac:dyDescent="0.25">
      <c r="A33" s="1"/>
      <c r="B33" s="4"/>
      <c r="C33" s="84"/>
      <c r="D33" s="2"/>
      <c r="E33" s="2"/>
      <c r="F33" s="2"/>
      <c r="G33" s="2"/>
      <c r="H33" s="5"/>
      <c r="I33" s="13"/>
      <c r="J33" s="1"/>
    </row>
    <row r="34" spans="1:10" x14ac:dyDescent="0.25">
      <c r="A34" s="1"/>
      <c r="B34" s="4"/>
      <c r="C34" s="84"/>
      <c r="D34" s="2"/>
      <c r="E34" s="2"/>
      <c r="F34" s="2"/>
      <c r="G34" s="2"/>
      <c r="H34" s="5"/>
      <c r="I34" s="13"/>
      <c r="J34" s="1"/>
    </row>
    <row r="35" spans="1:10" x14ac:dyDescent="0.25">
      <c r="A35" s="1"/>
      <c r="B35" s="4"/>
      <c r="C35" s="84"/>
      <c r="D35" s="2"/>
      <c r="E35" s="2" t="s">
        <v>26</v>
      </c>
      <c r="F35" s="2">
        <f>I31-I32</f>
        <v>3499.8549999999996</v>
      </c>
      <c r="G35" s="2"/>
      <c r="H35" s="5"/>
      <c r="I35" s="6">
        <f>I31-I32</f>
        <v>3499.8549999999996</v>
      </c>
      <c r="J35" s="1"/>
    </row>
    <row r="36" spans="1:10" x14ac:dyDescent="0.25">
      <c r="A36" s="1"/>
      <c r="B36" s="4"/>
      <c r="C36" s="84"/>
      <c r="D36" s="2"/>
      <c r="E36" s="2"/>
      <c r="F36" s="2"/>
      <c r="G36" s="2"/>
      <c r="H36" s="5"/>
      <c r="I36" s="13"/>
      <c r="J36" s="12"/>
    </row>
  </sheetData>
  <mergeCells count="1">
    <mergeCell ref="D1:E1"/>
  </mergeCells>
  <conditionalFormatting sqref="C1:C3 D4">
    <cfRule type="cellIs" dxfId="54" priority="15" operator="equal">
      <formula>15698.2</formula>
    </cfRule>
    <cfRule type="cellIs" dxfId="53" priority="16" operator="equal">
      <formula>"kapalı"</formula>
    </cfRule>
  </conditionalFormatting>
  <conditionalFormatting sqref="D1 F1:H1 D2:H3 J3 E4:E13 E19:E25">
    <cfRule type="cellIs" dxfId="52" priority="17" operator="equal">
      <formula>"K.KART"</formula>
    </cfRule>
  </conditionalFormatting>
  <conditionalFormatting sqref="D5:F5 D6:D13 F6:F13 D19:D24 F19:F24 D25:F36">
    <cfRule type="cellIs" dxfId="51" priority="13" operator="equal">
      <formula>15698.2</formula>
    </cfRule>
    <cfRule type="cellIs" dxfId="50" priority="14" operator="equal">
      <formula>"kapalı"</formula>
    </cfRule>
  </conditionalFormatting>
  <conditionalFormatting sqref="D14:F18">
    <cfRule type="cellIs" dxfId="49" priority="1" operator="equal">
      <formula>15698.2</formula>
    </cfRule>
    <cfRule type="cellIs" dxfId="48" priority="2" operator="equal">
      <formula>"kapalı"</formula>
    </cfRule>
  </conditionalFormatting>
  <conditionalFormatting sqref="F4:F5">
    <cfRule type="cellIs" dxfId="47" priority="12" operator="equal">
      <formula>"K.KART"</formula>
    </cfRule>
  </conditionalFormatting>
  <conditionalFormatting sqref="G4:G36">
    <cfRule type="cellIs" dxfId="46" priority="5" operator="equal">
      <formula>"K.KART"</formula>
    </cfRule>
  </conditionalFormatting>
  <conditionalFormatting sqref="G36:H36">
    <cfRule type="cellIs" dxfId="45" priority="18" operator="equal">
      <formula>"K.KART"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BEEF-00F8-4481-9434-0D214F9BD6B7}">
  <dimension ref="A1:AM41"/>
  <sheetViews>
    <sheetView topLeftCell="A22" workbookViewId="0">
      <selection activeCell="L40" sqref="L40:M40"/>
    </sheetView>
  </sheetViews>
  <sheetFormatPr defaultRowHeight="15" x14ac:dyDescent="0.25"/>
  <cols>
    <col min="1" max="1" width="22.7109375" customWidth="1"/>
    <col min="2" max="2" width="11.140625" customWidth="1"/>
    <col min="3" max="3" width="17.7109375" customWidth="1"/>
    <col min="6" max="7" width="10.85546875" customWidth="1"/>
    <col min="8" max="8" width="9.42578125" customWidth="1"/>
    <col min="9" max="9" width="9.7109375" customWidth="1"/>
    <col min="10" max="10" width="5.28515625" customWidth="1"/>
    <col min="11" max="11" width="3" customWidth="1"/>
    <col min="12" max="12" width="17.140625" customWidth="1"/>
    <col min="13" max="13" width="9.85546875" bestFit="1" customWidth="1"/>
    <col min="14" max="14" width="16.5703125" customWidth="1"/>
    <col min="15" max="15" width="9.140625" customWidth="1"/>
    <col min="17" max="18" width="10" bestFit="1" customWidth="1"/>
    <col min="21" max="21" width="5" customWidth="1"/>
  </cols>
  <sheetData>
    <row r="1" spans="1:21" x14ac:dyDescent="0.25">
      <c r="A1" s="23"/>
      <c r="B1" s="23"/>
      <c r="C1" s="35"/>
      <c r="D1" s="101" t="s">
        <v>27</v>
      </c>
      <c r="E1" s="102"/>
      <c r="F1" s="11"/>
      <c r="G1" s="11"/>
      <c r="H1" s="11"/>
      <c r="I1" s="11"/>
      <c r="J1" s="24"/>
      <c r="K1" s="94"/>
      <c r="L1" s="23"/>
      <c r="M1" s="23"/>
      <c r="N1" s="35"/>
      <c r="O1" s="101" t="s">
        <v>27</v>
      </c>
      <c r="P1" s="102"/>
      <c r="Q1" s="11"/>
      <c r="R1" s="11"/>
      <c r="S1" s="11"/>
      <c r="T1" s="11"/>
      <c r="U1" s="24"/>
    </row>
    <row r="2" spans="1:21" x14ac:dyDescent="0.25">
      <c r="A2" s="23" t="s">
        <v>135</v>
      </c>
      <c r="B2" s="23">
        <v>2025</v>
      </c>
      <c r="C2" s="35"/>
      <c r="D2" s="11"/>
      <c r="E2" s="11"/>
      <c r="F2" s="11"/>
      <c r="G2" s="11"/>
      <c r="H2" s="11"/>
      <c r="I2" s="11"/>
      <c r="J2" s="25"/>
      <c r="K2" s="95"/>
      <c r="L2" s="23" t="s">
        <v>135</v>
      </c>
      <c r="M2" s="23">
        <v>2025</v>
      </c>
      <c r="N2" s="35"/>
      <c r="O2" s="11"/>
      <c r="P2" s="11"/>
      <c r="Q2" s="11"/>
      <c r="R2" s="11"/>
      <c r="S2" s="11"/>
      <c r="T2" s="11"/>
      <c r="U2" s="25"/>
    </row>
    <row r="3" spans="1:21" ht="38.25" x14ac:dyDescent="0.25">
      <c r="A3" s="26" t="s">
        <v>0</v>
      </c>
      <c r="B3" s="26" t="s">
        <v>1</v>
      </c>
      <c r="C3" s="70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  <c r="K3" s="95"/>
      <c r="L3" s="26" t="s">
        <v>0</v>
      </c>
      <c r="M3" s="26" t="s">
        <v>1</v>
      </c>
      <c r="N3" s="70" t="s">
        <v>2</v>
      </c>
      <c r="O3" s="27" t="s">
        <v>3</v>
      </c>
      <c r="P3" s="27" t="s">
        <v>4</v>
      </c>
      <c r="Q3" s="27" t="s">
        <v>5</v>
      </c>
      <c r="R3" s="27" t="s">
        <v>6</v>
      </c>
      <c r="S3" s="28" t="s">
        <v>7</v>
      </c>
      <c r="T3" s="27" t="s">
        <v>156</v>
      </c>
      <c r="U3" s="27" t="s">
        <v>9</v>
      </c>
    </row>
    <row r="4" spans="1:21" x14ac:dyDescent="0.25">
      <c r="A4" s="23" t="s">
        <v>136</v>
      </c>
      <c r="B4" s="29">
        <v>45962</v>
      </c>
      <c r="C4" s="35">
        <v>79228139</v>
      </c>
      <c r="D4" s="11" t="s">
        <v>12</v>
      </c>
      <c r="E4" s="67" t="s">
        <v>13</v>
      </c>
      <c r="F4" s="41">
        <v>11589.09</v>
      </c>
      <c r="G4" s="41">
        <v>10394.280000000001</v>
      </c>
      <c r="H4" s="74">
        <v>1046</v>
      </c>
      <c r="I4" s="43">
        <f>H4*J4</f>
        <v>523</v>
      </c>
      <c r="J4" s="32">
        <v>0.5</v>
      </c>
      <c r="K4" s="95"/>
      <c r="L4" s="23" t="s">
        <v>157</v>
      </c>
      <c r="M4" s="29">
        <v>45991</v>
      </c>
      <c r="N4" s="35">
        <v>624703961</v>
      </c>
      <c r="O4" s="11" t="s">
        <v>12</v>
      </c>
      <c r="P4" s="67" t="s">
        <v>13</v>
      </c>
      <c r="Q4" s="41">
        <v>14166.12</v>
      </c>
      <c r="R4" s="41">
        <v>12648.31</v>
      </c>
      <c r="S4" s="74">
        <v>1264.8</v>
      </c>
      <c r="T4" s="43">
        <f>S4*U4</f>
        <v>632.4</v>
      </c>
      <c r="U4" s="32">
        <v>0.5</v>
      </c>
    </row>
    <row r="5" spans="1:21" x14ac:dyDescent="0.25">
      <c r="A5" s="23" t="s">
        <v>136</v>
      </c>
      <c r="B5" s="29">
        <v>45962</v>
      </c>
      <c r="C5" s="35">
        <v>79228139</v>
      </c>
      <c r="D5" s="11" t="s">
        <v>137</v>
      </c>
      <c r="E5" s="67" t="s">
        <v>13</v>
      </c>
      <c r="F5" s="41">
        <v>2003.42</v>
      </c>
      <c r="G5" s="41">
        <v>1908.02</v>
      </c>
      <c r="H5" s="74">
        <v>190.8</v>
      </c>
      <c r="I5" s="43">
        <f t="shared" ref="I5:I31" si="0">H5*J5</f>
        <v>95.4</v>
      </c>
      <c r="J5" s="32">
        <v>0.5</v>
      </c>
      <c r="K5" s="95"/>
      <c r="L5" s="23"/>
      <c r="M5" s="29"/>
      <c r="N5" s="35"/>
      <c r="O5" s="11"/>
      <c r="P5" s="67"/>
      <c r="Q5" s="41"/>
      <c r="R5" s="41"/>
      <c r="S5" s="74"/>
      <c r="T5" s="43">
        <f t="shared" ref="T5:T12" si="1">S5*U5</f>
        <v>0</v>
      </c>
      <c r="U5" s="32">
        <v>0.5</v>
      </c>
    </row>
    <row r="6" spans="1:21" x14ac:dyDescent="0.25">
      <c r="A6" s="29" t="s">
        <v>138</v>
      </c>
      <c r="B6" s="29">
        <v>45969</v>
      </c>
      <c r="C6" s="35">
        <v>311000507563201</v>
      </c>
      <c r="D6" s="11" t="s">
        <v>12</v>
      </c>
      <c r="E6" s="67" t="s">
        <v>13</v>
      </c>
      <c r="F6" s="41">
        <v>7083.18</v>
      </c>
      <c r="G6" s="41">
        <v>6324.27</v>
      </c>
      <c r="H6" s="74">
        <v>632.4</v>
      </c>
      <c r="I6" s="43">
        <f t="shared" si="0"/>
        <v>316.2</v>
      </c>
      <c r="J6" s="32">
        <v>0.5</v>
      </c>
      <c r="K6" s="95"/>
      <c r="L6" s="29"/>
      <c r="M6" s="29"/>
      <c r="N6" s="35"/>
      <c r="O6" s="11"/>
      <c r="P6" s="67"/>
      <c r="Q6" s="41"/>
      <c r="R6" s="41"/>
      <c r="S6" s="74"/>
      <c r="T6" s="43">
        <f t="shared" si="1"/>
        <v>0</v>
      </c>
      <c r="U6" s="32">
        <v>0.5</v>
      </c>
    </row>
    <row r="7" spans="1:21" x14ac:dyDescent="0.25">
      <c r="A7" s="29" t="s">
        <v>138</v>
      </c>
      <c r="B7" s="29">
        <v>45969</v>
      </c>
      <c r="C7" s="35">
        <v>311000507563201</v>
      </c>
      <c r="D7" s="11" t="s">
        <v>137</v>
      </c>
      <c r="E7" s="67" t="s">
        <v>13</v>
      </c>
      <c r="F7" s="41">
        <v>700</v>
      </c>
      <c r="G7" s="41">
        <v>666.67</v>
      </c>
      <c r="H7" s="74">
        <v>66.599999999999994</v>
      </c>
      <c r="I7" s="43">
        <f t="shared" si="0"/>
        <v>33.299999999999997</v>
      </c>
      <c r="J7" s="32">
        <v>0.5</v>
      </c>
      <c r="K7" s="95"/>
      <c r="L7" s="29"/>
      <c r="M7" s="29"/>
      <c r="N7" s="35"/>
      <c r="O7" s="11"/>
      <c r="P7" s="67"/>
      <c r="Q7" s="41"/>
      <c r="R7" s="41"/>
      <c r="S7" s="74"/>
      <c r="T7" s="43">
        <f t="shared" si="1"/>
        <v>0</v>
      </c>
      <c r="U7" s="32">
        <v>0.5</v>
      </c>
    </row>
    <row r="8" spans="1:21" x14ac:dyDescent="0.25">
      <c r="A8" s="29" t="s">
        <v>139</v>
      </c>
      <c r="B8" s="29">
        <v>45967</v>
      </c>
      <c r="C8" s="35">
        <v>311000507820525</v>
      </c>
      <c r="D8" s="11" t="s">
        <v>12</v>
      </c>
      <c r="E8" s="67" t="s">
        <v>13</v>
      </c>
      <c r="F8" s="41">
        <v>26396.98</v>
      </c>
      <c r="G8" s="41">
        <v>23637.49</v>
      </c>
      <c r="H8" s="74">
        <v>2363.6999999999998</v>
      </c>
      <c r="I8" s="43">
        <f t="shared" si="0"/>
        <v>1181.8499999999999</v>
      </c>
      <c r="J8" s="32">
        <v>0.5</v>
      </c>
      <c r="K8" s="95"/>
      <c r="L8" s="29"/>
      <c r="M8" s="29"/>
      <c r="N8" s="35"/>
      <c r="O8" s="11"/>
      <c r="P8" s="67"/>
      <c r="Q8" s="41"/>
      <c r="R8" s="41"/>
      <c r="S8" s="74"/>
      <c r="T8" s="43">
        <f t="shared" si="1"/>
        <v>0</v>
      </c>
      <c r="U8" s="32">
        <v>0.5</v>
      </c>
    </row>
    <row r="9" spans="1:21" x14ac:dyDescent="0.25">
      <c r="A9" s="29" t="s">
        <v>139</v>
      </c>
      <c r="B9" s="29">
        <v>45967</v>
      </c>
      <c r="C9" s="35">
        <v>311000507820525</v>
      </c>
      <c r="D9" s="11" t="s">
        <v>155</v>
      </c>
      <c r="E9" s="67" t="s">
        <v>13</v>
      </c>
      <c r="F9" s="41">
        <v>3003.89</v>
      </c>
      <c r="G9" s="41">
        <v>2856.44</v>
      </c>
      <c r="H9" s="74">
        <v>285.60000000000002</v>
      </c>
      <c r="I9" s="43">
        <f t="shared" si="0"/>
        <v>142.80000000000001</v>
      </c>
      <c r="J9" s="32">
        <v>0.5</v>
      </c>
      <c r="K9" s="95"/>
      <c r="L9" s="29"/>
      <c r="M9" s="29"/>
      <c r="N9" s="35"/>
      <c r="O9" s="11"/>
      <c r="P9" s="67"/>
      <c r="Q9" s="41"/>
      <c r="R9" s="41"/>
      <c r="S9" s="74"/>
      <c r="T9" s="43">
        <f t="shared" si="1"/>
        <v>0</v>
      </c>
      <c r="U9" s="32">
        <v>0.5</v>
      </c>
    </row>
    <row r="10" spans="1:21" x14ac:dyDescent="0.25">
      <c r="A10" s="29" t="s">
        <v>140</v>
      </c>
      <c r="B10" s="29">
        <v>45967</v>
      </c>
      <c r="C10" s="35">
        <v>301000238891499</v>
      </c>
      <c r="D10" s="11" t="s">
        <v>12</v>
      </c>
      <c r="E10" s="67" t="s">
        <v>13</v>
      </c>
      <c r="F10" s="41">
        <v>7389.92</v>
      </c>
      <c r="G10" s="41">
        <v>6657.58</v>
      </c>
      <c r="H10" s="74">
        <v>665.7</v>
      </c>
      <c r="I10" s="43">
        <f t="shared" si="0"/>
        <v>332.85</v>
      </c>
      <c r="J10" s="32">
        <v>0.5</v>
      </c>
      <c r="K10" s="95"/>
      <c r="L10" s="29"/>
      <c r="M10" s="29"/>
      <c r="N10" s="35"/>
      <c r="O10" s="11"/>
      <c r="P10" s="67"/>
      <c r="Q10" s="41"/>
      <c r="R10" s="41"/>
      <c r="S10" s="74"/>
      <c r="T10" s="43">
        <f t="shared" si="1"/>
        <v>0</v>
      </c>
      <c r="U10" s="32">
        <v>0.5</v>
      </c>
    </row>
    <row r="11" spans="1:21" x14ac:dyDescent="0.25">
      <c r="A11" s="29" t="s">
        <v>141</v>
      </c>
      <c r="B11" s="29">
        <v>45971</v>
      </c>
      <c r="C11" s="35">
        <v>1458527221</v>
      </c>
      <c r="D11" s="11" t="s">
        <v>12</v>
      </c>
      <c r="E11" s="67" t="s">
        <v>13</v>
      </c>
      <c r="F11" s="41">
        <v>8947</v>
      </c>
      <c r="G11" s="41">
        <v>8041.65</v>
      </c>
      <c r="H11" s="74">
        <v>804.1</v>
      </c>
      <c r="I11" s="43">
        <f t="shared" si="0"/>
        <v>402.05</v>
      </c>
      <c r="J11" s="32">
        <v>0.5</v>
      </c>
      <c r="K11" s="95"/>
      <c r="L11" s="29"/>
      <c r="M11" s="29"/>
      <c r="N11" s="35"/>
      <c r="O11" s="11"/>
      <c r="P11" s="67"/>
      <c r="Q11" s="41"/>
      <c r="R11" s="41"/>
      <c r="S11" s="74"/>
      <c r="T11" s="43">
        <f t="shared" si="1"/>
        <v>0</v>
      </c>
      <c r="U11" s="32">
        <v>0.5</v>
      </c>
    </row>
    <row r="12" spans="1:21" x14ac:dyDescent="0.25">
      <c r="A12" s="29" t="s">
        <v>141</v>
      </c>
      <c r="B12" s="29">
        <v>45971</v>
      </c>
      <c r="C12" s="35">
        <v>789407612</v>
      </c>
      <c r="D12" s="11" t="s">
        <v>65</v>
      </c>
      <c r="E12" s="67" t="s">
        <v>13</v>
      </c>
      <c r="F12" s="41">
        <v>31978.5</v>
      </c>
      <c r="G12" s="41">
        <v>30455.71</v>
      </c>
      <c r="H12" s="74">
        <v>4568.25</v>
      </c>
      <c r="I12" s="43">
        <f t="shared" si="0"/>
        <v>2284.125</v>
      </c>
      <c r="J12" s="32">
        <v>0.5</v>
      </c>
      <c r="K12" s="95"/>
      <c r="L12" s="29"/>
      <c r="M12" s="29"/>
      <c r="N12" s="35"/>
      <c r="O12" s="11"/>
      <c r="P12" s="67"/>
      <c r="Q12" s="41"/>
      <c r="R12" s="41"/>
      <c r="S12" s="74"/>
      <c r="T12" s="43">
        <f t="shared" si="1"/>
        <v>0</v>
      </c>
      <c r="U12" s="32">
        <v>0.5</v>
      </c>
    </row>
    <row r="13" spans="1:21" x14ac:dyDescent="0.25">
      <c r="A13" s="29" t="s">
        <v>142</v>
      </c>
      <c r="B13" s="29">
        <v>45979</v>
      </c>
      <c r="C13" s="78">
        <v>100000468457904</v>
      </c>
      <c r="D13" s="60" t="s">
        <v>12</v>
      </c>
      <c r="E13" s="67" t="s">
        <v>13</v>
      </c>
      <c r="F13" s="79">
        <v>9924.18</v>
      </c>
      <c r="G13" s="79">
        <v>8919.0400000000009</v>
      </c>
      <c r="H13" s="80">
        <v>891.9</v>
      </c>
      <c r="I13" s="43">
        <f>H13*J13</f>
        <v>445.95</v>
      </c>
      <c r="J13" s="32">
        <v>0.5</v>
      </c>
      <c r="K13" s="95"/>
      <c r="L13" s="29"/>
      <c r="M13" s="29"/>
      <c r="N13" s="78"/>
      <c r="O13" s="60"/>
      <c r="P13" s="67"/>
      <c r="Q13" s="79"/>
      <c r="R13" s="79"/>
      <c r="S13" s="80"/>
      <c r="T13" s="43">
        <f>S13*U13</f>
        <v>0</v>
      </c>
      <c r="U13" s="32">
        <v>0.5</v>
      </c>
    </row>
    <row r="14" spans="1:21" x14ac:dyDescent="0.25">
      <c r="A14" s="29" t="s">
        <v>142</v>
      </c>
      <c r="B14" s="29">
        <v>45979</v>
      </c>
      <c r="C14" s="78">
        <v>100000468457904</v>
      </c>
      <c r="D14" s="60" t="s">
        <v>24</v>
      </c>
      <c r="E14" s="67" t="s">
        <v>13</v>
      </c>
      <c r="F14" s="79">
        <v>200</v>
      </c>
      <c r="G14" s="79">
        <v>200</v>
      </c>
      <c r="H14" s="80">
        <v>10</v>
      </c>
      <c r="I14" s="43">
        <f t="shared" si="0"/>
        <v>5</v>
      </c>
      <c r="J14" s="32">
        <v>0.5</v>
      </c>
      <c r="K14" s="95"/>
      <c r="L14" s="29"/>
      <c r="M14" s="29"/>
      <c r="N14" s="78"/>
      <c r="O14" s="60"/>
      <c r="P14" s="67"/>
      <c r="Q14" s="79"/>
      <c r="R14" s="79"/>
      <c r="S14" s="80"/>
      <c r="T14" s="43">
        <f t="shared" ref="T14:T31" si="2">S14*U14</f>
        <v>0</v>
      </c>
      <c r="U14" s="32">
        <v>0.5</v>
      </c>
    </row>
    <row r="15" spans="1:21" x14ac:dyDescent="0.25">
      <c r="A15" s="76" t="s">
        <v>52</v>
      </c>
      <c r="B15" s="77">
        <v>45978</v>
      </c>
      <c r="C15" s="78">
        <v>100000467767442</v>
      </c>
      <c r="D15" s="60" t="s">
        <v>12</v>
      </c>
      <c r="E15" s="67" t="s">
        <v>13</v>
      </c>
      <c r="F15" s="60">
        <v>21568.7</v>
      </c>
      <c r="G15" s="60">
        <v>19384.18</v>
      </c>
      <c r="H15" s="81">
        <v>1938.4</v>
      </c>
      <c r="I15" s="43">
        <f t="shared" si="0"/>
        <v>969.2</v>
      </c>
      <c r="J15" s="32">
        <v>0.5</v>
      </c>
      <c r="K15" s="95"/>
      <c r="L15" s="76"/>
      <c r="M15" s="77"/>
      <c r="N15" s="78"/>
      <c r="O15" s="60"/>
      <c r="P15" s="67"/>
      <c r="Q15" s="60"/>
      <c r="R15" s="60"/>
      <c r="S15" s="81"/>
      <c r="T15" s="43">
        <f t="shared" si="2"/>
        <v>0</v>
      </c>
      <c r="U15" s="32">
        <v>0.5</v>
      </c>
    </row>
    <row r="16" spans="1:21" x14ac:dyDescent="0.25">
      <c r="A16" s="76" t="s">
        <v>52</v>
      </c>
      <c r="B16" s="77">
        <v>45978</v>
      </c>
      <c r="C16" s="78">
        <v>100000467767442</v>
      </c>
      <c r="D16" s="60" t="s">
        <v>24</v>
      </c>
      <c r="E16" s="67" t="s">
        <v>13</v>
      </c>
      <c r="F16" s="60">
        <v>200</v>
      </c>
      <c r="G16" s="60">
        <v>200</v>
      </c>
      <c r="H16" s="81">
        <v>10</v>
      </c>
      <c r="I16" s="43">
        <f t="shared" si="0"/>
        <v>5</v>
      </c>
      <c r="J16" s="32">
        <v>0.5</v>
      </c>
      <c r="K16" s="95"/>
      <c r="L16" s="76"/>
      <c r="M16" s="77"/>
      <c r="N16" s="78"/>
      <c r="O16" s="60"/>
      <c r="P16" s="67"/>
      <c r="Q16" s="60"/>
      <c r="R16" s="60"/>
      <c r="S16" s="81"/>
      <c r="T16" s="43">
        <f t="shared" si="2"/>
        <v>0</v>
      </c>
      <c r="U16" s="32">
        <v>0.5</v>
      </c>
    </row>
    <row r="17" spans="1:21" x14ac:dyDescent="0.25">
      <c r="A17" s="76" t="s">
        <v>143</v>
      </c>
      <c r="B17" s="77">
        <v>45981</v>
      </c>
      <c r="C17" s="78">
        <v>100000469466241</v>
      </c>
      <c r="D17" s="60" t="s">
        <v>12</v>
      </c>
      <c r="E17" s="67" t="s">
        <v>13</v>
      </c>
      <c r="F17" s="60">
        <v>11908.57</v>
      </c>
      <c r="G17" s="60">
        <v>10702.45</v>
      </c>
      <c r="H17" s="81">
        <v>1070.2</v>
      </c>
      <c r="I17" s="43">
        <f t="shared" si="0"/>
        <v>535.1</v>
      </c>
      <c r="J17" s="32">
        <v>0.5</v>
      </c>
      <c r="K17" s="95"/>
      <c r="L17" s="76"/>
      <c r="M17" s="77"/>
      <c r="N17" s="78"/>
      <c r="O17" s="60"/>
      <c r="P17" s="67"/>
      <c r="Q17" s="60"/>
      <c r="R17" s="60"/>
      <c r="S17" s="81"/>
      <c r="T17" s="43">
        <f t="shared" si="2"/>
        <v>0</v>
      </c>
      <c r="U17" s="32">
        <v>0.5</v>
      </c>
    </row>
    <row r="18" spans="1:21" x14ac:dyDescent="0.25">
      <c r="A18" s="76" t="s">
        <v>118</v>
      </c>
      <c r="B18" s="77">
        <v>45985</v>
      </c>
      <c r="C18" s="78">
        <v>301000243811860</v>
      </c>
      <c r="D18" s="60" t="s">
        <v>12</v>
      </c>
      <c r="E18" s="67" t="s">
        <v>13</v>
      </c>
      <c r="F18" s="60">
        <v>15456.25</v>
      </c>
      <c r="G18" s="60">
        <v>13924.55</v>
      </c>
      <c r="H18" s="89">
        <v>1392</v>
      </c>
      <c r="I18" s="85">
        <f t="shared" si="0"/>
        <v>696</v>
      </c>
      <c r="J18" s="32">
        <v>0.5</v>
      </c>
      <c r="K18" s="95"/>
      <c r="L18" s="76"/>
      <c r="M18" s="77"/>
      <c r="N18" s="78"/>
      <c r="O18" s="60"/>
      <c r="P18" s="67"/>
      <c r="Q18" s="60"/>
      <c r="R18" s="60"/>
      <c r="S18" s="89"/>
      <c r="T18" s="85">
        <f t="shared" si="2"/>
        <v>0</v>
      </c>
      <c r="U18" s="32">
        <v>0.5</v>
      </c>
    </row>
    <row r="19" spans="1:21" x14ac:dyDescent="0.25">
      <c r="A19" s="76" t="s">
        <v>144</v>
      </c>
      <c r="B19" s="77">
        <v>45989</v>
      </c>
      <c r="C19" s="78">
        <v>100000471856564</v>
      </c>
      <c r="D19" s="60" t="s">
        <v>12</v>
      </c>
      <c r="E19" s="67" t="s">
        <v>13</v>
      </c>
      <c r="F19" s="60">
        <v>8270.34</v>
      </c>
      <c r="G19" s="60">
        <v>7432.7</v>
      </c>
      <c r="H19" s="89">
        <v>743.2</v>
      </c>
      <c r="I19" s="43">
        <f t="shared" si="0"/>
        <v>371.6</v>
      </c>
      <c r="J19" s="32">
        <v>0.5</v>
      </c>
      <c r="K19" s="95"/>
      <c r="L19" s="76"/>
      <c r="M19" s="77"/>
      <c r="N19" s="78"/>
      <c r="O19" s="60"/>
      <c r="P19" s="67"/>
      <c r="Q19" s="60"/>
      <c r="R19" s="60"/>
      <c r="S19" s="89"/>
      <c r="T19" s="43">
        <f t="shared" si="2"/>
        <v>0</v>
      </c>
      <c r="U19" s="32">
        <v>0.5</v>
      </c>
    </row>
    <row r="20" spans="1:21" x14ac:dyDescent="0.25">
      <c r="A20" s="76" t="s">
        <v>144</v>
      </c>
      <c r="B20" s="77">
        <v>45989</v>
      </c>
      <c r="C20" s="78">
        <v>100000471856564</v>
      </c>
      <c r="D20" s="60" t="s">
        <v>12</v>
      </c>
      <c r="E20" s="67" t="s">
        <v>13</v>
      </c>
      <c r="F20" s="60">
        <v>200</v>
      </c>
      <c r="G20" s="60">
        <v>200</v>
      </c>
      <c r="H20" s="89">
        <v>10</v>
      </c>
      <c r="I20" s="43">
        <f t="shared" ref="I20" si="3">H20*J20</f>
        <v>5</v>
      </c>
      <c r="J20" s="32">
        <v>0.5</v>
      </c>
      <c r="K20" s="95"/>
      <c r="L20" s="76"/>
      <c r="M20" s="77"/>
      <c r="N20" s="78"/>
      <c r="O20" s="60"/>
      <c r="P20" s="67"/>
      <c r="Q20" s="60"/>
      <c r="R20" s="60"/>
      <c r="S20" s="89"/>
      <c r="T20" s="43">
        <f t="shared" si="2"/>
        <v>0</v>
      </c>
      <c r="U20" s="32">
        <v>0.5</v>
      </c>
    </row>
    <row r="21" spans="1:21" x14ac:dyDescent="0.25">
      <c r="A21" s="76" t="s">
        <v>145</v>
      </c>
      <c r="B21" s="77">
        <v>45989</v>
      </c>
      <c r="C21" s="78">
        <v>79966312</v>
      </c>
      <c r="D21" s="60" t="s">
        <v>12</v>
      </c>
      <c r="E21" s="67" t="s">
        <v>13</v>
      </c>
      <c r="F21" s="60">
        <v>7452.41</v>
      </c>
      <c r="G21" s="60">
        <v>6653.93</v>
      </c>
      <c r="H21" s="89">
        <v>665.3</v>
      </c>
      <c r="I21" s="85">
        <f t="shared" si="0"/>
        <v>332.65</v>
      </c>
      <c r="J21" s="32">
        <v>0.5</v>
      </c>
      <c r="K21" s="95"/>
      <c r="L21" s="76"/>
      <c r="M21" s="77"/>
      <c r="N21" s="78"/>
      <c r="O21" s="60"/>
      <c r="P21" s="67"/>
      <c r="Q21" s="60"/>
      <c r="R21" s="60"/>
      <c r="S21" s="89"/>
      <c r="T21" s="85">
        <f t="shared" si="2"/>
        <v>0</v>
      </c>
      <c r="U21" s="32">
        <v>0.5</v>
      </c>
    </row>
    <row r="22" spans="1:21" x14ac:dyDescent="0.25">
      <c r="A22" s="76" t="s">
        <v>145</v>
      </c>
      <c r="B22" s="77">
        <v>45989</v>
      </c>
      <c r="C22" s="78">
        <v>79966312</v>
      </c>
      <c r="D22" s="60" t="s">
        <v>137</v>
      </c>
      <c r="E22" s="67" t="s">
        <v>13</v>
      </c>
      <c r="F22" s="60">
        <v>1024.99</v>
      </c>
      <c r="G22" s="60">
        <v>976.18</v>
      </c>
      <c r="H22" s="89">
        <v>97.6</v>
      </c>
      <c r="I22" s="43">
        <f t="shared" si="0"/>
        <v>48.8</v>
      </c>
      <c r="J22" s="32">
        <v>0.5</v>
      </c>
      <c r="K22" s="95"/>
      <c r="L22" s="76"/>
      <c r="M22" s="77"/>
      <c r="N22" s="78"/>
      <c r="O22" s="60"/>
      <c r="P22" s="67"/>
      <c r="Q22" s="60"/>
      <c r="R22" s="60"/>
      <c r="S22" s="89"/>
      <c r="T22" s="43">
        <f t="shared" si="2"/>
        <v>0</v>
      </c>
      <c r="U22" s="32">
        <v>0.5</v>
      </c>
    </row>
    <row r="23" spans="1:21" x14ac:dyDescent="0.25">
      <c r="A23" s="23" t="s">
        <v>17</v>
      </c>
      <c r="B23" s="29">
        <v>45996</v>
      </c>
      <c r="C23" s="35">
        <v>100000470653301</v>
      </c>
      <c r="D23" s="11" t="s">
        <v>12</v>
      </c>
      <c r="E23" s="67" t="s">
        <v>13</v>
      </c>
      <c r="F23" s="11">
        <v>8352.41</v>
      </c>
      <c r="G23" s="11">
        <v>7506.47</v>
      </c>
      <c r="H23" s="83">
        <v>750.6</v>
      </c>
      <c r="I23" s="43">
        <f t="shared" si="0"/>
        <v>375.3</v>
      </c>
      <c r="J23" s="32">
        <v>0.5</v>
      </c>
      <c r="K23" s="95"/>
      <c r="L23" s="23"/>
      <c r="M23" s="29"/>
      <c r="N23" s="35"/>
      <c r="O23" s="11"/>
      <c r="P23" s="67"/>
      <c r="Q23" s="11"/>
      <c r="R23" s="11"/>
      <c r="S23" s="83"/>
      <c r="T23" s="43">
        <f t="shared" si="2"/>
        <v>0</v>
      </c>
      <c r="U23" s="32">
        <v>0.5</v>
      </c>
    </row>
    <row r="24" spans="1:21" x14ac:dyDescent="0.25">
      <c r="A24" s="23" t="s">
        <v>17</v>
      </c>
      <c r="B24" s="29">
        <v>45996</v>
      </c>
      <c r="C24" s="35">
        <v>100000470653301</v>
      </c>
      <c r="D24" s="11" t="s">
        <v>24</v>
      </c>
      <c r="E24" s="67" t="s">
        <v>13</v>
      </c>
      <c r="F24" s="11">
        <v>200</v>
      </c>
      <c r="G24" s="11">
        <v>200</v>
      </c>
      <c r="H24" s="83">
        <v>10</v>
      </c>
      <c r="I24" s="43">
        <f t="shared" si="0"/>
        <v>5</v>
      </c>
      <c r="J24" s="32">
        <v>0.5</v>
      </c>
      <c r="K24" s="95"/>
      <c r="L24" s="23"/>
      <c r="M24" s="29"/>
      <c r="N24" s="35"/>
      <c r="O24" s="11"/>
      <c r="P24" s="67"/>
      <c r="Q24" s="11"/>
      <c r="R24" s="11"/>
      <c r="S24" s="83"/>
      <c r="T24" s="43">
        <f t="shared" si="2"/>
        <v>0</v>
      </c>
      <c r="U24" s="32">
        <v>0.5</v>
      </c>
    </row>
    <row r="25" spans="1:21" x14ac:dyDescent="0.25">
      <c r="A25" s="23" t="s">
        <v>147</v>
      </c>
      <c r="B25" s="29">
        <v>45990</v>
      </c>
      <c r="C25" s="35">
        <v>100000473946863</v>
      </c>
      <c r="D25" s="11" t="s">
        <v>12</v>
      </c>
      <c r="E25" s="67" t="s">
        <v>13</v>
      </c>
      <c r="F25" s="11">
        <v>13622.1</v>
      </c>
      <c r="G25" s="11">
        <v>12242.43</v>
      </c>
      <c r="H25" s="83">
        <v>1224.2</v>
      </c>
      <c r="I25" s="43">
        <f t="shared" si="0"/>
        <v>612.1</v>
      </c>
      <c r="J25" s="32">
        <v>0.5</v>
      </c>
      <c r="K25" s="95"/>
      <c r="L25" s="23"/>
      <c r="M25" s="29"/>
      <c r="N25" s="35"/>
      <c r="O25" s="11"/>
      <c r="P25" s="67"/>
      <c r="Q25" s="11"/>
      <c r="R25" s="11"/>
      <c r="S25" s="83"/>
      <c r="T25" s="43">
        <f t="shared" si="2"/>
        <v>0</v>
      </c>
      <c r="U25" s="32">
        <v>0.5</v>
      </c>
    </row>
    <row r="26" spans="1:21" x14ac:dyDescent="0.25">
      <c r="A26" s="23" t="s">
        <v>147</v>
      </c>
      <c r="B26" s="29">
        <v>45990</v>
      </c>
      <c r="C26" s="35">
        <v>100000473946863</v>
      </c>
      <c r="D26" s="11" t="s">
        <v>24</v>
      </c>
      <c r="E26" s="67" t="s">
        <v>13</v>
      </c>
      <c r="F26" s="11">
        <v>200</v>
      </c>
      <c r="G26" s="11">
        <v>200</v>
      </c>
      <c r="H26" s="83">
        <v>10</v>
      </c>
      <c r="I26" s="43">
        <f t="shared" si="0"/>
        <v>5</v>
      </c>
      <c r="J26" s="32">
        <v>0.5</v>
      </c>
      <c r="K26" s="95"/>
      <c r="L26" s="23"/>
      <c r="M26" s="29"/>
      <c r="N26" s="35"/>
      <c r="O26" s="11"/>
      <c r="P26" s="67"/>
      <c r="Q26" s="11"/>
      <c r="R26" s="11"/>
      <c r="S26" s="83"/>
      <c r="T26" s="43">
        <f t="shared" si="2"/>
        <v>0</v>
      </c>
      <c r="U26" s="32">
        <v>0.5</v>
      </c>
    </row>
    <row r="27" spans="1:21" x14ac:dyDescent="0.25">
      <c r="A27" s="22" t="s">
        <v>129</v>
      </c>
      <c r="B27" s="36">
        <v>45981</v>
      </c>
      <c r="C27" s="51">
        <v>167257450</v>
      </c>
      <c r="D27" s="37" t="s">
        <v>12</v>
      </c>
      <c r="E27" s="37" t="s">
        <v>13</v>
      </c>
      <c r="F27" s="37">
        <v>9263.01</v>
      </c>
      <c r="G27" s="37">
        <v>8270.5400000000009</v>
      </c>
      <c r="H27" s="90">
        <v>827</v>
      </c>
      <c r="I27" s="62">
        <f t="shared" si="0"/>
        <v>413.5</v>
      </c>
      <c r="J27" s="40">
        <v>0.5</v>
      </c>
      <c r="K27" s="95"/>
      <c r="L27" s="22"/>
      <c r="M27" s="36"/>
      <c r="N27" s="51"/>
      <c r="O27" s="37"/>
      <c r="P27" s="37"/>
      <c r="Q27" s="37"/>
      <c r="R27" s="37"/>
      <c r="S27" s="90"/>
      <c r="T27" s="43">
        <f t="shared" si="2"/>
        <v>0</v>
      </c>
      <c r="U27" s="32">
        <v>0.5</v>
      </c>
    </row>
    <row r="28" spans="1:21" x14ac:dyDescent="0.25">
      <c r="A28" s="22" t="s">
        <v>153</v>
      </c>
      <c r="B28" s="36">
        <v>45972</v>
      </c>
      <c r="C28" s="51">
        <v>311000374211578</v>
      </c>
      <c r="D28" s="37" t="s">
        <v>12</v>
      </c>
      <c r="E28" s="37" t="s">
        <v>13</v>
      </c>
      <c r="F28" s="37">
        <v>1088</v>
      </c>
      <c r="G28" s="37">
        <v>987.18</v>
      </c>
      <c r="H28" s="90">
        <v>98.7</v>
      </c>
      <c r="I28" s="62">
        <f t="shared" si="0"/>
        <v>49.35</v>
      </c>
      <c r="J28" s="40">
        <v>0.5</v>
      </c>
      <c r="K28" s="95"/>
      <c r="L28" s="22"/>
      <c r="M28" s="36"/>
      <c r="N28" s="51"/>
      <c r="O28" s="37"/>
      <c r="P28" s="37"/>
      <c r="Q28" s="37"/>
      <c r="R28" s="37"/>
      <c r="S28" s="90"/>
      <c r="T28" s="43">
        <f t="shared" si="2"/>
        <v>0</v>
      </c>
      <c r="U28" s="32">
        <v>0.5</v>
      </c>
    </row>
    <row r="29" spans="1:21" x14ac:dyDescent="0.25">
      <c r="A29" s="22" t="s">
        <v>154</v>
      </c>
      <c r="B29" s="36">
        <v>45983</v>
      </c>
      <c r="C29" s="51">
        <v>100000307858346</v>
      </c>
      <c r="D29" s="37" t="s">
        <v>12</v>
      </c>
      <c r="E29" s="37" t="s">
        <v>13</v>
      </c>
      <c r="F29" s="37">
        <v>2721.33</v>
      </c>
      <c r="G29" s="37">
        <v>2476.8000000000002</v>
      </c>
      <c r="H29" s="90">
        <v>247.6</v>
      </c>
      <c r="I29" s="62">
        <f t="shared" si="0"/>
        <v>123.8</v>
      </c>
      <c r="J29" s="40">
        <v>0.5</v>
      </c>
      <c r="K29" s="95"/>
      <c r="L29" s="22"/>
      <c r="M29" s="36"/>
      <c r="N29" s="51"/>
      <c r="O29" s="37"/>
      <c r="P29" s="37"/>
      <c r="Q29" s="37"/>
      <c r="R29" s="37"/>
      <c r="S29" s="90"/>
      <c r="T29" s="43">
        <f t="shared" si="2"/>
        <v>0</v>
      </c>
      <c r="U29" s="32">
        <v>0.5</v>
      </c>
    </row>
    <row r="30" spans="1:21" x14ac:dyDescent="0.25">
      <c r="A30" s="22" t="s">
        <v>146</v>
      </c>
      <c r="B30" s="36">
        <v>45989</v>
      </c>
      <c r="C30" s="51">
        <v>100000311471247</v>
      </c>
      <c r="D30" s="37" t="s">
        <v>12</v>
      </c>
      <c r="E30" s="37" t="s">
        <v>13</v>
      </c>
      <c r="F30" s="37">
        <v>14.29</v>
      </c>
      <c r="G30" s="37">
        <v>12.84</v>
      </c>
      <c r="H30" s="90">
        <v>1.2</v>
      </c>
      <c r="I30" s="62">
        <f t="shared" si="0"/>
        <v>0.6</v>
      </c>
      <c r="J30" s="40">
        <v>0.5</v>
      </c>
      <c r="K30" s="95"/>
      <c r="L30" s="22"/>
      <c r="M30" s="36"/>
      <c r="N30" s="51"/>
      <c r="O30" s="37"/>
      <c r="P30" s="37"/>
      <c r="Q30" s="37"/>
      <c r="R30" s="37"/>
      <c r="S30" s="90"/>
      <c r="T30" s="43">
        <f t="shared" si="2"/>
        <v>0</v>
      </c>
      <c r="U30" s="32">
        <v>0.5</v>
      </c>
    </row>
    <row r="31" spans="1:21" x14ac:dyDescent="0.25">
      <c r="A31" s="22"/>
      <c r="B31" s="36"/>
      <c r="C31" s="51"/>
      <c r="D31" s="37"/>
      <c r="E31" s="37"/>
      <c r="F31" s="37"/>
      <c r="G31" s="37"/>
      <c r="H31" s="90"/>
      <c r="I31" s="62">
        <f t="shared" si="0"/>
        <v>0</v>
      </c>
      <c r="J31" s="40">
        <v>0.5</v>
      </c>
      <c r="K31" s="95"/>
      <c r="L31" s="22"/>
      <c r="M31" s="36"/>
      <c r="N31" s="51"/>
      <c r="O31" s="37"/>
      <c r="P31" s="37"/>
      <c r="Q31" s="37"/>
      <c r="R31" s="37"/>
      <c r="S31" s="90"/>
      <c r="T31" s="43">
        <f t="shared" si="2"/>
        <v>0</v>
      </c>
      <c r="U31" s="32">
        <v>0.5</v>
      </c>
    </row>
    <row r="32" spans="1:21" x14ac:dyDescent="0.25">
      <c r="A32" s="23"/>
      <c r="B32" s="29"/>
      <c r="C32" s="35"/>
      <c r="D32" s="11"/>
      <c r="E32" s="11"/>
      <c r="F32" s="11"/>
      <c r="G32" s="11"/>
      <c r="H32" s="31"/>
      <c r="I32" s="41"/>
      <c r="J32" s="50"/>
      <c r="K32" s="95"/>
      <c r="L32" s="23"/>
      <c r="M32" s="29"/>
      <c r="N32" s="35"/>
      <c r="O32" s="11"/>
      <c r="P32" s="11"/>
      <c r="Q32" s="11"/>
      <c r="R32" s="11"/>
      <c r="S32" s="31"/>
      <c r="T32" s="41"/>
      <c r="U32" s="50"/>
    </row>
    <row r="33" spans="1:39" x14ac:dyDescent="0.25">
      <c r="A33" s="23"/>
      <c r="B33" s="29"/>
      <c r="C33" s="35"/>
      <c r="D33" s="11"/>
      <c r="E33" s="11" t="s">
        <v>10</v>
      </c>
      <c r="F33" s="11">
        <f>SUM(F4:F32)</f>
        <v>210758.56</v>
      </c>
      <c r="G33" s="11">
        <f>SUM(G4:G32)</f>
        <v>191431.39999999997</v>
      </c>
      <c r="H33" s="31">
        <f>SUM(H4:H32)</f>
        <v>20621.05</v>
      </c>
      <c r="I33" s="47">
        <f>SUM(I4:I26)</f>
        <v>9723.2749999999996</v>
      </c>
      <c r="J33" s="48"/>
      <c r="K33" s="95"/>
      <c r="L33" s="23"/>
      <c r="M33" s="29"/>
      <c r="N33" s="35"/>
      <c r="O33" s="11"/>
      <c r="P33" s="11" t="s">
        <v>10</v>
      </c>
      <c r="Q33" s="11">
        <f>SUM(Q4:Q32)</f>
        <v>14166.12</v>
      </c>
      <c r="R33" s="11">
        <f>SUM(R4:R32)</f>
        <v>12648.31</v>
      </c>
      <c r="S33" s="31">
        <f>SUM(S4:S32)</f>
        <v>1264.8</v>
      </c>
      <c r="T33" s="47">
        <f>SUM(T4:T26)</f>
        <v>632.4</v>
      </c>
      <c r="U33" s="48"/>
    </row>
    <row r="34" spans="1:39" x14ac:dyDescent="0.25">
      <c r="A34" s="1"/>
      <c r="B34" s="4"/>
      <c r="C34" s="84"/>
      <c r="D34" s="2"/>
      <c r="E34" s="54" t="s">
        <v>25</v>
      </c>
      <c r="F34" s="52"/>
      <c r="G34" s="52"/>
      <c r="H34" s="53"/>
      <c r="I34" s="54">
        <f>I27+I28+I29+I30</f>
        <v>587.25</v>
      </c>
      <c r="J34" s="21"/>
      <c r="K34" s="95"/>
      <c r="L34" s="1"/>
      <c r="M34" s="4"/>
      <c r="N34" s="84"/>
      <c r="O34" s="2"/>
      <c r="P34" s="54" t="s">
        <v>25</v>
      </c>
      <c r="Q34" s="52"/>
      <c r="R34" s="52"/>
      <c r="S34" s="53"/>
      <c r="T34" s="54">
        <f>T27+T28+T29+T30</f>
        <v>0</v>
      </c>
      <c r="U34" s="21"/>
    </row>
    <row r="35" spans="1:39" x14ac:dyDescent="0.25">
      <c r="A35" s="1"/>
      <c r="B35" s="4"/>
      <c r="C35" s="84"/>
      <c r="D35" s="2"/>
      <c r="E35" s="2"/>
      <c r="F35" s="2"/>
      <c r="G35" s="2"/>
      <c r="H35" s="5"/>
      <c r="I35" s="13"/>
      <c r="J35" s="1"/>
      <c r="K35" s="95"/>
      <c r="L35" s="1"/>
      <c r="M35" s="4"/>
      <c r="N35" s="84"/>
      <c r="O35" s="2"/>
      <c r="P35" s="2"/>
      <c r="Q35" s="2"/>
      <c r="R35" s="2"/>
      <c r="S35" s="5"/>
      <c r="T35" s="13"/>
      <c r="U35" s="1"/>
    </row>
    <row r="36" spans="1:39" x14ac:dyDescent="0.25">
      <c r="A36" s="1"/>
      <c r="B36" s="4"/>
      <c r="C36" s="84"/>
      <c r="D36" s="2"/>
      <c r="E36" s="2"/>
      <c r="F36" s="2"/>
      <c r="G36" s="2"/>
      <c r="H36" s="5"/>
      <c r="I36" s="13"/>
      <c r="J36" s="1"/>
      <c r="K36" s="95"/>
      <c r="L36" s="1"/>
      <c r="M36" s="4"/>
      <c r="N36" s="84"/>
      <c r="O36" s="2"/>
      <c r="P36" s="2"/>
      <c r="Q36" s="2"/>
      <c r="R36" s="2"/>
      <c r="S36" s="5"/>
      <c r="T36" s="13"/>
      <c r="U36" s="1"/>
    </row>
    <row r="37" spans="1:39" x14ac:dyDescent="0.25">
      <c r="A37" s="1"/>
      <c r="B37" s="4"/>
      <c r="C37" s="84"/>
      <c r="D37" s="2"/>
      <c r="E37" s="2" t="s">
        <v>26</v>
      </c>
      <c r="F37" s="2">
        <f>I33-I34</f>
        <v>9136.0249999999996</v>
      </c>
      <c r="G37" s="2"/>
      <c r="H37" s="5"/>
      <c r="I37" s="6">
        <f>I33-I34</f>
        <v>9136.0249999999996</v>
      </c>
      <c r="J37" s="1"/>
      <c r="K37" s="95"/>
      <c r="L37" s="1"/>
      <c r="M37" s="4"/>
      <c r="N37" s="84"/>
      <c r="O37" s="2"/>
      <c r="P37" s="2" t="s">
        <v>26</v>
      </c>
      <c r="Q37" s="2">
        <f>T33-T34</f>
        <v>632.4</v>
      </c>
      <c r="R37" s="2"/>
      <c r="S37" s="5"/>
      <c r="T37" s="6">
        <f>T33-T34</f>
        <v>632.4</v>
      </c>
      <c r="U37" s="1"/>
    </row>
    <row r="38" spans="1:39" x14ac:dyDescent="0.25">
      <c r="A38" s="1"/>
      <c r="B38" s="4"/>
      <c r="C38" s="84"/>
      <c r="D38" s="2"/>
      <c r="E38" s="2"/>
      <c r="F38" s="2"/>
      <c r="G38" s="2"/>
      <c r="H38" s="5"/>
      <c r="I38" s="13"/>
      <c r="J38" s="12"/>
      <c r="K38" s="96"/>
      <c r="L38" s="1"/>
      <c r="M38" s="4"/>
      <c r="N38" s="84"/>
      <c r="O38" s="2"/>
      <c r="P38" s="2"/>
      <c r="Q38" s="2"/>
      <c r="R38" s="2"/>
      <c r="S38" s="5"/>
      <c r="T38" s="13"/>
      <c r="U38" s="12"/>
    </row>
    <row r="39" spans="1:39" s="1" customFormat="1" ht="12" x14ac:dyDescent="0.25">
      <c r="K39" s="97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</row>
    <row r="40" spans="1:39" s="1" customFormat="1" ht="12" x14ac:dyDescent="0.25">
      <c r="K40" s="97"/>
      <c r="L40" s="1" t="s">
        <v>158</v>
      </c>
      <c r="M40" s="2">
        <f>I37-T37</f>
        <v>8503.625</v>
      </c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</row>
    <row r="41" spans="1:39" s="1" customFormat="1" ht="12" x14ac:dyDescent="0.25">
      <c r="K41" s="97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</row>
  </sheetData>
  <mergeCells count="2">
    <mergeCell ref="D1:E1"/>
    <mergeCell ref="O1:P1"/>
  </mergeCells>
  <conditionalFormatting sqref="C1:C3 D4 D6:D23 F6:F23">
    <cfRule type="cellIs" dxfId="44" priority="19" operator="equal">
      <formula>15698.2</formula>
    </cfRule>
    <cfRule type="cellIs" dxfId="43" priority="20" operator="equal">
      <formula>"kapalı"</formula>
    </cfRule>
  </conditionalFormatting>
  <conditionalFormatting sqref="D1 F1:H1 D2:H3 J3 E4:E26">
    <cfRule type="cellIs" dxfId="42" priority="21" operator="equal">
      <formula>"K.KART"</formula>
    </cfRule>
  </conditionalFormatting>
  <conditionalFormatting sqref="D5:F5">
    <cfRule type="cellIs" dxfId="41" priority="17" operator="equal">
      <formula>15698.2</formula>
    </cfRule>
    <cfRule type="cellIs" dxfId="40" priority="18" operator="equal">
      <formula>"kapalı"</formula>
    </cfRule>
  </conditionalFormatting>
  <conditionalFormatting sqref="D24:F38">
    <cfRule type="cellIs" dxfId="39" priority="12" operator="equal">
      <formula>15698.2</formula>
    </cfRule>
    <cfRule type="cellIs" dxfId="38" priority="13" operator="equal">
      <formula>"kapalı"</formula>
    </cfRule>
  </conditionalFormatting>
  <conditionalFormatting sqref="F4:F5">
    <cfRule type="cellIs" dxfId="37" priority="16" operator="equal">
      <formula>"K.KART"</formula>
    </cfRule>
  </conditionalFormatting>
  <conditionalFormatting sqref="G4:G38">
    <cfRule type="cellIs" dxfId="36" priority="14" operator="equal">
      <formula>"K.KART"</formula>
    </cfRule>
  </conditionalFormatting>
  <conditionalFormatting sqref="G38:H38">
    <cfRule type="cellIs" dxfId="35" priority="22" operator="equal">
      <formula>"K.KART"</formula>
    </cfRule>
  </conditionalFormatting>
  <conditionalFormatting sqref="N1:N3 O4 O6:O23 Q6:Q23">
    <cfRule type="cellIs" dxfId="34" priority="8" operator="equal">
      <formula>15698.2</formula>
    </cfRule>
    <cfRule type="cellIs" dxfId="33" priority="9" operator="equal">
      <formula>"kapalı"</formula>
    </cfRule>
  </conditionalFormatting>
  <conditionalFormatting sqref="O1 Q1:S1 O2:S3 U3 P4:P26">
    <cfRule type="cellIs" dxfId="32" priority="10" operator="equal">
      <formula>"K.KART"</formula>
    </cfRule>
  </conditionalFormatting>
  <conditionalFormatting sqref="O5:Q5">
    <cfRule type="cellIs" dxfId="31" priority="6" operator="equal">
      <formula>15698.2</formula>
    </cfRule>
    <cfRule type="cellIs" dxfId="30" priority="7" operator="equal">
      <formula>"kapalı"</formula>
    </cfRule>
  </conditionalFormatting>
  <conditionalFormatting sqref="O24:Q38">
    <cfRule type="cellIs" dxfId="29" priority="1" operator="equal">
      <formula>15698.2</formula>
    </cfRule>
    <cfRule type="cellIs" dxfId="28" priority="2" operator="equal">
      <formula>"kapalı"</formula>
    </cfRule>
  </conditionalFormatting>
  <conditionalFormatting sqref="Q4:Q5">
    <cfRule type="cellIs" dxfId="27" priority="5" operator="equal">
      <formula>"K.KART"</formula>
    </cfRule>
  </conditionalFormatting>
  <conditionalFormatting sqref="R4:R38">
    <cfRule type="cellIs" dxfId="26" priority="3" operator="equal">
      <formula>"K.KART"</formula>
    </cfRule>
  </conditionalFormatting>
  <conditionalFormatting sqref="R38:S38">
    <cfRule type="cellIs" dxfId="25" priority="11" operator="equal">
      <formula>"K.KART"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CE47-53A4-489C-B69D-9A676AF89EA9}">
  <dimension ref="A1:AM41"/>
  <sheetViews>
    <sheetView tabSelected="1" topLeftCell="G19" workbookViewId="0">
      <selection activeCell="M41" sqref="M41"/>
    </sheetView>
  </sheetViews>
  <sheetFormatPr defaultRowHeight="15" x14ac:dyDescent="0.25"/>
  <cols>
    <col min="1" max="1" width="22.7109375" customWidth="1"/>
    <col min="2" max="2" width="12.5703125" customWidth="1"/>
    <col min="3" max="3" width="21" customWidth="1"/>
    <col min="4" max="4" width="9.7109375" customWidth="1"/>
    <col min="6" max="6" width="14.5703125" customWidth="1"/>
    <col min="7" max="7" width="13" customWidth="1"/>
    <col min="8" max="8" width="12" customWidth="1"/>
    <col min="9" max="9" width="11.5703125" customWidth="1"/>
    <col min="10" max="10" width="5.28515625" customWidth="1"/>
    <col min="11" max="11" width="2.7109375" customWidth="1"/>
    <col min="12" max="12" width="17.140625" customWidth="1"/>
    <col min="13" max="13" width="9.85546875" bestFit="1" customWidth="1"/>
    <col min="14" max="14" width="16.5703125" customWidth="1"/>
    <col min="17" max="17" width="10" bestFit="1" customWidth="1"/>
    <col min="18" max="18" width="12.42578125" bestFit="1" customWidth="1"/>
    <col min="21" max="21" width="5" customWidth="1"/>
  </cols>
  <sheetData>
    <row r="1" spans="1:21" x14ac:dyDescent="0.25">
      <c r="A1" s="23"/>
      <c r="B1" s="23"/>
      <c r="C1" s="35"/>
      <c r="D1" s="101" t="s">
        <v>27</v>
      </c>
      <c r="E1" s="102"/>
      <c r="F1" s="11"/>
      <c r="G1" s="11"/>
      <c r="H1" s="11"/>
      <c r="I1" s="11"/>
      <c r="J1" s="24"/>
      <c r="K1" s="98"/>
      <c r="L1" s="23"/>
      <c r="M1" s="23"/>
      <c r="N1" s="35"/>
      <c r="O1" s="101" t="s">
        <v>27</v>
      </c>
      <c r="P1" s="102"/>
      <c r="Q1" s="11"/>
      <c r="R1" s="11"/>
      <c r="S1" s="11"/>
      <c r="T1" s="11"/>
      <c r="U1" s="24"/>
    </row>
    <row r="2" spans="1:21" x14ac:dyDescent="0.25">
      <c r="A2" s="23" t="s">
        <v>148</v>
      </c>
      <c r="B2" s="23">
        <v>2025</v>
      </c>
      <c r="C2" s="35"/>
      <c r="D2" s="11"/>
      <c r="E2" s="11"/>
      <c r="F2" s="11"/>
      <c r="G2" s="11"/>
      <c r="H2" s="11"/>
      <c r="I2" s="11"/>
      <c r="J2" s="25"/>
      <c r="K2" s="98"/>
      <c r="L2" s="23" t="s">
        <v>135</v>
      </c>
      <c r="M2" s="23">
        <v>2025</v>
      </c>
      <c r="N2" s="35"/>
      <c r="O2" s="11"/>
      <c r="P2" s="11"/>
      <c r="Q2" s="11"/>
      <c r="R2" s="11"/>
      <c r="S2" s="11"/>
      <c r="T2" s="11"/>
      <c r="U2" s="25"/>
    </row>
    <row r="3" spans="1:21" ht="38.25" x14ac:dyDescent="0.25">
      <c r="A3" s="26" t="s">
        <v>0</v>
      </c>
      <c r="B3" s="26" t="s">
        <v>1</v>
      </c>
      <c r="C3" s="70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8" t="s">
        <v>7</v>
      </c>
      <c r="I3" s="27" t="s">
        <v>28</v>
      </c>
      <c r="J3" s="27" t="s">
        <v>9</v>
      </c>
      <c r="K3" s="98"/>
      <c r="L3" s="26" t="s">
        <v>0</v>
      </c>
      <c r="M3" s="26" t="s">
        <v>1</v>
      </c>
      <c r="N3" s="70" t="s">
        <v>2</v>
      </c>
      <c r="O3" s="27" t="s">
        <v>3</v>
      </c>
      <c r="P3" s="27" t="s">
        <v>4</v>
      </c>
      <c r="Q3" s="27" t="s">
        <v>5</v>
      </c>
      <c r="R3" s="27" t="s">
        <v>6</v>
      </c>
      <c r="S3" s="28" t="s">
        <v>7</v>
      </c>
      <c r="T3" s="27" t="s">
        <v>156</v>
      </c>
      <c r="U3" s="27" t="s">
        <v>9</v>
      </c>
    </row>
    <row r="4" spans="1:21" x14ac:dyDescent="0.25">
      <c r="A4" s="23" t="s">
        <v>149</v>
      </c>
      <c r="B4" s="29">
        <v>45993</v>
      </c>
      <c r="C4" s="35">
        <v>1472462145</v>
      </c>
      <c r="D4" s="11" t="s">
        <v>12</v>
      </c>
      <c r="E4" s="67" t="s">
        <v>13</v>
      </c>
      <c r="F4" s="41">
        <v>12650.41</v>
      </c>
      <c r="G4" s="41">
        <v>11366.72</v>
      </c>
      <c r="H4" s="74">
        <v>1137</v>
      </c>
      <c r="I4" s="43">
        <f>H4*J4</f>
        <v>568.5</v>
      </c>
      <c r="J4" s="32">
        <v>0.5</v>
      </c>
      <c r="K4" s="98"/>
      <c r="L4" s="23" t="s">
        <v>162</v>
      </c>
      <c r="M4" s="29">
        <v>46016</v>
      </c>
      <c r="N4" s="35">
        <v>631638023</v>
      </c>
      <c r="O4" s="11" t="s">
        <v>12</v>
      </c>
      <c r="P4" s="67" t="s">
        <v>13</v>
      </c>
      <c r="Q4" s="41">
        <v>22445.15</v>
      </c>
      <c r="R4" s="41">
        <v>20040.32</v>
      </c>
      <c r="S4" s="74">
        <v>2004</v>
      </c>
      <c r="T4" s="43">
        <f>S4*U4</f>
        <v>1002</v>
      </c>
      <c r="U4" s="32">
        <v>0.5</v>
      </c>
    </row>
    <row r="5" spans="1:21" x14ac:dyDescent="0.25">
      <c r="A5" s="23" t="s">
        <v>149</v>
      </c>
      <c r="B5" s="29">
        <v>45993</v>
      </c>
      <c r="C5" s="35">
        <v>1472501966</v>
      </c>
      <c r="D5" s="11" t="s">
        <v>22</v>
      </c>
      <c r="E5" s="67" t="s">
        <v>13</v>
      </c>
      <c r="F5" s="41">
        <v>849.82</v>
      </c>
      <c r="G5" s="41">
        <v>808.84</v>
      </c>
      <c r="H5" s="74">
        <v>81</v>
      </c>
      <c r="I5" s="43">
        <f t="shared" ref="I5:I29" si="0">H5*J5</f>
        <v>40.5</v>
      </c>
      <c r="J5" s="32">
        <v>0.5</v>
      </c>
      <c r="K5" s="98"/>
      <c r="L5" s="23" t="s">
        <v>163</v>
      </c>
      <c r="M5" s="29">
        <v>46007</v>
      </c>
      <c r="N5" s="35">
        <v>630719931</v>
      </c>
      <c r="O5" s="11" t="s">
        <v>12</v>
      </c>
      <c r="P5" s="67" t="s">
        <v>13</v>
      </c>
      <c r="Q5" s="41">
        <v>14307.1</v>
      </c>
      <c r="R5" s="41">
        <v>12774.21</v>
      </c>
      <c r="S5" s="74">
        <v>1277.4000000000001</v>
      </c>
      <c r="T5" s="43">
        <f t="shared" ref="T5:T12" si="1">S5*U5</f>
        <v>638.70000000000005</v>
      </c>
      <c r="U5" s="32">
        <v>0.5</v>
      </c>
    </row>
    <row r="6" spans="1:21" x14ac:dyDescent="0.25">
      <c r="A6" s="29" t="s">
        <v>150</v>
      </c>
      <c r="B6" s="29">
        <v>45993</v>
      </c>
      <c r="C6" s="35">
        <v>100000475127727</v>
      </c>
      <c r="D6" s="11" t="s">
        <v>12</v>
      </c>
      <c r="E6" s="67" t="s">
        <v>13</v>
      </c>
      <c r="F6" s="41">
        <v>21838.29</v>
      </c>
      <c r="G6" s="41">
        <v>19626.47</v>
      </c>
      <c r="H6" s="74">
        <v>1962.6</v>
      </c>
      <c r="I6" s="43">
        <f t="shared" si="0"/>
        <v>981.3</v>
      </c>
      <c r="J6" s="32">
        <v>0.5</v>
      </c>
      <c r="K6" s="98"/>
      <c r="L6" s="29" t="s">
        <v>164</v>
      </c>
      <c r="M6" s="29">
        <v>46007</v>
      </c>
      <c r="N6" s="35">
        <v>627742089</v>
      </c>
      <c r="O6" s="11" t="s">
        <v>12</v>
      </c>
      <c r="P6" s="67" t="s">
        <v>13</v>
      </c>
      <c r="Q6" s="41">
        <v>14307.12</v>
      </c>
      <c r="R6" s="41">
        <v>12774.21</v>
      </c>
      <c r="S6" s="74">
        <v>1277.4000000000001</v>
      </c>
      <c r="T6" s="43">
        <f t="shared" si="1"/>
        <v>638.70000000000005</v>
      </c>
      <c r="U6" s="32">
        <v>0.5</v>
      </c>
    </row>
    <row r="7" spans="1:21" x14ac:dyDescent="0.25">
      <c r="A7" s="29" t="s">
        <v>150</v>
      </c>
      <c r="B7" s="29">
        <v>45993</v>
      </c>
      <c r="C7" s="35">
        <v>100000475127727</v>
      </c>
      <c r="D7" s="11" t="s">
        <v>24</v>
      </c>
      <c r="E7" s="67" t="s">
        <v>13</v>
      </c>
      <c r="F7" s="41">
        <v>200</v>
      </c>
      <c r="G7" s="41">
        <v>200</v>
      </c>
      <c r="H7" s="74">
        <v>10</v>
      </c>
      <c r="I7" s="43">
        <f t="shared" si="0"/>
        <v>5</v>
      </c>
      <c r="J7" s="32">
        <v>0.5</v>
      </c>
      <c r="K7" s="98"/>
      <c r="L7" s="29" t="s">
        <v>165</v>
      </c>
      <c r="M7" s="29">
        <v>45997</v>
      </c>
      <c r="N7" s="35">
        <v>627172891</v>
      </c>
      <c r="O7" s="11" t="s">
        <v>12</v>
      </c>
      <c r="P7" s="67" t="s">
        <v>13</v>
      </c>
      <c r="Q7" s="41">
        <v>11813.01</v>
      </c>
      <c r="R7" s="41">
        <v>10547.32</v>
      </c>
      <c r="S7" s="74">
        <v>1054.7</v>
      </c>
      <c r="T7" s="43">
        <f t="shared" si="1"/>
        <v>527.35</v>
      </c>
      <c r="U7" s="32">
        <v>0.5</v>
      </c>
    </row>
    <row r="8" spans="1:21" x14ac:dyDescent="0.25">
      <c r="A8" s="29" t="s">
        <v>151</v>
      </c>
      <c r="B8" s="29">
        <v>45994</v>
      </c>
      <c r="C8" s="35">
        <v>80197734</v>
      </c>
      <c r="D8" s="11" t="s">
        <v>12</v>
      </c>
      <c r="E8" s="67" t="s">
        <v>13</v>
      </c>
      <c r="F8" s="41">
        <v>9842.26</v>
      </c>
      <c r="G8" s="41">
        <v>8787.7199999999993</v>
      </c>
      <c r="H8" s="74">
        <v>878</v>
      </c>
      <c r="I8" s="43">
        <f t="shared" si="0"/>
        <v>439</v>
      </c>
      <c r="J8" s="32">
        <v>0.5</v>
      </c>
      <c r="K8" s="98"/>
      <c r="L8" s="29" t="s">
        <v>166</v>
      </c>
      <c r="M8" s="29">
        <v>45995</v>
      </c>
      <c r="N8" s="35">
        <v>626810114</v>
      </c>
      <c r="O8" s="11" t="s">
        <v>12</v>
      </c>
      <c r="P8" s="67" t="s">
        <v>13</v>
      </c>
      <c r="Q8" s="41">
        <v>12823.14</v>
      </c>
      <c r="R8" s="41">
        <v>11449.21</v>
      </c>
      <c r="S8" s="74">
        <v>1144.9000000000001</v>
      </c>
      <c r="T8" s="43">
        <f t="shared" si="1"/>
        <v>572.45000000000005</v>
      </c>
      <c r="U8" s="32">
        <v>0.5</v>
      </c>
    </row>
    <row r="9" spans="1:21" x14ac:dyDescent="0.25">
      <c r="A9" s="29" t="s">
        <v>151</v>
      </c>
      <c r="B9" s="29">
        <v>45994</v>
      </c>
      <c r="C9" s="35">
        <v>80197734</v>
      </c>
      <c r="D9" s="11" t="s">
        <v>137</v>
      </c>
      <c r="E9" s="67" t="s">
        <v>13</v>
      </c>
      <c r="F9" s="41">
        <v>1100.3800000000001</v>
      </c>
      <c r="G9" s="41">
        <v>1047.98</v>
      </c>
      <c r="H9" s="74">
        <v>104.7</v>
      </c>
      <c r="I9" s="43">
        <f t="shared" si="0"/>
        <v>52.35</v>
      </c>
      <c r="J9" s="32">
        <v>0.5</v>
      </c>
      <c r="K9" s="98"/>
      <c r="L9" s="29"/>
      <c r="M9" s="29"/>
      <c r="N9" s="35"/>
      <c r="O9" s="11"/>
      <c r="P9" s="67"/>
      <c r="Q9" s="41"/>
      <c r="R9" s="41"/>
      <c r="S9" s="74"/>
      <c r="T9" s="43">
        <f t="shared" si="1"/>
        <v>0</v>
      </c>
      <c r="U9" s="32">
        <v>0.5</v>
      </c>
    </row>
    <row r="10" spans="1:21" x14ac:dyDescent="0.25">
      <c r="A10" s="29" t="s">
        <v>152</v>
      </c>
      <c r="B10" s="29">
        <v>45997</v>
      </c>
      <c r="C10" s="35">
        <v>1475868927</v>
      </c>
      <c r="D10" s="11" t="s">
        <v>12</v>
      </c>
      <c r="E10" s="67" t="s">
        <v>13</v>
      </c>
      <c r="F10" s="41">
        <v>17169</v>
      </c>
      <c r="G10" s="41">
        <v>15431.66</v>
      </c>
      <c r="H10" s="74">
        <v>1543.1</v>
      </c>
      <c r="I10" s="43">
        <f t="shared" si="0"/>
        <v>771.55</v>
      </c>
      <c r="J10" s="32">
        <v>0.5</v>
      </c>
      <c r="K10" s="98"/>
      <c r="L10" s="29"/>
      <c r="M10" s="29"/>
      <c r="N10" s="35"/>
      <c r="O10" s="11"/>
      <c r="P10" s="67"/>
      <c r="Q10" s="41"/>
      <c r="R10" s="41"/>
      <c r="S10" s="74"/>
      <c r="T10" s="43">
        <f t="shared" si="1"/>
        <v>0</v>
      </c>
      <c r="U10" s="32">
        <v>0.5</v>
      </c>
    </row>
    <row r="11" spans="1:21" x14ac:dyDescent="0.25">
      <c r="A11" s="29" t="s">
        <v>152</v>
      </c>
      <c r="B11" s="29">
        <v>45997</v>
      </c>
      <c r="C11" s="35">
        <v>1475868927</v>
      </c>
      <c r="D11" s="11" t="s">
        <v>137</v>
      </c>
      <c r="E11" s="67" t="s">
        <v>13</v>
      </c>
      <c r="F11" s="41">
        <v>1000.13</v>
      </c>
      <c r="G11" s="41">
        <v>952.5</v>
      </c>
      <c r="H11" s="74">
        <v>95.2</v>
      </c>
      <c r="I11" s="43">
        <f t="shared" si="0"/>
        <v>47.6</v>
      </c>
      <c r="J11" s="32">
        <v>0.5</v>
      </c>
      <c r="K11" s="98"/>
      <c r="L11" s="29"/>
      <c r="M11" s="29"/>
      <c r="N11" s="35"/>
      <c r="O11" s="11"/>
      <c r="P11" s="67"/>
      <c r="Q11" s="41"/>
      <c r="R11" s="41"/>
      <c r="S11" s="74"/>
      <c r="T11" s="43">
        <f t="shared" si="1"/>
        <v>0</v>
      </c>
      <c r="U11" s="32">
        <v>0.5</v>
      </c>
    </row>
    <row r="12" spans="1:21" x14ac:dyDescent="0.25">
      <c r="A12" s="29" t="s">
        <v>159</v>
      </c>
      <c r="B12" s="29">
        <v>46003</v>
      </c>
      <c r="C12" s="35">
        <v>301000249083439</v>
      </c>
      <c r="D12" s="11" t="s">
        <v>12</v>
      </c>
      <c r="E12" s="67" t="s">
        <v>13</v>
      </c>
      <c r="F12" s="41">
        <v>14926.02</v>
      </c>
      <c r="G12" s="41">
        <v>13446.87</v>
      </c>
      <c r="H12" s="74">
        <v>1344.6</v>
      </c>
      <c r="I12" s="43">
        <f t="shared" si="0"/>
        <v>672.3</v>
      </c>
      <c r="J12" s="32">
        <v>0.5</v>
      </c>
      <c r="K12" s="98"/>
      <c r="L12" s="29"/>
      <c r="M12" s="29"/>
      <c r="N12" s="35"/>
      <c r="O12" s="11"/>
      <c r="P12" s="67"/>
      <c r="Q12" s="41"/>
      <c r="R12" s="41"/>
      <c r="S12" s="74"/>
      <c r="T12" s="43">
        <f t="shared" si="1"/>
        <v>0</v>
      </c>
      <c r="U12" s="32">
        <v>0.5</v>
      </c>
    </row>
    <row r="13" spans="1:21" x14ac:dyDescent="0.25">
      <c r="A13" s="29" t="s">
        <v>160</v>
      </c>
      <c r="B13" s="29">
        <v>46007</v>
      </c>
      <c r="C13" s="78">
        <v>100000477204902</v>
      </c>
      <c r="D13" s="60" t="s">
        <v>12</v>
      </c>
      <c r="E13" s="67" t="s">
        <v>13</v>
      </c>
      <c r="F13" s="79">
        <v>13103.2</v>
      </c>
      <c r="G13" s="79">
        <v>11776.08</v>
      </c>
      <c r="H13" s="80">
        <v>1177.5999999999999</v>
      </c>
      <c r="I13" s="43">
        <f>H13*J13</f>
        <v>588.79999999999995</v>
      </c>
      <c r="J13" s="32">
        <v>0.5</v>
      </c>
      <c r="K13" s="98"/>
      <c r="L13" s="29"/>
      <c r="M13" s="29"/>
      <c r="N13" s="78"/>
      <c r="O13" s="60"/>
      <c r="P13" s="67"/>
      <c r="Q13" s="79"/>
      <c r="R13" s="79"/>
      <c r="S13" s="80"/>
      <c r="T13" s="43">
        <f>S13*U13</f>
        <v>0</v>
      </c>
      <c r="U13" s="32">
        <v>0.5</v>
      </c>
    </row>
    <row r="14" spans="1:21" x14ac:dyDescent="0.25">
      <c r="A14" s="29" t="s">
        <v>160</v>
      </c>
      <c r="B14" s="29">
        <v>46007</v>
      </c>
      <c r="C14" s="78">
        <v>100000477204902</v>
      </c>
      <c r="D14" s="60" t="s">
        <v>24</v>
      </c>
      <c r="E14" s="67" t="s">
        <v>13</v>
      </c>
      <c r="F14" s="79">
        <v>200</v>
      </c>
      <c r="G14" s="79">
        <v>200</v>
      </c>
      <c r="H14" s="80">
        <v>10</v>
      </c>
      <c r="I14" s="43">
        <f t="shared" si="0"/>
        <v>5</v>
      </c>
      <c r="J14" s="32">
        <v>0.5</v>
      </c>
      <c r="K14" s="98"/>
      <c r="L14" s="29"/>
      <c r="M14" s="29"/>
      <c r="N14" s="78"/>
      <c r="O14" s="60"/>
      <c r="P14" s="67"/>
      <c r="Q14" s="79"/>
      <c r="R14" s="79"/>
      <c r="S14" s="80"/>
      <c r="T14" s="43">
        <f t="shared" ref="T14:T30" si="2">S14*U14</f>
        <v>0</v>
      </c>
      <c r="U14" s="32">
        <v>0.5</v>
      </c>
    </row>
    <row r="15" spans="1:21" x14ac:dyDescent="0.25">
      <c r="A15" s="76" t="s">
        <v>66</v>
      </c>
      <c r="B15" s="77">
        <v>46013</v>
      </c>
      <c r="C15" s="78">
        <v>100000486713848</v>
      </c>
      <c r="D15" s="60" t="s">
        <v>12</v>
      </c>
      <c r="E15" s="67" t="s">
        <v>13</v>
      </c>
      <c r="F15" s="60">
        <v>21838.29</v>
      </c>
      <c r="G15" s="60">
        <v>19626.47</v>
      </c>
      <c r="H15" s="81">
        <v>1962.6</v>
      </c>
      <c r="I15" s="43">
        <f t="shared" si="0"/>
        <v>981.3</v>
      </c>
      <c r="J15" s="32">
        <v>0.5</v>
      </c>
      <c r="K15" s="98"/>
      <c r="L15" s="76"/>
      <c r="M15" s="77"/>
      <c r="N15" s="78"/>
      <c r="O15" s="60"/>
      <c r="P15" s="67"/>
      <c r="Q15" s="60"/>
      <c r="R15" s="60"/>
      <c r="S15" s="81"/>
      <c r="T15" s="43">
        <f t="shared" si="2"/>
        <v>0</v>
      </c>
      <c r="U15" s="32">
        <v>0.5</v>
      </c>
    </row>
    <row r="16" spans="1:21" x14ac:dyDescent="0.25">
      <c r="A16" s="76" t="s">
        <v>66</v>
      </c>
      <c r="B16" s="77">
        <v>46013</v>
      </c>
      <c r="C16" s="78">
        <v>100000486713848</v>
      </c>
      <c r="D16" s="60" t="s">
        <v>24</v>
      </c>
      <c r="E16" s="67" t="s">
        <v>13</v>
      </c>
      <c r="F16" s="60">
        <v>200</v>
      </c>
      <c r="G16" s="60">
        <v>200</v>
      </c>
      <c r="H16" s="81">
        <v>10</v>
      </c>
      <c r="I16" s="43">
        <f t="shared" si="0"/>
        <v>5</v>
      </c>
      <c r="J16" s="32">
        <v>0.5</v>
      </c>
      <c r="K16" s="98"/>
      <c r="L16" s="76"/>
      <c r="M16" s="77"/>
      <c r="N16" s="78"/>
      <c r="O16" s="60"/>
      <c r="P16" s="67"/>
      <c r="Q16" s="60"/>
      <c r="R16" s="60"/>
      <c r="S16" s="81"/>
      <c r="T16" s="43">
        <f t="shared" si="2"/>
        <v>0</v>
      </c>
      <c r="U16" s="32">
        <v>0.5</v>
      </c>
    </row>
    <row r="17" spans="1:21" x14ac:dyDescent="0.25">
      <c r="A17" s="76" t="s">
        <v>161</v>
      </c>
      <c r="B17" s="77">
        <v>46014</v>
      </c>
      <c r="C17" s="78">
        <v>177108089</v>
      </c>
      <c r="D17" s="60" t="s">
        <v>12</v>
      </c>
      <c r="E17" s="67" t="s">
        <v>13</v>
      </c>
      <c r="F17" s="60">
        <v>15890.67</v>
      </c>
      <c r="G17" s="60">
        <v>14330.66</v>
      </c>
      <c r="H17" s="81">
        <v>1433</v>
      </c>
      <c r="I17" s="43">
        <f t="shared" si="0"/>
        <v>716.5</v>
      </c>
      <c r="J17" s="32">
        <v>0.5</v>
      </c>
      <c r="K17" s="98"/>
      <c r="L17" s="76"/>
      <c r="M17" s="77"/>
      <c r="N17" s="78"/>
      <c r="O17" s="60"/>
      <c r="P17" s="67"/>
      <c r="Q17" s="60"/>
      <c r="R17" s="60"/>
      <c r="S17" s="81"/>
      <c r="T17" s="43">
        <f t="shared" si="2"/>
        <v>0</v>
      </c>
      <c r="U17" s="32">
        <v>0.5</v>
      </c>
    </row>
    <row r="18" spans="1:21" x14ac:dyDescent="0.25">
      <c r="A18" s="76" t="s">
        <v>167</v>
      </c>
      <c r="B18" s="77">
        <v>46019</v>
      </c>
      <c r="C18" s="78">
        <v>311000530284857</v>
      </c>
      <c r="D18" s="60" t="s">
        <v>12</v>
      </c>
      <c r="E18" s="67" t="s">
        <v>13</v>
      </c>
      <c r="F18" s="60">
        <v>7645.48</v>
      </c>
      <c r="G18" s="60">
        <v>6833.2</v>
      </c>
      <c r="H18" s="89">
        <v>683.3</v>
      </c>
      <c r="I18" s="85">
        <f t="shared" si="0"/>
        <v>341.65</v>
      </c>
      <c r="J18" s="32">
        <v>0.5</v>
      </c>
      <c r="K18" s="98"/>
      <c r="L18" s="76"/>
      <c r="M18" s="77"/>
      <c r="N18" s="78"/>
      <c r="O18" s="60"/>
      <c r="P18" s="67"/>
      <c r="Q18" s="60"/>
      <c r="R18" s="60"/>
      <c r="S18" s="89"/>
      <c r="T18" s="85">
        <f t="shared" si="2"/>
        <v>0</v>
      </c>
      <c r="U18" s="32">
        <v>0.5</v>
      </c>
    </row>
    <row r="19" spans="1:21" x14ac:dyDescent="0.25">
      <c r="A19" s="76" t="s">
        <v>167</v>
      </c>
      <c r="B19" s="77">
        <v>46019</v>
      </c>
      <c r="C19" s="78">
        <v>460000021960496</v>
      </c>
      <c r="D19" s="60" t="s">
        <v>23</v>
      </c>
      <c r="E19" s="67" t="s">
        <v>13</v>
      </c>
      <c r="F19" s="60">
        <v>500</v>
      </c>
      <c r="G19" s="60">
        <v>476.19</v>
      </c>
      <c r="H19" s="89">
        <v>47.6</v>
      </c>
      <c r="I19" s="43">
        <f t="shared" si="0"/>
        <v>23.8</v>
      </c>
      <c r="J19" s="32">
        <v>0.5</v>
      </c>
      <c r="K19" s="98"/>
      <c r="L19" s="76"/>
      <c r="M19" s="77"/>
      <c r="N19" s="78"/>
      <c r="O19" s="60"/>
      <c r="P19" s="67"/>
      <c r="Q19" s="60"/>
      <c r="R19" s="60"/>
      <c r="S19" s="89"/>
      <c r="T19" s="43">
        <f t="shared" si="2"/>
        <v>0</v>
      </c>
      <c r="U19" s="32">
        <v>0.5</v>
      </c>
    </row>
    <row r="20" spans="1:21" x14ac:dyDescent="0.25">
      <c r="A20" s="76" t="s">
        <v>168</v>
      </c>
      <c r="B20" s="77">
        <v>46017</v>
      </c>
      <c r="C20" s="78">
        <v>63337713</v>
      </c>
      <c r="D20" s="60" t="s">
        <v>12</v>
      </c>
      <c r="E20" s="67" t="s">
        <v>13</v>
      </c>
      <c r="F20" s="60">
        <v>12957.44</v>
      </c>
      <c r="G20" s="60">
        <v>10412.23</v>
      </c>
      <c r="H20" s="89">
        <v>1158</v>
      </c>
      <c r="I20" s="85">
        <f t="shared" si="0"/>
        <v>579</v>
      </c>
      <c r="J20" s="32">
        <v>0.5</v>
      </c>
      <c r="K20" s="98"/>
      <c r="L20" s="76"/>
      <c r="M20" s="77"/>
      <c r="N20" s="78"/>
      <c r="O20" s="60"/>
      <c r="P20" s="67"/>
      <c r="Q20" s="60"/>
      <c r="R20" s="60"/>
      <c r="S20" s="89"/>
      <c r="T20" s="43">
        <f t="shared" si="2"/>
        <v>0</v>
      </c>
      <c r="U20" s="32">
        <v>0.5</v>
      </c>
    </row>
    <row r="21" spans="1:21" x14ac:dyDescent="0.25">
      <c r="A21" s="76" t="s">
        <v>169</v>
      </c>
      <c r="B21" s="77">
        <v>46019</v>
      </c>
      <c r="C21" s="78">
        <v>100000490912080</v>
      </c>
      <c r="D21" s="60" t="s">
        <v>12</v>
      </c>
      <c r="E21" s="67" t="s">
        <v>13</v>
      </c>
      <c r="F21" s="60">
        <v>19180.62</v>
      </c>
      <c r="G21" s="60">
        <v>17237.97</v>
      </c>
      <c r="H21" s="89">
        <v>1723.7</v>
      </c>
      <c r="I21" s="43">
        <f t="shared" si="0"/>
        <v>861.85</v>
      </c>
      <c r="J21" s="32">
        <v>0.5</v>
      </c>
      <c r="K21" s="98"/>
      <c r="L21" s="76"/>
      <c r="M21" s="77"/>
      <c r="N21" s="78"/>
      <c r="O21" s="60"/>
      <c r="P21" s="67"/>
      <c r="Q21" s="60"/>
      <c r="R21" s="60"/>
      <c r="S21" s="89"/>
      <c r="T21" s="85">
        <f t="shared" si="2"/>
        <v>0</v>
      </c>
      <c r="U21" s="32">
        <v>0.5</v>
      </c>
    </row>
    <row r="22" spans="1:21" x14ac:dyDescent="0.25">
      <c r="A22" s="76" t="s">
        <v>169</v>
      </c>
      <c r="B22" s="77">
        <v>46019</v>
      </c>
      <c r="C22" s="78">
        <v>100000490912080</v>
      </c>
      <c r="D22" s="60" t="s">
        <v>12</v>
      </c>
      <c r="E22" s="67" t="s">
        <v>13</v>
      </c>
      <c r="F22" s="60">
        <v>100</v>
      </c>
      <c r="G22" s="60">
        <v>100</v>
      </c>
      <c r="H22" s="89">
        <v>10</v>
      </c>
      <c r="I22" s="85">
        <f t="shared" si="0"/>
        <v>5</v>
      </c>
      <c r="J22" s="32">
        <v>0.5</v>
      </c>
      <c r="K22" s="98"/>
      <c r="L22" s="76"/>
      <c r="M22" s="77"/>
      <c r="N22" s="78"/>
      <c r="O22" s="60"/>
      <c r="P22" s="67"/>
      <c r="Q22" s="60"/>
      <c r="R22" s="60"/>
      <c r="S22" s="89"/>
      <c r="T22" s="43">
        <f t="shared" si="2"/>
        <v>0</v>
      </c>
      <c r="U22" s="32">
        <v>0.5</v>
      </c>
    </row>
    <row r="23" spans="1:21" x14ac:dyDescent="0.25">
      <c r="A23" s="76" t="s">
        <v>170</v>
      </c>
      <c r="B23" s="77">
        <v>46021</v>
      </c>
      <c r="C23" s="78">
        <v>81125392</v>
      </c>
      <c r="D23" s="60" t="s">
        <v>12</v>
      </c>
      <c r="E23" s="67" t="s">
        <v>13</v>
      </c>
      <c r="F23" s="60">
        <v>20170.18</v>
      </c>
      <c r="G23" s="60">
        <v>18040.79</v>
      </c>
      <c r="H23" s="89">
        <v>1804.4</v>
      </c>
      <c r="I23" s="43">
        <f t="shared" si="0"/>
        <v>902.2</v>
      </c>
      <c r="J23" s="32">
        <v>0.5</v>
      </c>
      <c r="K23" s="98"/>
      <c r="L23" s="23"/>
      <c r="M23" s="29"/>
      <c r="N23" s="35"/>
      <c r="O23" s="11"/>
      <c r="P23" s="67"/>
      <c r="Q23" s="11"/>
      <c r="R23" s="11"/>
      <c r="S23" s="83"/>
      <c r="T23" s="43">
        <f t="shared" si="2"/>
        <v>0</v>
      </c>
      <c r="U23" s="32">
        <v>0.5</v>
      </c>
    </row>
    <row r="24" spans="1:21" x14ac:dyDescent="0.25">
      <c r="A24" s="76" t="s">
        <v>170</v>
      </c>
      <c r="B24" s="77">
        <v>46021</v>
      </c>
      <c r="C24" s="35">
        <v>81125412</v>
      </c>
      <c r="D24" s="11" t="s">
        <v>12</v>
      </c>
      <c r="E24" s="67" t="s">
        <v>13</v>
      </c>
      <c r="F24" s="11">
        <v>519.71</v>
      </c>
      <c r="G24" s="11">
        <v>494.96</v>
      </c>
      <c r="H24" s="83">
        <v>77</v>
      </c>
      <c r="I24" s="43">
        <f t="shared" si="0"/>
        <v>38.5</v>
      </c>
      <c r="J24" s="32">
        <v>0.5</v>
      </c>
      <c r="K24" s="98"/>
      <c r="L24" s="23"/>
      <c r="M24" s="29"/>
      <c r="N24" s="35"/>
      <c r="O24" s="11"/>
      <c r="P24" s="67"/>
      <c r="Q24" s="11"/>
      <c r="R24" s="11"/>
      <c r="S24" s="83"/>
      <c r="T24" s="43">
        <f t="shared" si="2"/>
        <v>0</v>
      </c>
      <c r="U24" s="32">
        <v>0.5</v>
      </c>
    </row>
    <row r="25" spans="1:21" x14ac:dyDescent="0.25">
      <c r="A25" s="22" t="s">
        <v>171</v>
      </c>
      <c r="B25" s="36">
        <v>46000</v>
      </c>
      <c r="C25" s="51">
        <v>29066595</v>
      </c>
      <c r="D25" s="37" t="s">
        <v>12</v>
      </c>
      <c r="E25" s="37" t="s">
        <v>13</v>
      </c>
      <c r="F25" s="37">
        <v>7273.76</v>
      </c>
      <c r="G25" s="37">
        <v>6588.62</v>
      </c>
      <c r="H25" s="90">
        <v>658.8</v>
      </c>
      <c r="I25" s="62">
        <f t="shared" si="0"/>
        <v>329.4</v>
      </c>
      <c r="J25" s="40">
        <v>0.5</v>
      </c>
      <c r="K25" s="98"/>
      <c r="L25" s="23"/>
      <c r="M25" s="29"/>
      <c r="N25" s="35"/>
      <c r="O25" s="11"/>
      <c r="P25" s="67"/>
      <c r="Q25" s="11"/>
      <c r="R25" s="11"/>
      <c r="S25" s="83"/>
      <c r="T25" s="43">
        <f t="shared" si="2"/>
        <v>0</v>
      </c>
      <c r="U25" s="32">
        <v>0.5</v>
      </c>
    </row>
    <row r="26" spans="1:21" x14ac:dyDescent="0.25">
      <c r="A26" s="22" t="s">
        <v>78</v>
      </c>
      <c r="B26" s="36">
        <v>46010</v>
      </c>
      <c r="C26" s="51">
        <v>100000383955659</v>
      </c>
      <c r="D26" s="37" t="s">
        <v>12</v>
      </c>
      <c r="E26" s="37" t="s">
        <v>13</v>
      </c>
      <c r="F26" s="37">
        <v>3993.94</v>
      </c>
      <c r="G26" s="37">
        <v>3676.94</v>
      </c>
      <c r="H26" s="90">
        <v>367.6</v>
      </c>
      <c r="I26" s="62">
        <f t="shared" si="0"/>
        <v>183.8</v>
      </c>
      <c r="J26" s="40">
        <v>0.5</v>
      </c>
      <c r="K26" s="98"/>
      <c r="L26" s="23"/>
      <c r="M26" s="29"/>
      <c r="N26" s="35"/>
      <c r="O26" s="11"/>
      <c r="P26" s="67"/>
      <c r="Q26" s="11"/>
      <c r="R26" s="11"/>
      <c r="S26" s="83"/>
      <c r="T26" s="43">
        <f t="shared" si="2"/>
        <v>0</v>
      </c>
      <c r="U26" s="32">
        <v>0.5</v>
      </c>
    </row>
    <row r="27" spans="1:21" x14ac:dyDescent="0.25">
      <c r="A27" s="22" t="s">
        <v>142</v>
      </c>
      <c r="B27" s="36">
        <v>46020</v>
      </c>
      <c r="C27" s="51">
        <v>100000468457904</v>
      </c>
      <c r="D27" s="37" t="s">
        <v>12</v>
      </c>
      <c r="E27" s="37" t="s">
        <v>13</v>
      </c>
      <c r="F27" s="37">
        <v>8325.2800000000007</v>
      </c>
      <c r="G27" s="37">
        <v>7484.91</v>
      </c>
      <c r="H27" s="90">
        <v>748.4</v>
      </c>
      <c r="I27" s="62">
        <f t="shared" si="0"/>
        <v>374.2</v>
      </c>
      <c r="J27" s="40">
        <v>0.5</v>
      </c>
      <c r="K27" s="98"/>
      <c r="L27" s="22"/>
      <c r="M27" s="36"/>
      <c r="N27" s="51"/>
      <c r="O27" s="37"/>
      <c r="P27" s="37"/>
      <c r="Q27" s="37"/>
      <c r="R27" s="37"/>
      <c r="S27" s="90"/>
      <c r="T27" s="43">
        <f t="shared" si="2"/>
        <v>0</v>
      </c>
      <c r="U27" s="32">
        <v>0.5</v>
      </c>
    </row>
    <row r="28" spans="1:21" x14ac:dyDescent="0.25">
      <c r="A28" s="22" t="s">
        <v>130</v>
      </c>
      <c r="B28" s="36">
        <v>46020</v>
      </c>
      <c r="C28" s="51">
        <v>100000440727040</v>
      </c>
      <c r="D28" s="37" t="s">
        <v>12</v>
      </c>
      <c r="E28" s="37" t="s">
        <v>13</v>
      </c>
      <c r="F28" s="37">
        <v>5467.23</v>
      </c>
      <c r="G28" s="37">
        <v>4977.1099999999997</v>
      </c>
      <c r="H28" s="90">
        <v>497.7</v>
      </c>
      <c r="I28" s="62">
        <f t="shared" si="0"/>
        <v>248.85</v>
      </c>
      <c r="J28" s="40">
        <v>0.5</v>
      </c>
      <c r="K28" s="98"/>
      <c r="L28" s="22"/>
      <c r="M28" s="36"/>
      <c r="N28" s="51"/>
      <c r="O28" s="37"/>
      <c r="P28" s="37"/>
      <c r="Q28" s="37"/>
      <c r="R28" s="37"/>
      <c r="S28" s="90"/>
      <c r="T28" s="43">
        <f t="shared" si="2"/>
        <v>0</v>
      </c>
      <c r="U28" s="32">
        <v>0.5</v>
      </c>
    </row>
    <row r="29" spans="1:21" x14ac:dyDescent="0.25">
      <c r="A29" s="22" t="s">
        <v>143</v>
      </c>
      <c r="B29" s="36">
        <v>46002</v>
      </c>
      <c r="C29" s="51">
        <v>100000469466241</v>
      </c>
      <c r="D29" s="37" t="s">
        <v>12</v>
      </c>
      <c r="E29" s="37" t="s">
        <v>13</v>
      </c>
      <c r="F29" s="37">
        <v>10700.55</v>
      </c>
      <c r="G29" s="37">
        <v>9619.84</v>
      </c>
      <c r="H29" s="90">
        <v>961.9</v>
      </c>
      <c r="I29" s="62">
        <f t="shared" ref="I29" si="3">H29*J29</f>
        <v>480.95</v>
      </c>
      <c r="J29" s="40">
        <v>0.5</v>
      </c>
      <c r="K29" s="98"/>
      <c r="L29" s="22"/>
      <c r="M29" s="36"/>
      <c r="N29" s="51"/>
      <c r="O29" s="37"/>
      <c r="P29" s="37"/>
      <c r="Q29" s="37"/>
      <c r="R29" s="37"/>
      <c r="S29" s="90"/>
      <c r="T29" s="43">
        <f t="shared" ref="T29" si="4">S29*U29</f>
        <v>0</v>
      </c>
      <c r="U29" s="32">
        <v>0.5</v>
      </c>
    </row>
    <row r="30" spans="1:21" x14ac:dyDescent="0.25">
      <c r="A30" s="23"/>
      <c r="B30" s="29"/>
      <c r="C30" s="35"/>
      <c r="D30" s="11"/>
      <c r="E30" s="11"/>
      <c r="F30" s="11"/>
      <c r="G30" s="11"/>
      <c r="H30" s="31"/>
      <c r="I30" s="41"/>
      <c r="J30" s="50"/>
      <c r="K30" s="98"/>
      <c r="L30" s="22"/>
      <c r="M30" s="36"/>
      <c r="N30" s="51"/>
      <c r="O30" s="37"/>
      <c r="P30" s="37"/>
      <c r="Q30" s="37"/>
      <c r="R30" s="37"/>
      <c r="S30" s="90"/>
      <c r="T30" s="43">
        <f t="shared" si="2"/>
        <v>0</v>
      </c>
      <c r="U30" s="32">
        <v>0.5</v>
      </c>
    </row>
    <row r="31" spans="1:21" x14ac:dyDescent="0.25">
      <c r="A31" s="23"/>
      <c r="B31" s="29"/>
      <c r="C31" s="35"/>
      <c r="D31" s="11"/>
      <c r="E31" s="11" t="s">
        <v>10</v>
      </c>
      <c r="F31" s="11">
        <f>SUM(F2:F30)</f>
        <v>227642.65999999997</v>
      </c>
      <c r="G31" s="11">
        <f>SUM(G2:G30)</f>
        <v>203744.72999999998</v>
      </c>
      <c r="H31" s="31">
        <f>SUM(H2:H30)</f>
        <v>20487.800000000003</v>
      </c>
      <c r="I31" s="47">
        <f>SUM(I2:I24)</f>
        <v>8626.7000000000007</v>
      </c>
      <c r="J31" s="48"/>
      <c r="K31" s="95"/>
      <c r="L31" s="23"/>
      <c r="M31" s="29"/>
      <c r="N31" s="35"/>
      <c r="O31" s="11"/>
      <c r="P31" s="11" t="s">
        <v>10</v>
      </c>
      <c r="Q31" s="11">
        <f>SUM(Q2:Q30)</f>
        <v>75695.520000000004</v>
      </c>
      <c r="R31" s="11">
        <f>SUM(R2:R30)</f>
        <v>67585.26999999999</v>
      </c>
      <c r="S31" s="31">
        <f>SUM(S2:S30)</f>
        <v>6758.4</v>
      </c>
      <c r="T31" s="47">
        <f>SUM(T2:T24)</f>
        <v>3379.2</v>
      </c>
      <c r="U31" s="48"/>
    </row>
    <row r="32" spans="1:21" x14ac:dyDescent="0.25">
      <c r="A32" s="1"/>
      <c r="B32" s="4"/>
      <c r="C32" s="84"/>
      <c r="D32" s="2"/>
      <c r="E32" s="54" t="s">
        <v>25</v>
      </c>
      <c r="F32" s="52"/>
      <c r="G32" s="52"/>
      <c r="H32" s="53"/>
      <c r="I32" s="54">
        <f>I25+I26+I27+I28+I29</f>
        <v>1617.2</v>
      </c>
      <c r="J32" s="21"/>
      <c r="K32" s="95"/>
      <c r="L32" s="1"/>
      <c r="M32" s="4"/>
      <c r="N32" s="84"/>
      <c r="O32" s="2"/>
      <c r="P32" s="54" t="s">
        <v>25</v>
      </c>
      <c r="Q32" s="52"/>
      <c r="R32" s="52"/>
      <c r="S32" s="53"/>
      <c r="T32" s="54">
        <f>T25+T26+T27+T28</f>
        <v>0</v>
      </c>
      <c r="U32" s="21"/>
    </row>
    <row r="33" spans="1:39" x14ac:dyDescent="0.25">
      <c r="A33" s="1"/>
      <c r="B33" s="4"/>
      <c r="C33" s="84"/>
      <c r="D33" s="2"/>
      <c r="E33" s="2"/>
      <c r="F33" s="2"/>
      <c r="G33" s="2"/>
      <c r="H33" s="5"/>
      <c r="I33" s="13"/>
      <c r="J33" s="1"/>
      <c r="K33" s="95"/>
      <c r="L33" s="1"/>
      <c r="M33" s="4"/>
      <c r="N33" s="84"/>
      <c r="O33" s="2"/>
      <c r="P33" s="2"/>
      <c r="Q33" s="2"/>
      <c r="R33" s="2"/>
      <c r="S33" s="5"/>
      <c r="T33" s="13"/>
      <c r="U33" s="1"/>
    </row>
    <row r="34" spans="1:39" x14ac:dyDescent="0.25">
      <c r="A34" s="1"/>
      <c r="B34" s="4"/>
      <c r="C34" s="84"/>
      <c r="D34" s="2"/>
      <c r="E34" s="2"/>
      <c r="F34" s="2"/>
      <c r="G34" s="2"/>
      <c r="H34" s="5"/>
      <c r="I34" s="13"/>
      <c r="J34" s="1"/>
      <c r="K34" s="95"/>
      <c r="L34" s="1"/>
      <c r="M34" s="4"/>
      <c r="N34" s="84"/>
      <c r="O34" s="2"/>
      <c r="P34" s="2"/>
      <c r="Q34" s="2"/>
      <c r="R34" s="2"/>
      <c r="S34" s="5"/>
      <c r="T34" s="13"/>
      <c r="U34" s="1"/>
    </row>
    <row r="35" spans="1:39" x14ac:dyDescent="0.25">
      <c r="A35" s="1"/>
      <c r="B35" s="4"/>
      <c r="C35" s="84"/>
      <c r="D35" s="2"/>
      <c r="E35" s="2" t="s">
        <v>26</v>
      </c>
      <c r="F35" s="2">
        <f>I31-I32</f>
        <v>7009.5000000000009</v>
      </c>
      <c r="G35" s="2"/>
      <c r="H35" s="5"/>
      <c r="I35" s="6">
        <f>I31-I32</f>
        <v>7009.5000000000009</v>
      </c>
      <c r="J35" s="1"/>
      <c r="K35" s="95"/>
      <c r="L35" s="1"/>
      <c r="M35" s="4"/>
      <c r="N35" s="84"/>
      <c r="O35" s="2"/>
      <c r="P35" s="2" t="s">
        <v>26</v>
      </c>
      <c r="Q35" s="2">
        <f>T31-T32</f>
        <v>3379.2</v>
      </c>
      <c r="R35" s="2"/>
      <c r="S35" s="5"/>
      <c r="T35" s="6">
        <f>T31-T32</f>
        <v>3379.2</v>
      </c>
      <c r="U35" s="1"/>
    </row>
    <row r="36" spans="1:39" x14ac:dyDescent="0.25">
      <c r="A36" s="1"/>
      <c r="B36" s="4"/>
      <c r="C36" s="84"/>
      <c r="D36" s="2"/>
      <c r="E36" s="2"/>
      <c r="F36" s="2"/>
      <c r="G36" s="2"/>
      <c r="H36" s="5"/>
      <c r="I36" s="13"/>
      <c r="J36" s="12"/>
      <c r="K36" s="96"/>
      <c r="L36" s="1"/>
      <c r="M36" s="4"/>
      <c r="N36" s="84"/>
      <c r="O36" s="2"/>
      <c r="P36" s="2"/>
      <c r="Q36" s="2"/>
      <c r="R36" s="2"/>
      <c r="S36" s="5"/>
      <c r="T36" s="13"/>
      <c r="U36" s="12"/>
    </row>
    <row r="37" spans="1:39" s="1" customFormat="1" ht="12" x14ac:dyDescent="0.25">
      <c r="K37" s="97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</row>
    <row r="38" spans="1:39" s="1" customFormat="1" ht="12" x14ac:dyDescent="0.25">
      <c r="K38" s="97"/>
      <c r="M38" s="2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</row>
    <row r="39" spans="1:39" s="1" customFormat="1" ht="12" x14ac:dyDescent="0.25">
      <c r="K39" s="97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</row>
    <row r="40" spans="1:39" x14ac:dyDescent="0.25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8"/>
      <c r="L40" s="1" t="s">
        <v>158</v>
      </c>
      <c r="M40" s="2">
        <f>I35-T35</f>
        <v>3630.3000000000011</v>
      </c>
      <c r="N40" s="1"/>
      <c r="O40" s="1"/>
      <c r="P40" s="1"/>
      <c r="Q40" s="1"/>
      <c r="R40" s="1"/>
      <c r="S40" s="1"/>
      <c r="T40" s="1"/>
      <c r="U40" s="1"/>
      <c r="V40" s="100"/>
    </row>
    <row r="41" spans="1:39" x14ac:dyDescent="0.25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8"/>
      <c r="L41" s="1"/>
      <c r="M41" s="1"/>
      <c r="N41" s="1"/>
      <c r="O41" s="1"/>
      <c r="P41" s="1"/>
      <c r="Q41" s="1"/>
      <c r="R41" s="1"/>
      <c r="S41" s="1"/>
      <c r="T41" s="1"/>
      <c r="U41" s="1"/>
      <c r="V41" s="100"/>
    </row>
  </sheetData>
  <mergeCells count="2">
    <mergeCell ref="D1:E1"/>
    <mergeCell ref="O1:P1"/>
  </mergeCells>
  <conditionalFormatting sqref="C1:C3 D4">
    <cfRule type="cellIs" dxfId="24" priority="28" operator="equal">
      <formula>15698.2</formula>
    </cfRule>
    <cfRule type="cellIs" dxfId="23" priority="29" operator="equal">
      <formula>"kapalı"</formula>
    </cfRule>
  </conditionalFormatting>
  <conditionalFormatting sqref="D1 F1:H1 D2:H3 J3 E4:E24">
    <cfRule type="cellIs" dxfId="22" priority="30" operator="equal">
      <formula>"K.KART"</formula>
    </cfRule>
  </conditionalFormatting>
  <conditionalFormatting sqref="D5:F5 D6:D24 F6:F24">
    <cfRule type="cellIs" dxfId="21" priority="26" operator="equal">
      <formula>15698.2</formula>
    </cfRule>
    <cfRule type="cellIs" dxfId="20" priority="27" operator="equal">
      <formula>"kapalı"</formula>
    </cfRule>
  </conditionalFormatting>
  <conditionalFormatting sqref="D30:F36">
    <cfRule type="cellIs" dxfId="19" priority="10" operator="equal">
      <formula>15698.2</formula>
    </cfRule>
    <cfRule type="cellIs" dxfId="18" priority="11" operator="equal">
      <formula>"kapalı"</formula>
    </cfRule>
  </conditionalFormatting>
  <conditionalFormatting sqref="F4:F5">
    <cfRule type="cellIs" dxfId="17" priority="25" operator="equal">
      <formula>"K.KART"</formula>
    </cfRule>
  </conditionalFormatting>
  <conditionalFormatting sqref="G4:G24 G30:G36">
    <cfRule type="cellIs" dxfId="16" priority="12" operator="equal">
      <formula>"K.KART"</formula>
    </cfRule>
  </conditionalFormatting>
  <conditionalFormatting sqref="G36:H36">
    <cfRule type="cellIs" dxfId="15" priority="13" operator="equal">
      <formula>"K.KART"</formula>
    </cfRule>
  </conditionalFormatting>
  <conditionalFormatting sqref="N1:N3 O4 O6:O23 Q6:Q23">
    <cfRule type="cellIs" dxfId="14" priority="20" operator="equal">
      <formula>15698.2</formula>
    </cfRule>
    <cfRule type="cellIs" dxfId="13" priority="21" operator="equal">
      <formula>"kapalı"</formula>
    </cfRule>
  </conditionalFormatting>
  <conditionalFormatting sqref="O1 Q1:S1 O2:S3 U3 P4:P26">
    <cfRule type="cellIs" dxfId="12" priority="22" operator="equal">
      <formula>"K.KART"</formula>
    </cfRule>
  </conditionalFormatting>
  <conditionalFormatting sqref="O5:Q5">
    <cfRule type="cellIs" dxfId="11" priority="18" operator="equal">
      <formula>15698.2</formula>
    </cfRule>
    <cfRule type="cellIs" dxfId="10" priority="19" operator="equal">
      <formula>"kapalı"</formula>
    </cfRule>
  </conditionalFormatting>
  <conditionalFormatting sqref="O24:Q36">
    <cfRule type="cellIs" dxfId="9" priority="6" operator="equal">
      <formula>15698.2</formula>
    </cfRule>
    <cfRule type="cellIs" dxfId="8" priority="7" operator="equal">
      <formula>"kapalı"</formula>
    </cfRule>
  </conditionalFormatting>
  <conditionalFormatting sqref="Q4:Q5">
    <cfRule type="cellIs" dxfId="7" priority="17" operator="equal">
      <formula>"K.KART"</formula>
    </cfRule>
  </conditionalFormatting>
  <conditionalFormatting sqref="R4:R36">
    <cfRule type="cellIs" dxfId="6" priority="8" operator="equal">
      <formula>"K.KART"</formula>
    </cfRule>
  </conditionalFormatting>
  <conditionalFormatting sqref="R36:S36">
    <cfRule type="cellIs" dxfId="5" priority="9" operator="equal">
      <formula>"K.KART"</formula>
    </cfRule>
  </conditionalFormatting>
  <conditionalFormatting sqref="D25:F28">
    <cfRule type="cellIs" dxfId="4" priority="3" operator="equal">
      <formula>15698.2</formula>
    </cfRule>
    <cfRule type="cellIs" dxfId="3" priority="4" operator="equal">
      <formula>"kapalı"</formula>
    </cfRule>
  </conditionalFormatting>
  <conditionalFormatting sqref="G25:G29">
    <cfRule type="cellIs" dxfId="2" priority="5" operator="equal">
      <formula>"K.KART"</formula>
    </cfRule>
  </conditionalFormatting>
  <conditionalFormatting sqref="D29:F29">
    <cfRule type="cellIs" dxfId="1" priority="1" operator="equal">
      <formula>15698.2</formula>
    </cfRule>
    <cfRule type="cellIs" dxfId="0" priority="2" operator="equal">
      <formula>"kapalı"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12</vt:i4>
      </vt:variant>
      <vt:variant>
        <vt:lpstr>Adlandırılmış Aralıklar</vt:lpstr>
      </vt:variant>
      <vt:variant>
        <vt:i4>3</vt:i4>
      </vt:variant>
    </vt:vector>
  </HeadingPairs>
  <TitlesOfParts>
    <vt:vector size="15" baseType="lpstr">
      <vt:lpstr>OCAK</vt:lpstr>
      <vt:lpstr>ŞUBAT</vt:lpstr>
      <vt:lpstr>MART</vt:lpstr>
      <vt:lpstr>NİSAN</vt:lpstr>
      <vt:lpstr>MAYIS</vt:lpstr>
      <vt:lpstr>HAZİRAN</vt:lpstr>
      <vt:lpstr>TEMMUZ</vt:lpstr>
      <vt:lpstr>AĞUSTOS</vt:lpstr>
      <vt:lpstr>EYLÜL</vt:lpstr>
      <vt:lpstr>EKİM</vt:lpstr>
      <vt:lpstr>KASIM</vt:lpstr>
      <vt:lpstr>ARALIK</vt:lpstr>
      <vt:lpstr>HAZİRAN!Yazdırma_Alanı</vt:lpstr>
      <vt:lpstr>MAYIS!Yazdırma_Alanı</vt:lpstr>
      <vt:lpstr>OCAK!Yazdırma_Alanı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nihat dislioglu</cp:lastModifiedBy>
  <cp:lastPrinted>2025-07-17T08:51:34Z</cp:lastPrinted>
  <dcterms:created xsi:type="dcterms:W3CDTF">2015-06-05T18:19:34Z</dcterms:created>
  <dcterms:modified xsi:type="dcterms:W3CDTF">2026-01-05T11:03:36Z</dcterms:modified>
</cp:coreProperties>
</file>
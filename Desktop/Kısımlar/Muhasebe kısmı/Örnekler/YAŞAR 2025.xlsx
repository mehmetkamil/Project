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ORTAK\2025 YILI HESAPLAR\YAŞAR KÜÇÜK\"/>
    </mc:Choice>
  </mc:AlternateContent>
  <xr:revisionPtr revIDLastSave="0" documentId="13_ncr:1_{ECE1E4C0-663D-4F40-BD5F-CFB615E97DFB}" xr6:coauthVersionLast="47" xr6:coauthVersionMax="47" xr10:uidLastSave="{00000000-0000-0000-0000-000000000000}"/>
  <bookViews>
    <workbookView xWindow="-120" yWindow="-120" windowWidth="24240" windowHeight="13020" firstSheet="3" activeTab="12" xr2:uid="{00000000-000D-0000-FFFF-FFFF00000000}"/>
  </bookViews>
  <sheets>
    <sheet name="ARALIK" sheetId="1" r:id="rId1"/>
    <sheet name="OCAK" sheetId="2" r:id="rId2"/>
    <sheet name="ŞUBAT" sheetId="3" r:id="rId3"/>
    <sheet name="MART" sheetId="4" r:id="rId4"/>
    <sheet name="NİSAN" sheetId="5" r:id="rId5"/>
    <sheet name="MAYIS" sheetId="9" r:id="rId6"/>
    <sheet name="HAZİRAN" sheetId="10" r:id="rId7"/>
    <sheet name="TEMMUZ" sheetId="11" r:id="rId8"/>
    <sheet name="AĞUSTOS" sheetId="12" r:id="rId9"/>
    <sheet name="EYLÜL" sheetId="13" r:id="rId10"/>
    <sheet name="EKİM" sheetId="14" r:id="rId11"/>
    <sheet name="KASIM" sheetId="15" r:id="rId12"/>
    <sheet name="ARALİK" sheetId="16" r:id="rId13"/>
  </sheets>
  <definedNames>
    <definedName name="_xlnm.Print_Area" localSheetId="0">ARALIK!$F$92:$H$111</definedName>
    <definedName name="_xlnm.Print_Area" localSheetId="3">MART!$E$85:$G$100</definedName>
    <definedName name="_xlnm.Print_Area" localSheetId="1">OCAK!$E$81:$G$98</definedName>
    <definedName name="_xlnm.Print_Area" localSheetId="2">ŞUBAT!$E$86:$G$101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7" i="16" l="1"/>
  <c r="G177" i="16"/>
  <c r="G175" i="16"/>
  <c r="G174" i="16"/>
  <c r="G172" i="16"/>
  <c r="G36" i="16"/>
  <c r="C154" i="16" s="1"/>
  <c r="G131" i="16"/>
  <c r="G163" i="16" s="1"/>
  <c r="G148" i="16"/>
  <c r="K153" i="16" s="1"/>
  <c r="C86" i="15"/>
  <c r="C85" i="15"/>
  <c r="C84" i="15"/>
  <c r="C83" i="15"/>
  <c r="C82" i="15"/>
  <c r="G69" i="15"/>
  <c r="G55" i="15"/>
  <c r="C163" i="14"/>
  <c r="G146" i="14"/>
  <c r="G134" i="14"/>
  <c r="J118" i="15"/>
  <c r="J33" i="16"/>
  <c r="J32" i="16"/>
  <c r="J31" i="16"/>
  <c r="J30" i="16"/>
  <c r="J29" i="16"/>
  <c r="G70" i="15"/>
  <c r="G96" i="15" s="1"/>
  <c r="J52" i="15"/>
  <c r="J51" i="15"/>
  <c r="J50" i="15"/>
  <c r="J49" i="15"/>
  <c r="J16" i="15"/>
  <c r="G84" i="15"/>
  <c r="J171" i="14"/>
  <c r="C163" i="16"/>
  <c r="G162" i="16"/>
  <c r="C161" i="16"/>
  <c r="G153" i="16"/>
  <c r="I147" i="16"/>
  <c r="H147" i="16"/>
  <c r="G147" i="16"/>
  <c r="J142" i="16"/>
  <c r="J141" i="16"/>
  <c r="J140" i="16"/>
  <c r="J139" i="16"/>
  <c r="J138" i="16"/>
  <c r="J137" i="16"/>
  <c r="J136" i="16"/>
  <c r="J135" i="16"/>
  <c r="J134" i="16"/>
  <c r="I130" i="16"/>
  <c r="H130" i="16"/>
  <c r="G130" i="16"/>
  <c r="J129" i="16"/>
  <c r="J128" i="16"/>
  <c r="J127" i="16"/>
  <c r="J126" i="16"/>
  <c r="J125" i="16"/>
  <c r="J124" i="16"/>
  <c r="J123" i="16"/>
  <c r="J122" i="16"/>
  <c r="J121" i="16"/>
  <c r="J120" i="16"/>
  <c r="J119" i="16"/>
  <c r="J118" i="16"/>
  <c r="J117" i="16"/>
  <c r="J116" i="16"/>
  <c r="J115" i="16"/>
  <c r="J114" i="16"/>
  <c r="J113" i="16"/>
  <c r="J112" i="16"/>
  <c r="J111" i="16"/>
  <c r="J110" i="16"/>
  <c r="J109" i="16"/>
  <c r="J108" i="16"/>
  <c r="J107" i="16"/>
  <c r="J106" i="16"/>
  <c r="J105" i="16"/>
  <c r="J104" i="16"/>
  <c r="J103" i="16"/>
  <c r="J102" i="16"/>
  <c r="J101" i="16"/>
  <c r="J100" i="16"/>
  <c r="J99" i="16"/>
  <c r="J98" i="16"/>
  <c r="J97" i="16"/>
  <c r="J96" i="16"/>
  <c r="J95" i="16"/>
  <c r="J94" i="16"/>
  <c r="J93" i="16"/>
  <c r="J92" i="16"/>
  <c r="J91" i="16"/>
  <c r="J90" i="16"/>
  <c r="J89" i="16"/>
  <c r="J88" i="16"/>
  <c r="J87" i="16"/>
  <c r="J86" i="16"/>
  <c r="J85" i="16"/>
  <c r="J84" i="16"/>
  <c r="J83" i="16"/>
  <c r="J82" i="16"/>
  <c r="J81" i="16"/>
  <c r="J80" i="16"/>
  <c r="J79" i="16"/>
  <c r="J78" i="16"/>
  <c r="J77" i="16"/>
  <c r="J76" i="16"/>
  <c r="J75" i="16"/>
  <c r="J74" i="16"/>
  <c r="J73" i="16"/>
  <c r="J72" i="16"/>
  <c r="J71" i="16"/>
  <c r="J70" i="16"/>
  <c r="J69" i="16"/>
  <c r="J68" i="16"/>
  <c r="J67" i="16"/>
  <c r="J66" i="16"/>
  <c r="J65" i="16"/>
  <c r="J64" i="16"/>
  <c r="J63" i="16"/>
  <c r="J62" i="16"/>
  <c r="J61" i="16"/>
  <c r="J60" i="16"/>
  <c r="J59" i="16"/>
  <c r="J58" i="16"/>
  <c r="J57" i="16"/>
  <c r="J56" i="16"/>
  <c r="J55" i="16"/>
  <c r="J54" i="16"/>
  <c r="J53" i="16"/>
  <c r="J52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I35" i="16"/>
  <c r="H35" i="16"/>
  <c r="G35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6" i="16"/>
  <c r="J5" i="16"/>
  <c r="J4" i="16"/>
  <c r="F198" i="13"/>
  <c r="J35" i="16" l="1"/>
  <c r="G149" i="16"/>
  <c r="K154" i="16" s="1"/>
  <c r="C153" i="16"/>
  <c r="J130" i="16"/>
  <c r="G155" i="16" s="1"/>
  <c r="C162" i="16" s="1"/>
  <c r="J147" i="16"/>
  <c r="K155" i="16" s="1"/>
  <c r="C155" i="16"/>
  <c r="G161" i="14"/>
  <c r="F201" i="13"/>
  <c r="J190" i="13"/>
  <c r="C175" i="13" s="1"/>
  <c r="C177" i="13" s="1"/>
  <c r="G189" i="13"/>
  <c r="G167" i="13"/>
  <c r="G160" i="13"/>
  <c r="G161" i="13"/>
  <c r="G144" i="13"/>
  <c r="J32" i="13"/>
  <c r="H133" i="14"/>
  <c r="G133" i="14"/>
  <c r="J132" i="14"/>
  <c r="J131" i="14"/>
  <c r="J130" i="14"/>
  <c r="J129" i="14"/>
  <c r="J27" i="14"/>
  <c r="J26" i="14"/>
  <c r="I133" i="14"/>
  <c r="J128" i="14"/>
  <c r="J127" i="14"/>
  <c r="J126" i="14"/>
  <c r="J124" i="14"/>
  <c r="G34" i="13"/>
  <c r="J123" i="14"/>
  <c r="J122" i="14"/>
  <c r="C176" i="13"/>
  <c r="G175" i="13"/>
  <c r="G145" i="14"/>
  <c r="J99" i="14"/>
  <c r="G83" i="15"/>
  <c r="G74" i="15"/>
  <c r="K74" i="15"/>
  <c r="I68" i="15"/>
  <c r="H68" i="15"/>
  <c r="G68" i="15"/>
  <c r="J66" i="15"/>
  <c r="J65" i="15"/>
  <c r="J64" i="15"/>
  <c r="J63" i="15"/>
  <c r="J62" i="15"/>
  <c r="J61" i="15"/>
  <c r="J60" i="15"/>
  <c r="J59" i="15"/>
  <c r="J58" i="15"/>
  <c r="I54" i="15"/>
  <c r="H54" i="15"/>
  <c r="G54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C74" i="15"/>
  <c r="I18" i="15"/>
  <c r="H18" i="15"/>
  <c r="G18" i="15"/>
  <c r="J15" i="15"/>
  <c r="J14" i="15"/>
  <c r="J13" i="15"/>
  <c r="J12" i="15"/>
  <c r="J11" i="15"/>
  <c r="J10" i="15"/>
  <c r="J9" i="15"/>
  <c r="J8" i="15"/>
  <c r="J7" i="15"/>
  <c r="J6" i="15"/>
  <c r="J5" i="15"/>
  <c r="J4" i="15"/>
  <c r="J6" i="14"/>
  <c r="J5" i="14"/>
  <c r="J142" i="13"/>
  <c r="J141" i="13"/>
  <c r="J140" i="13"/>
  <c r="J139" i="13"/>
  <c r="J138" i="13"/>
  <c r="J137" i="13"/>
  <c r="J136" i="13"/>
  <c r="J27" i="13"/>
  <c r="J26" i="13"/>
  <c r="G151" i="12"/>
  <c r="F158" i="12" s="1"/>
  <c r="C136" i="12"/>
  <c r="C137" i="12"/>
  <c r="J33" i="12"/>
  <c r="J104" i="12"/>
  <c r="J121" i="12"/>
  <c r="G122" i="12"/>
  <c r="G105" i="12"/>
  <c r="G34" i="12"/>
  <c r="G35" i="12"/>
  <c r="G33" i="12"/>
  <c r="I135" i="13"/>
  <c r="J135" i="13" s="1"/>
  <c r="I134" i="13"/>
  <c r="J134" i="13" s="1"/>
  <c r="I133" i="13"/>
  <c r="J133" i="13" s="1"/>
  <c r="I132" i="13"/>
  <c r="J132" i="13" s="1"/>
  <c r="I131" i="13"/>
  <c r="J131" i="13" s="1"/>
  <c r="I130" i="13"/>
  <c r="J130" i="13" s="1"/>
  <c r="J156" i="13"/>
  <c r="C165" i="16" l="1"/>
  <c r="F184" i="16" s="1"/>
  <c r="F187" i="16" s="1"/>
  <c r="J18" i="15"/>
  <c r="C76" i="15" s="1"/>
  <c r="J54" i="15"/>
  <c r="G76" i="15" s="1"/>
  <c r="J68" i="15"/>
  <c r="K76" i="15" s="1"/>
  <c r="K75" i="15"/>
  <c r="G20" i="15"/>
  <c r="I38" i="13"/>
  <c r="J38" i="13" s="1"/>
  <c r="I39" i="13"/>
  <c r="J39" i="13" s="1"/>
  <c r="I40" i="13"/>
  <c r="J40" i="13" s="1"/>
  <c r="I41" i="13"/>
  <c r="J41" i="13" s="1"/>
  <c r="I42" i="13"/>
  <c r="J42" i="13" s="1"/>
  <c r="I43" i="13"/>
  <c r="J43" i="13" s="1"/>
  <c r="I44" i="13"/>
  <c r="J44" i="13" s="1"/>
  <c r="I45" i="13"/>
  <c r="J45" i="13" s="1"/>
  <c r="I46" i="13"/>
  <c r="J46" i="13" s="1"/>
  <c r="I47" i="13"/>
  <c r="J47" i="13" s="1"/>
  <c r="I48" i="13"/>
  <c r="J48" i="13" s="1"/>
  <c r="I49" i="13"/>
  <c r="J49" i="13" s="1"/>
  <c r="I50" i="13"/>
  <c r="J50" i="13" s="1"/>
  <c r="I51" i="13"/>
  <c r="J51" i="13" s="1"/>
  <c r="I52" i="13"/>
  <c r="J52" i="13" s="1"/>
  <c r="I53" i="13"/>
  <c r="J53" i="13" s="1"/>
  <c r="I54" i="13"/>
  <c r="J54" i="13" s="1"/>
  <c r="I55" i="13"/>
  <c r="J55" i="13" s="1"/>
  <c r="I56" i="13"/>
  <c r="J56" i="13" s="1"/>
  <c r="I57" i="13"/>
  <c r="J57" i="13" s="1"/>
  <c r="I58" i="13"/>
  <c r="J58" i="13" s="1"/>
  <c r="I59" i="13"/>
  <c r="J59" i="13" s="1"/>
  <c r="I60" i="13"/>
  <c r="J60" i="13" s="1"/>
  <c r="I61" i="13"/>
  <c r="J61" i="13" s="1"/>
  <c r="I62" i="13"/>
  <c r="J62" i="13" s="1"/>
  <c r="I63" i="13"/>
  <c r="J63" i="13" s="1"/>
  <c r="I64" i="13"/>
  <c r="J64" i="13" s="1"/>
  <c r="I65" i="13"/>
  <c r="J65" i="13" s="1"/>
  <c r="I66" i="13"/>
  <c r="J66" i="13" s="1"/>
  <c r="I67" i="13"/>
  <c r="J67" i="13" s="1"/>
  <c r="I68" i="13"/>
  <c r="J68" i="13" s="1"/>
  <c r="I69" i="13"/>
  <c r="J69" i="13" s="1"/>
  <c r="I70" i="13"/>
  <c r="J70" i="13" s="1"/>
  <c r="I71" i="13"/>
  <c r="J71" i="13" s="1"/>
  <c r="I72" i="13"/>
  <c r="J72" i="13" s="1"/>
  <c r="I73" i="13"/>
  <c r="J73" i="13" s="1"/>
  <c r="I74" i="13"/>
  <c r="J74" i="13" s="1"/>
  <c r="I75" i="13"/>
  <c r="J75" i="13" s="1"/>
  <c r="I76" i="13"/>
  <c r="J76" i="13" s="1"/>
  <c r="I77" i="13"/>
  <c r="J77" i="13" s="1"/>
  <c r="I78" i="13"/>
  <c r="J78" i="13" s="1"/>
  <c r="I79" i="13"/>
  <c r="J79" i="13" s="1"/>
  <c r="I80" i="13"/>
  <c r="J80" i="13" s="1"/>
  <c r="I81" i="13"/>
  <c r="J81" i="13" s="1"/>
  <c r="I82" i="13"/>
  <c r="J82" i="13" s="1"/>
  <c r="I83" i="13"/>
  <c r="J83" i="13" s="1"/>
  <c r="I84" i="13"/>
  <c r="J84" i="13" s="1"/>
  <c r="I85" i="13"/>
  <c r="J85" i="13" s="1"/>
  <c r="I86" i="13"/>
  <c r="J86" i="13" s="1"/>
  <c r="I87" i="13"/>
  <c r="J87" i="13" s="1"/>
  <c r="I88" i="13"/>
  <c r="J88" i="13" s="1"/>
  <c r="I89" i="13"/>
  <c r="J89" i="13" s="1"/>
  <c r="I90" i="13"/>
  <c r="J90" i="13" s="1"/>
  <c r="I91" i="13"/>
  <c r="J91" i="13" s="1"/>
  <c r="I92" i="13"/>
  <c r="J92" i="13" s="1"/>
  <c r="I93" i="13"/>
  <c r="J93" i="13" s="1"/>
  <c r="I94" i="13"/>
  <c r="J94" i="13" s="1"/>
  <c r="I95" i="13"/>
  <c r="J95" i="13" s="1"/>
  <c r="I96" i="13"/>
  <c r="J96" i="13" s="1"/>
  <c r="I97" i="13"/>
  <c r="J97" i="13" s="1"/>
  <c r="I98" i="13"/>
  <c r="J98" i="13" s="1"/>
  <c r="I99" i="13"/>
  <c r="J99" i="13" s="1"/>
  <c r="I100" i="13"/>
  <c r="J100" i="13" s="1"/>
  <c r="I101" i="13"/>
  <c r="J101" i="13" s="1"/>
  <c r="I102" i="13"/>
  <c r="J102" i="13" s="1"/>
  <c r="I103" i="13"/>
  <c r="J103" i="13" s="1"/>
  <c r="I104" i="13"/>
  <c r="J104" i="13" s="1"/>
  <c r="I105" i="13"/>
  <c r="J105" i="13" s="1"/>
  <c r="I106" i="13"/>
  <c r="J106" i="13" s="1"/>
  <c r="I107" i="13"/>
  <c r="J107" i="13" s="1"/>
  <c r="I108" i="13"/>
  <c r="J108" i="13" s="1"/>
  <c r="I109" i="13"/>
  <c r="J109" i="13" s="1"/>
  <c r="I110" i="13"/>
  <c r="J110" i="13" s="1"/>
  <c r="I111" i="13"/>
  <c r="J111" i="13" s="1"/>
  <c r="I112" i="13"/>
  <c r="J112" i="13" s="1"/>
  <c r="I113" i="13"/>
  <c r="J113" i="13" s="1"/>
  <c r="I114" i="13"/>
  <c r="J114" i="13" s="1"/>
  <c r="I115" i="13"/>
  <c r="J115" i="13" s="1"/>
  <c r="I116" i="13"/>
  <c r="J116" i="13" s="1"/>
  <c r="I117" i="13"/>
  <c r="J117" i="13" s="1"/>
  <c r="I118" i="13"/>
  <c r="J118" i="13" s="1"/>
  <c r="I119" i="13"/>
  <c r="J119" i="13" s="1"/>
  <c r="I120" i="13"/>
  <c r="J120" i="13" s="1"/>
  <c r="I121" i="13"/>
  <c r="J121" i="13" s="1"/>
  <c r="I122" i="13"/>
  <c r="J122" i="13" s="1"/>
  <c r="I123" i="13"/>
  <c r="J123" i="13" s="1"/>
  <c r="I124" i="13"/>
  <c r="J124" i="13" s="1"/>
  <c r="I125" i="13"/>
  <c r="J125" i="13" s="1"/>
  <c r="I126" i="13"/>
  <c r="J126" i="13" s="1"/>
  <c r="I127" i="13"/>
  <c r="J127" i="13" s="1"/>
  <c r="I128" i="13"/>
  <c r="J128" i="13" s="1"/>
  <c r="I129" i="13"/>
  <c r="J129" i="13" s="1"/>
  <c r="I37" i="13"/>
  <c r="J37" i="13" s="1"/>
  <c r="J4" i="14"/>
  <c r="J33" i="14"/>
  <c r="C165" i="13"/>
  <c r="C161" i="14"/>
  <c r="G160" i="14"/>
  <c r="C159" i="14"/>
  <c r="G151" i="14"/>
  <c r="G147" i="14"/>
  <c r="I145" i="14"/>
  <c r="H145" i="14"/>
  <c r="J142" i="14"/>
  <c r="J141" i="14"/>
  <c r="J140" i="14"/>
  <c r="J139" i="14"/>
  <c r="J138" i="14"/>
  <c r="J137" i="14"/>
  <c r="J125" i="14"/>
  <c r="J121" i="14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J98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C151" i="14"/>
  <c r="I28" i="14"/>
  <c r="H28" i="14"/>
  <c r="G28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G123" i="12"/>
  <c r="G149" i="12" s="1"/>
  <c r="C138" i="12"/>
  <c r="G137" i="12"/>
  <c r="J24" i="12"/>
  <c r="J26" i="12"/>
  <c r="J25" i="12"/>
  <c r="J100" i="12"/>
  <c r="J99" i="12"/>
  <c r="J98" i="12"/>
  <c r="J97" i="12"/>
  <c r="J103" i="12"/>
  <c r="J102" i="12"/>
  <c r="J101" i="12"/>
  <c r="J147" i="12"/>
  <c r="J107" i="11"/>
  <c r="I109" i="12"/>
  <c r="I110" i="12"/>
  <c r="I111" i="12"/>
  <c r="I112" i="12"/>
  <c r="I10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J75" i="12" s="1"/>
  <c r="I76" i="12"/>
  <c r="J76" i="12" s="1"/>
  <c r="I77" i="12"/>
  <c r="J77" i="12" s="1"/>
  <c r="I78" i="12"/>
  <c r="J78" i="12" s="1"/>
  <c r="I79" i="12"/>
  <c r="J79" i="12" s="1"/>
  <c r="I80" i="12"/>
  <c r="J80" i="12" s="1"/>
  <c r="I81" i="12"/>
  <c r="J81" i="12" s="1"/>
  <c r="I82" i="12"/>
  <c r="J82" i="12" s="1"/>
  <c r="I83" i="12"/>
  <c r="J83" i="12" s="1"/>
  <c r="I84" i="12"/>
  <c r="I85" i="12"/>
  <c r="J85" i="12" s="1"/>
  <c r="I86" i="12"/>
  <c r="J86" i="12" s="1"/>
  <c r="I87" i="12"/>
  <c r="J87" i="12" s="1"/>
  <c r="I88" i="12"/>
  <c r="J88" i="12" s="1"/>
  <c r="I89" i="12"/>
  <c r="J89" i="12" s="1"/>
  <c r="I90" i="12"/>
  <c r="J90" i="12" s="1"/>
  <c r="I91" i="12"/>
  <c r="J91" i="12" s="1"/>
  <c r="I92" i="12"/>
  <c r="J92" i="12" s="1"/>
  <c r="I93" i="12"/>
  <c r="J93" i="12" s="1"/>
  <c r="I94" i="12"/>
  <c r="J94" i="12" s="1"/>
  <c r="I95" i="12"/>
  <c r="J95" i="12" s="1"/>
  <c r="I96" i="12"/>
  <c r="I38" i="12"/>
  <c r="G64" i="11"/>
  <c r="G31" i="11"/>
  <c r="G83" i="11"/>
  <c r="G82" i="11"/>
  <c r="G81" i="11"/>
  <c r="G65" i="11"/>
  <c r="J96" i="12"/>
  <c r="J30" i="11"/>
  <c r="G174" i="13"/>
  <c r="C173" i="13"/>
  <c r="G165" i="13"/>
  <c r="I159" i="13"/>
  <c r="H159" i="13"/>
  <c r="G159" i="13"/>
  <c r="J155" i="13"/>
  <c r="J154" i="13"/>
  <c r="J153" i="13"/>
  <c r="J152" i="13"/>
  <c r="J151" i="13"/>
  <c r="J150" i="13"/>
  <c r="J149" i="13"/>
  <c r="J148" i="13"/>
  <c r="J147" i="13"/>
  <c r="H143" i="13"/>
  <c r="G143" i="13"/>
  <c r="I32" i="13"/>
  <c r="H32" i="13"/>
  <c r="G32" i="13"/>
  <c r="J28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J84" i="12"/>
  <c r="C75" i="15" l="1"/>
  <c r="G95" i="15"/>
  <c r="G98" i="15" s="1"/>
  <c r="F118" i="15"/>
  <c r="J28" i="14"/>
  <c r="K152" i="14"/>
  <c r="G173" i="14"/>
  <c r="J133" i="14"/>
  <c r="G153" i="14" s="1"/>
  <c r="J145" i="14"/>
  <c r="K166" i="13"/>
  <c r="G187" i="13"/>
  <c r="I143" i="13"/>
  <c r="K153" i="14"/>
  <c r="C153" i="14"/>
  <c r="C160" i="14" s="1"/>
  <c r="G30" i="14"/>
  <c r="K151" i="14"/>
  <c r="K165" i="13"/>
  <c r="J143" i="13"/>
  <c r="C167" i="13"/>
  <c r="J159" i="13"/>
  <c r="K167" i="13" s="1"/>
  <c r="G109" i="11"/>
  <c r="C98" i="11"/>
  <c r="G32" i="11"/>
  <c r="G108" i="11" s="1"/>
  <c r="I30" i="11"/>
  <c r="J18" i="11"/>
  <c r="J17" i="11"/>
  <c r="J51" i="11"/>
  <c r="J49" i="11"/>
  <c r="J50" i="11"/>
  <c r="J53" i="11"/>
  <c r="J52" i="11"/>
  <c r="J20" i="11"/>
  <c r="J19" i="11"/>
  <c r="C97" i="11"/>
  <c r="I81" i="11"/>
  <c r="H81" i="11"/>
  <c r="G97" i="11"/>
  <c r="I64" i="11"/>
  <c r="H64" i="11"/>
  <c r="H30" i="11"/>
  <c r="J25" i="10"/>
  <c r="G32" i="10"/>
  <c r="J31" i="10"/>
  <c r="C96" i="10" s="1"/>
  <c r="C103" i="10" s="1"/>
  <c r="C104" i="10"/>
  <c r="G72" i="10"/>
  <c r="G31" i="10"/>
  <c r="I31" i="10"/>
  <c r="H31" i="10"/>
  <c r="J69" i="11"/>
  <c r="J48" i="11"/>
  <c r="J26" i="5"/>
  <c r="C89" i="5"/>
  <c r="J114" i="10"/>
  <c r="J73" i="12"/>
  <c r="J74" i="12"/>
  <c r="F121" i="15" l="1"/>
  <c r="C152" i="14"/>
  <c r="G172" i="14"/>
  <c r="G175" i="14" s="1"/>
  <c r="F182" i="14" s="1"/>
  <c r="C174" i="13"/>
  <c r="C166" i="13"/>
  <c r="G186" i="13"/>
  <c r="G111" i="11"/>
  <c r="J15" i="11"/>
  <c r="G136" i="12"/>
  <c r="C135" i="12"/>
  <c r="K128" i="12"/>
  <c r="K127" i="12"/>
  <c r="G127" i="12"/>
  <c r="C127" i="12"/>
  <c r="I121" i="12"/>
  <c r="H121" i="12"/>
  <c r="G121" i="12"/>
  <c r="J117" i="12"/>
  <c r="J116" i="12"/>
  <c r="J115" i="12"/>
  <c r="J114" i="12"/>
  <c r="J113" i="12"/>
  <c r="J112" i="12"/>
  <c r="J111" i="12"/>
  <c r="J110" i="12"/>
  <c r="J109" i="12"/>
  <c r="J108" i="12"/>
  <c r="I104" i="12"/>
  <c r="H104" i="12"/>
  <c r="G104" i="12"/>
  <c r="J72" i="12"/>
  <c r="J71" i="12"/>
  <c r="J70" i="12"/>
  <c r="J69" i="12"/>
  <c r="J68" i="12"/>
  <c r="J67" i="12"/>
  <c r="J66" i="12"/>
  <c r="J65" i="12"/>
  <c r="J64" i="12"/>
  <c r="J63" i="12"/>
  <c r="J62" i="12"/>
  <c r="J61" i="12"/>
  <c r="J60" i="12"/>
  <c r="J59" i="12"/>
  <c r="J58" i="12"/>
  <c r="J57" i="12"/>
  <c r="J56" i="12"/>
  <c r="J55" i="12"/>
  <c r="J54" i="12"/>
  <c r="J53" i="12"/>
  <c r="J52" i="12"/>
  <c r="J51" i="12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I33" i="12"/>
  <c r="H33" i="12"/>
  <c r="J29" i="12"/>
  <c r="J28" i="12"/>
  <c r="J27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4" i="12"/>
  <c r="G104" i="10"/>
  <c r="G33" i="10"/>
  <c r="G115" i="10" s="1"/>
  <c r="J65" i="10"/>
  <c r="J23" i="10"/>
  <c r="G101" i="5"/>
  <c r="E107" i="4"/>
  <c r="G25" i="2"/>
  <c r="J25" i="2"/>
  <c r="E108" i="3"/>
  <c r="G56" i="2"/>
  <c r="C85" i="2"/>
  <c r="G26" i="2"/>
  <c r="G33" i="9"/>
  <c r="G96" i="11"/>
  <c r="C95" i="11"/>
  <c r="K88" i="11"/>
  <c r="G87" i="11"/>
  <c r="K87" i="11"/>
  <c r="J77" i="11"/>
  <c r="J76" i="11"/>
  <c r="J75" i="11"/>
  <c r="J74" i="11"/>
  <c r="J73" i="11"/>
  <c r="J72" i="11"/>
  <c r="J71" i="11"/>
  <c r="J70" i="11"/>
  <c r="J68" i="11"/>
  <c r="J81" i="11" s="1"/>
  <c r="J63" i="11"/>
  <c r="J62" i="11"/>
  <c r="J61" i="11"/>
  <c r="J60" i="11"/>
  <c r="J59" i="11"/>
  <c r="J58" i="11"/>
  <c r="J57" i="11"/>
  <c r="J56" i="11"/>
  <c r="J55" i="11"/>
  <c r="J54" i="11"/>
  <c r="J47" i="11"/>
  <c r="J46" i="11"/>
  <c r="J45" i="11"/>
  <c r="J44" i="11"/>
  <c r="J43" i="11"/>
  <c r="J42" i="11"/>
  <c r="J41" i="11"/>
  <c r="J40" i="11"/>
  <c r="J39" i="11"/>
  <c r="J38" i="11"/>
  <c r="J37" i="11"/>
  <c r="J36" i="11"/>
  <c r="J35" i="11"/>
  <c r="C87" i="11"/>
  <c r="G30" i="11"/>
  <c r="J26" i="11"/>
  <c r="J25" i="11"/>
  <c r="J24" i="11"/>
  <c r="J23" i="11"/>
  <c r="J22" i="11"/>
  <c r="J21" i="11"/>
  <c r="J16" i="11"/>
  <c r="J14" i="11"/>
  <c r="J13" i="11"/>
  <c r="J12" i="11"/>
  <c r="J11" i="11"/>
  <c r="J10" i="11"/>
  <c r="J9" i="11"/>
  <c r="J8" i="11"/>
  <c r="J7" i="11"/>
  <c r="J6" i="11"/>
  <c r="J5" i="11"/>
  <c r="J4" i="11"/>
  <c r="G125" i="9"/>
  <c r="G97" i="9"/>
  <c r="G98" i="9" s="1"/>
  <c r="J77" i="9"/>
  <c r="J76" i="9"/>
  <c r="J75" i="9"/>
  <c r="J74" i="9"/>
  <c r="J30" i="9"/>
  <c r="J29" i="9"/>
  <c r="H80" i="9"/>
  <c r="G80" i="9"/>
  <c r="J123" i="9"/>
  <c r="G96" i="9"/>
  <c r="H96" i="9"/>
  <c r="I96" i="9"/>
  <c r="I80" i="9"/>
  <c r="G32" i="9"/>
  <c r="H32" i="9"/>
  <c r="I32" i="9"/>
  <c r="G71" i="10"/>
  <c r="H71" i="10"/>
  <c r="I71" i="10"/>
  <c r="J99" i="5"/>
  <c r="F185" i="14" l="1"/>
  <c r="C128" i="12"/>
  <c r="G148" i="12"/>
  <c r="J64" i="11"/>
  <c r="C89" i="11"/>
  <c r="K89" i="11"/>
  <c r="G129" i="12"/>
  <c r="C129" i="12"/>
  <c r="K129" i="12"/>
  <c r="C139" i="12" s="1"/>
  <c r="G89" i="11"/>
  <c r="C88" i="11"/>
  <c r="G27" i="5"/>
  <c r="G34" i="9"/>
  <c r="C103" i="9" s="1"/>
  <c r="G124" i="9" s="1"/>
  <c r="G127" i="9" s="1"/>
  <c r="J84" i="10"/>
  <c r="J83" i="10"/>
  <c r="J82" i="10"/>
  <c r="J81" i="10"/>
  <c r="J80" i="10"/>
  <c r="J79" i="10"/>
  <c r="J78" i="10"/>
  <c r="J77" i="10"/>
  <c r="J76" i="10"/>
  <c r="J75" i="10"/>
  <c r="J70" i="10"/>
  <c r="J69" i="10"/>
  <c r="J68" i="10"/>
  <c r="J67" i="10"/>
  <c r="J66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27" i="10"/>
  <c r="J26" i="10"/>
  <c r="J24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G103" i="10"/>
  <c r="C102" i="10"/>
  <c r="K95" i="10"/>
  <c r="G94" i="10"/>
  <c r="K94" i="10"/>
  <c r="I88" i="10"/>
  <c r="H88" i="10"/>
  <c r="G88" i="10"/>
  <c r="C94" i="10"/>
  <c r="C96" i="11" l="1"/>
  <c r="C99" i="11" s="1"/>
  <c r="F118" i="11" s="1"/>
  <c r="F161" i="12"/>
  <c r="J88" i="10"/>
  <c r="K96" i="10" s="1"/>
  <c r="J71" i="10"/>
  <c r="G96" i="10" s="1"/>
  <c r="C102" i="9"/>
  <c r="K102" i="9"/>
  <c r="J92" i="9"/>
  <c r="J72" i="9"/>
  <c r="J71" i="9"/>
  <c r="J70" i="9"/>
  <c r="J69" i="9"/>
  <c r="J68" i="9"/>
  <c r="J67" i="9"/>
  <c r="J66" i="9"/>
  <c r="J65" i="9"/>
  <c r="J26" i="9"/>
  <c r="J25" i="9"/>
  <c r="J24" i="9"/>
  <c r="J23" i="9"/>
  <c r="J62" i="9"/>
  <c r="J61" i="9"/>
  <c r="J60" i="9"/>
  <c r="J72" i="5"/>
  <c r="I72" i="5"/>
  <c r="H72" i="5"/>
  <c r="G72" i="5"/>
  <c r="G58" i="5"/>
  <c r="H58" i="5"/>
  <c r="I58" i="5"/>
  <c r="J58" i="5"/>
  <c r="J19" i="5"/>
  <c r="J24" i="5"/>
  <c r="G26" i="5"/>
  <c r="H26" i="5"/>
  <c r="I26" i="5"/>
  <c r="G27" i="4"/>
  <c r="C88" i="3"/>
  <c r="G29" i="3"/>
  <c r="C106" i="10" l="1"/>
  <c r="F125" i="10" s="1"/>
  <c r="G118" i="10"/>
  <c r="C95" i="10"/>
  <c r="G59" i="3"/>
  <c r="G28" i="5"/>
  <c r="G98" i="5" s="1"/>
  <c r="J50" i="5"/>
  <c r="G28" i="4"/>
  <c r="G97" i="4" s="1"/>
  <c r="G100" i="4" s="1"/>
  <c r="C112" i="9"/>
  <c r="G111" i="9"/>
  <c r="C110" i="9"/>
  <c r="K103" i="9"/>
  <c r="G102" i="9"/>
  <c r="J91" i="9"/>
  <c r="J90" i="9"/>
  <c r="J89" i="9"/>
  <c r="J88" i="9"/>
  <c r="J87" i="9"/>
  <c r="J86" i="9"/>
  <c r="J85" i="9"/>
  <c r="J84" i="9"/>
  <c r="J73" i="9"/>
  <c r="J64" i="9"/>
  <c r="J63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28" i="9"/>
  <c r="J27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4" i="2"/>
  <c r="J71" i="4"/>
  <c r="G71" i="4"/>
  <c r="G72" i="4"/>
  <c r="G73" i="4"/>
  <c r="J70" i="4"/>
  <c r="J69" i="4"/>
  <c r="J68" i="4"/>
  <c r="J66" i="4"/>
  <c r="J65" i="4"/>
  <c r="J64" i="4"/>
  <c r="G99" i="5"/>
  <c r="G87" i="5"/>
  <c r="C88" i="5"/>
  <c r="C86" i="5"/>
  <c r="G87" i="4"/>
  <c r="G98" i="4"/>
  <c r="G86" i="4"/>
  <c r="G61" i="4"/>
  <c r="J58" i="4"/>
  <c r="J57" i="4"/>
  <c r="J56" i="4"/>
  <c r="G101" i="3"/>
  <c r="C80" i="3"/>
  <c r="C89" i="3"/>
  <c r="G73" i="3"/>
  <c r="G99" i="3"/>
  <c r="G98" i="3"/>
  <c r="G30" i="3"/>
  <c r="J80" i="9" l="1"/>
  <c r="G104" i="9" s="1"/>
  <c r="J32" i="9"/>
  <c r="C104" i="9" s="1"/>
  <c r="J96" i="9"/>
  <c r="K104" i="9" s="1"/>
  <c r="F128" i="10"/>
  <c r="G60" i="3"/>
  <c r="G74" i="3"/>
  <c r="G88" i="3"/>
  <c r="C87" i="3"/>
  <c r="C86" i="3"/>
  <c r="C90" i="3" s="1"/>
  <c r="J44" i="3"/>
  <c r="J43" i="3"/>
  <c r="J42" i="3"/>
  <c r="J18" i="3"/>
  <c r="J17" i="3"/>
  <c r="G71" i="3"/>
  <c r="H71" i="3"/>
  <c r="I71" i="3"/>
  <c r="J71" i="3"/>
  <c r="I59" i="3"/>
  <c r="H59" i="3"/>
  <c r="J28" i="3"/>
  <c r="I28" i="3"/>
  <c r="H28" i="3"/>
  <c r="G28" i="3"/>
  <c r="H110" i="1"/>
  <c r="D99" i="1"/>
  <c r="K75" i="2"/>
  <c r="J17" i="2"/>
  <c r="J51" i="2"/>
  <c r="J50" i="2"/>
  <c r="G84" i="2"/>
  <c r="G27" i="2"/>
  <c r="J18" i="2"/>
  <c r="G57" i="2"/>
  <c r="G86" i="2" s="1"/>
  <c r="D96" i="1"/>
  <c r="K65" i="1"/>
  <c r="G69" i="2"/>
  <c r="G70" i="2" s="1"/>
  <c r="G97" i="2" s="1"/>
  <c r="K74" i="2" l="1"/>
  <c r="C111" i="9"/>
  <c r="C114" i="9" s="1"/>
  <c r="J59" i="3"/>
  <c r="G80" i="3" s="1"/>
  <c r="C75" i="2"/>
  <c r="G96" i="2"/>
  <c r="G98" i="2" s="1"/>
  <c r="G83" i="2"/>
  <c r="I56" i="2"/>
  <c r="H56" i="2"/>
  <c r="H25" i="2"/>
  <c r="I25" i="2"/>
  <c r="H30" i="1"/>
  <c r="J65" i="1"/>
  <c r="D98" i="1"/>
  <c r="G87" i="3"/>
  <c r="C78" i="3"/>
  <c r="G78" i="3"/>
  <c r="K78" i="3"/>
  <c r="C79" i="3"/>
  <c r="K79" i="3"/>
  <c r="K80" i="3"/>
  <c r="J70" i="3"/>
  <c r="J69" i="3"/>
  <c r="J67" i="3"/>
  <c r="J66" i="3"/>
  <c r="J65" i="3"/>
  <c r="J64" i="3"/>
  <c r="J63" i="3"/>
  <c r="C79" i="5"/>
  <c r="C78" i="5"/>
  <c r="J71" i="5"/>
  <c r="J70" i="5"/>
  <c r="J69" i="5"/>
  <c r="J68" i="5"/>
  <c r="J66" i="5"/>
  <c r="J65" i="5"/>
  <c r="J64" i="5"/>
  <c r="J63" i="5"/>
  <c r="J62" i="5"/>
  <c r="J98" i="4"/>
  <c r="C87" i="4" s="1"/>
  <c r="J99" i="3"/>
  <c r="K79" i="5"/>
  <c r="K78" i="5"/>
  <c r="G78" i="5"/>
  <c r="J67" i="5"/>
  <c r="G59" i="5"/>
  <c r="J57" i="5"/>
  <c r="J56" i="5"/>
  <c r="J55" i="5"/>
  <c r="J54" i="5"/>
  <c r="J53" i="5"/>
  <c r="J52" i="5"/>
  <c r="J51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25" i="5"/>
  <c r="J23" i="5"/>
  <c r="J22" i="5"/>
  <c r="J21" i="5"/>
  <c r="J20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C77" i="4"/>
  <c r="G60" i="4"/>
  <c r="H60" i="4"/>
  <c r="I60" i="4"/>
  <c r="H66" i="1"/>
  <c r="H97" i="1"/>
  <c r="H65" i="1"/>
  <c r="H28" i="1"/>
  <c r="H29" i="1"/>
  <c r="L87" i="1"/>
  <c r="L89" i="1"/>
  <c r="D89" i="1"/>
  <c r="D88" i="1"/>
  <c r="H82" i="1"/>
  <c r="K79" i="1"/>
  <c r="K28" i="1"/>
  <c r="G26" i="4"/>
  <c r="J13" i="4"/>
  <c r="J12" i="4"/>
  <c r="J11" i="4"/>
  <c r="J10" i="4"/>
  <c r="J9" i="4"/>
  <c r="J8" i="4"/>
  <c r="J7" i="4"/>
  <c r="J6" i="4"/>
  <c r="J5" i="4"/>
  <c r="J97" i="2"/>
  <c r="C84" i="2" s="1"/>
  <c r="J4" i="4"/>
  <c r="F134" i="9" l="1"/>
  <c r="F137" i="9" s="1"/>
  <c r="G80" i="5"/>
  <c r="K80" i="5"/>
  <c r="C80" i="5"/>
  <c r="C87" i="5" s="1"/>
  <c r="C90" i="5" s="1"/>
  <c r="F108" i="5" s="1"/>
  <c r="C85" i="4"/>
  <c r="K78" i="4"/>
  <c r="K77" i="4"/>
  <c r="G77" i="4"/>
  <c r="I71" i="4"/>
  <c r="H71" i="4"/>
  <c r="J67" i="4"/>
  <c r="J59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I26" i="4"/>
  <c r="H26" i="4"/>
  <c r="J25" i="4"/>
  <c r="J24" i="4"/>
  <c r="J23" i="4"/>
  <c r="J22" i="4"/>
  <c r="J21" i="4"/>
  <c r="J20" i="4"/>
  <c r="J19" i="4"/>
  <c r="J18" i="4"/>
  <c r="J17" i="4"/>
  <c r="J16" i="4"/>
  <c r="J15" i="4"/>
  <c r="J14" i="4"/>
  <c r="J68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1" i="3"/>
  <c r="J40" i="3"/>
  <c r="J39" i="3"/>
  <c r="J38" i="3"/>
  <c r="J37" i="3"/>
  <c r="J36" i="3"/>
  <c r="J35" i="3"/>
  <c r="J34" i="3"/>
  <c r="J33" i="3"/>
  <c r="J27" i="3"/>
  <c r="J26" i="3"/>
  <c r="J25" i="3"/>
  <c r="J24" i="3"/>
  <c r="J23" i="3"/>
  <c r="J22" i="3"/>
  <c r="J21" i="3"/>
  <c r="J20" i="3"/>
  <c r="J19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F111" i="5" l="1"/>
  <c r="J60" i="4"/>
  <c r="G79" i="4" s="1"/>
  <c r="J26" i="4"/>
  <c r="C79" i="4" s="1"/>
  <c r="K79" i="4"/>
  <c r="C78" i="4"/>
  <c r="C86" i="4" l="1"/>
  <c r="C89" i="4" s="1"/>
  <c r="C82" i="2"/>
  <c r="P105" i="1"/>
  <c r="D97" i="1" s="1"/>
  <c r="D95" i="1"/>
  <c r="H87" i="1"/>
  <c r="H83" i="1"/>
  <c r="J79" i="1"/>
  <c r="I79" i="1"/>
  <c r="H79" i="1"/>
  <c r="K76" i="1"/>
  <c r="K75" i="1"/>
  <c r="K74" i="1"/>
  <c r="K73" i="1"/>
  <c r="K72" i="1"/>
  <c r="K71" i="1"/>
  <c r="K70" i="1"/>
  <c r="K69" i="1"/>
  <c r="I65" i="1"/>
  <c r="K64" i="1"/>
  <c r="K63" i="1"/>
  <c r="K62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H96" i="1"/>
  <c r="J28" i="1"/>
  <c r="I28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H107" i="1" l="1"/>
  <c r="D87" i="1"/>
  <c r="H89" i="1"/>
  <c r="H108" i="1"/>
  <c r="L88" i="1"/>
  <c r="G117" i="1" l="1"/>
  <c r="G120" i="1" s="1"/>
  <c r="G74" i="2"/>
  <c r="I68" i="2"/>
  <c r="H68" i="2"/>
  <c r="G68" i="2"/>
  <c r="J67" i="2"/>
  <c r="J66" i="2"/>
  <c r="J65" i="2"/>
  <c r="J64" i="2"/>
  <c r="J63" i="2"/>
  <c r="J62" i="2"/>
  <c r="J61" i="2"/>
  <c r="J60" i="2"/>
  <c r="J55" i="2"/>
  <c r="J54" i="2"/>
  <c r="J53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56" i="2" s="1"/>
  <c r="C74" i="2"/>
  <c r="J24" i="2"/>
  <c r="J23" i="2"/>
  <c r="J22" i="2"/>
  <c r="J21" i="2"/>
  <c r="J20" i="2"/>
  <c r="J19" i="2"/>
  <c r="J16" i="2"/>
  <c r="J15" i="2"/>
  <c r="J14" i="2"/>
  <c r="J13" i="2"/>
  <c r="J12" i="2"/>
  <c r="J11" i="2"/>
  <c r="J10" i="2"/>
  <c r="J9" i="2"/>
  <c r="J8" i="2"/>
  <c r="J7" i="2"/>
  <c r="J6" i="2"/>
  <c r="J5" i="2"/>
  <c r="C76" i="2" l="1"/>
  <c r="G76" i="2"/>
  <c r="J68" i="2"/>
  <c r="K76" i="2" s="1"/>
  <c r="C83" i="2" l="1"/>
  <c r="C86" i="2" s="1"/>
  <c r="E104" i="2" s="1"/>
  <c r="F121" i="11"/>
</calcChain>
</file>

<file path=xl/sharedStrings.xml><?xml version="1.0" encoding="utf-8"?>
<sst xmlns="http://schemas.openxmlformats.org/spreadsheetml/2006/main" count="4544" uniqueCount="1387">
  <si>
    <t>ÖNCEKİ AYDAN DEVREDEN BAKİYE</t>
  </si>
  <si>
    <t xml:space="preserve">SİGORTALI </t>
  </si>
  <si>
    <t xml:space="preserve">POL. NO. </t>
  </si>
  <si>
    <t xml:space="preserve">TARİH </t>
  </si>
  <si>
    <t>PLAKA</t>
  </si>
  <si>
    <t>ÖDEME TÜRÜ</t>
  </si>
  <si>
    <t>KART SAHİBİ</t>
  </si>
  <si>
    <t xml:space="preserve"> BRÜT PRİM </t>
  </si>
  <si>
    <t xml:space="preserve"> NET PRİM </t>
  </si>
  <si>
    <t xml:space="preserve"> TOPLAM KOMİSYON</t>
  </si>
  <si>
    <t xml:space="preserve"> ÖDENEN KOMİSYON</t>
  </si>
  <si>
    <t>ORAN</t>
  </si>
  <si>
    <t>-</t>
  </si>
  <si>
    <t>TOPLAM</t>
  </si>
  <si>
    <t>AÇIK TOPLAMI</t>
  </si>
  <si>
    <t>ALINAN KASKO TAKSİTLER TOPLAMI</t>
  </si>
  <si>
    <t>TRAFİK</t>
  </si>
  <si>
    <t>İŞYERİ/KONUT/DİĞER</t>
  </si>
  <si>
    <t>ALINAN DİĞER AÇIK TAKSİTLER TOPLAMI</t>
  </si>
  <si>
    <t>KASKO AÇIK TOPLAMI</t>
  </si>
  <si>
    <t>TRAFİK AÇIK TOPLAMI</t>
  </si>
  <si>
    <t>İŞYERİ/KONUT/DİĞER AÇIK TOPLM</t>
  </si>
  <si>
    <t>ALINAN TAKSİTLER TOPLAMI</t>
  </si>
  <si>
    <t>ALINAN DİĞER TAKSİTLER TOPLAMI</t>
  </si>
  <si>
    <t>YAŞAR KASKO KOMİSYON</t>
  </si>
  <si>
    <t>YAŞAR TRAFİK KOMİSYON</t>
  </si>
  <si>
    <t>YAŞAR DİĞER KOMİSYON</t>
  </si>
  <si>
    <t>YAŞAR TRAFİK HESAP AYRINTISI</t>
  </si>
  <si>
    <t>NİHAT DİŞLİOĞLU HESAP AYRINTISI</t>
  </si>
  <si>
    <t>ÖNCEKİ AYDAN DEVREDEN ALACAK BAK.</t>
  </si>
  <si>
    <t>ÖNCEKİ AYDAN DEVREDEN ALACAK BAKİYESİ</t>
  </si>
  <si>
    <t>Y.KÜÇÜK'E ÖDENEN TOPLAM KOMSYN</t>
  </si>
  <si>
    <t>AXA AÇIK KASKO ALACAK</t>
  </si>
  <si>
    <t>AXA AÇIK TRAFİK ALACAK</t>
  </si>
  <si>
    <t>AXA AÇIK DİĞER ALACAK</t>
  </si>
  <si>
    <t>BAKİYE</t>
  </si>
  <si>
    <t>OCAK 2025 YILI HESAP ÖZETİ</t>
  </si>
  <si>
    <t>YASİN ANIL KIRAN</t>
  </si>
  <si>
    <t>K.KART</t>
  </si>
  <si>
    <t>SONGÜL ULUCA ALTAY</t>
  </si>
  <si>
    <t>34FJU519</t>
  </si>
  <si>
    <t>AÇIK</t>
  </si>
  <si>
    <t>GÖKMEN TANRIKULU</t>
  </si>
  <si>
    <t>34YK</t>
  </si>
  <si>
    <t>EMİN MERİÇ ŞEKER</t>
  </si>
  <si>
    <t>59ABA347</t>
  </si>
  <si>
    <t>ULUCA GRUP OTOMOTİV</t>
  </si>
  <si>
    <t>34CCV363</t>
  </si>
  <si>
    <t>AKENGİN ASLAN</t>
  </si>
  <si>
    <t>KAMİL ÖZTÜRK</t>
  </si>
  <si>
    <t>34PRC78</t>
  </si>
  <si>
    <t>POLAŞ OLUKLU MUKAVVA</t>
  </si>
  <si>
    <t>34CFP107</t>
  </si>
  <si>
    <t>ŞEVKİ GÜNDOĞDU</t>
  </si>
  <si>
    <t>34FA1160</t>
  </si>
  <si>
    <t>ŞEREFNUR ÇELEBİCAN</t>
  </si>
  <si>
    <t>34HVV651</t>
  </si>
  <si>
    <t>YAŞAR KÜÇÜK</t>
  </si>
  <si>
    <t>ŞEYDA GÜÇTEMUR</t>
  </si>
  <si>
    <t>34ATK336</t>
  </si>
  <si>
    <t>ATAKAN GÜÇTEMUR</t>
  </si>
  <si>
    <t>OĞUZ AYDOĞDU</t>
  </si>
  <si>
    <t>34EY9349</t>
  </si>
  <si>
    <t>SİNAN KILIÇ</t>
  </si>
  <si>
    <t>51HS034</t>
  </si>
  <si>
    <t>EYÜP ALKAN</t>
  </si>
  <si>
    <t>34HFA553</t>
  </si>
  <si>
    <t>İMDAT SÜMER</t>
  </si>
  <si>
    <t>53HN945</t>
  </si>
  <si>
    <t>DEMET SELDÜZ</t>
  </si>
  <si>
    <t>34PUS68</t>
  </si>
  <si>
    <t>EMİRHAN GÖKTÜRK</t>
  </si>
  <si>
    <t>34EUR153</t>
  </si>
  <si>
    <t>TUHANNA KONFEKSİYON</t>
  </si>
  <si>
    <t>ALİ BUDAK</t>
  </si>
  <si>
    <t>34PE5938</t>
  </si>
  <si>
    <t>ADEM DEMİRCİ</t>
  </si>
  <si>
    <t>34COC298</t>
  </si>
  <si>
    <t>FETTAH MUHAMMED ŞİŞANECİ</t>
  </si>
  <si>
    <t>34GET274</t>
  </si>
  <si>
    <t>SELİM AYDOĞDU</t>
  </si>
  <si>
    <t>53AE103</t>
  </si>
  <si>
    <t>NAZIM ŞEKER</t>
  </si>
  <si>
    <t>34HZE878</t>
  </si>
  <si>
    <t>AHMET AKBULAK</t>
  </si>
  <si>
    <t>42ALA312</t>
  </si>
  <si>
    <t>ÜRET ÇELİK SAN.LTD.ŞTİ</t>
  </si>
  <si>
    <t>34URT95</t>
  </si>
  <si>
    <t xml:space="preserve">TERHAN TOPALOĞLU </t>
  </si>
  <si>
    <t>34PGC55</t>
  </si>
  <si>
    <t>TERHAN TOPALOĞLU</t>
  </si>
  <si>
    <t>ORHAN BALCIOĞLU</t>
  </si>
  <si>
    <t>45,161,04</t>
  </si>
  <si>
    <t>ÖZEN ÇİFÇİ</t>
  </si>
  <si>
    <t>8.AY AÇIK  KSK. TAKSİTLERİ  6/6</t>
  </si>
  <si>
    <t>8.AY AÇIK İŞYERİ + KONUT TK. 6/6</t>
  </si>
  <si>
    <t>9.AY AÇIK  KSK. TAKSİTLERİ  6/5</t>
  </si>
  <si>
    <t>9.AY AÇIK İŞYERİ + KONUT TK. 6/5</t>
  </si>
  <si>
    <t>10.AY AÇIK  KSK. TAKSİTLERİ  6/4</t>
  </si>
  <si>
    <t>10.AY AÇIK İŞYERİ + KONUT TK. 6/4</t>
  </si>
  <si>
    <t>1.AY AÇIK  KSK. TAKSİTLERİ  6/1</t>
  </si>
  <si>
    <t>AHMET ULUCA</t>
  </si>
  <si>
    <t>ERDOĞAN BEKAR</t>
  </si>
  <si>
    <t>SERDAR ATSAN</t>
  </si>
  <si>
    <t xml:space="preserve">CARİ </t>
  </si>
  <si>
    <t>SELAHATTİN ERDOĞAN</t>
  </si>
  <si>
    <t>NESLİHAN CENGİZ</t>
  </si>
  <si>
    <t>FİRDEVS SUTAY</t>
  </si>
  <si>
    <t>AŞKIN KELEŞ</t>
  </si>
  <si>
    <t>Y KÜÇÜK CARİ ALACAKLAR</t>
  </si>
  <si>
    <t>ZEYNEL TURGUT</t>
  </si>
  <si>
    <t>34RZ6682</t>
  </si>
  <si>
    <t>SATIŞ İPTAL</t>
  </si>
  <si>
    <t>AHMET KARABULUT</t>
  </si>
  <si>
    <t>34RP5712</t>
  </si>
  <si>
    <t xml:space="preserve">POLAŞ OLUKLU </t>
  </si>
  <si>
    <t>42D6932</t>
  </si>
  <si>
    <t>MURAT AYDIN</t>
  </si>
  <si>
    <t>34NN0501</t>
  </si>
  <si>
    <t>HÜSEYİN YAŞAR AKYILDIZ</t>
  </si>
  <si>
    <t>59ACH723</t>
  </si>
  <si>
    <t>İSMAİL GÖKÇE</t>
  </si>
  <si>
    <t>34KKE855</t>
  </si>
  <si>
    <t>ARAÇ DEĞİŞİKLİĞİ</t>
  </si>
  <si>
    <t>34MRE355</t>
  </si>
  <si>
    <t>ERC KURUMSAL</t>
  </si>
  <si>
    <t>BEDEL ARTIŞI ZEYİLİ</t>
  </si>
  <si>
    <t>ARALIK 2024 YILI HESAP ÖZETİ</t>
  </si>
  <si>
    <t>SIRA</t>
  </si>
  <si>
    <t>CELAL GÜNLÜ</t>
  </si>
  <si>
    <t>34CNJ029</t>
  </si>
  <si>
    <t>MEHMET FATİH BOZKURT</t>
  </si>
  <si>
    <t>24BD472</t>
  </si>
  <si>
    <t>İSMAİL YILMAZ</t>
  </si>
  <si>
    <t>34BDT990</t>
  </si>
  <si>
    <t>SANKOT MAKİNE</t>
  </si>
  <si>
    <t>34ND7303</t>
  </si>
  <si>
    <t>ATIF KOCA</t>
  </si>
  <si>
    <t>34ATF177</t>
  </si>
  <si>
    <t>KADRİ BAHADIR</t>
  </si>
  <si>
    <t>34GAZ385</t>
  </si>
  <si>
    <t>YOSMA KOCA</t>
  </si>
  <si>
    <t>34LEJ74</t>
  </si>
  <si>
    <t>SERKAN DEMİR</t>
  </si>
  <si>
    <t>34MJA477</t>
  </si>
  <si>
    <t>RASİM SELDÜZ</t>
  </si>
  <si>
    <t>34GR2122</t>
  </si>
  <si>
    <t>RIFAT ŞATIROĞLU</t>
  </si>
  <si>
    <t>34BSJ941</t>
  </si>
  <si>
    <t>BAYRAM ÜNAL</t>
  </si>
  <si>
    <t>34GBJ642</t>
  </si>
  <si>
    <t>MİM TEKSTİL</t>
  </si>
  <si>
    <t>34GEE652</t>
  </si>
  <si>
    <t>HİLMİ ERENLER</t>
  </si>
  <si>
    <t>34ABL181</t>
  </si>
  <si>
    <t>FAHRİ ZENGİN</t>
  </si>
  <si>
    <t>34JL4143</t>
  </si>
  <si>
    <t>MUSA ÜNAL</t>
  </si>
  <si>
    <t>34BYK677</t>
  </si>
  <si>
    <t>SONGÜL ÖZİLHAN</t>
  </si>
  <si>
    <t>34YT8462</t>
  </si>
  <si>
    <t>BAHATTİN KELEK</t>
  </si>
  <si>
    <t>34UF2272</t>
  </si>
  <si>
    <t>FATİH İNAN</t>
  </si>
  <si>
    <t>34LY5894</t>
  </si>
  <si>
    <t>GÜZİDE İYİGÜN</t>
  </si>
  <si>
    <t>34BG6117</t>
  </si>
  <si>
    <t>BUD-KA TEKSTİL SAN</t>
  </si>
  <si>
    <t>34HVK787</t>
  </si>
  <si>
    <t>CESUR KIRAN</t>
  </si>
  <si>
    <t>34ANL052</t>
  </si>
  <si>
    <t>HAYRETTİN KAVAK</t>
  </si>
  <si>
    <t>34PER72</t>
  </si>
  <si>
    <t>GÜLŞAH GÜNAYDIN ŞORAY</t>
  </si>
  <si>
    <t>34TH0449</t>
  </si>
  <si>
    <t>GÜLÜNAZ YALÇIN</t>
  </si>
  <si>
    <t>34CMN943</t>
  </si>
  <si>
    <t>BURAK SÜNGÜ</t>
  </si>
  <si>
    <t>34YT0593</t>
  </si>
  <si>
    <t>ZİLFO ŞENOCAK</t>
  </si>
  <si>
    <t>34UTF45</t>
  </si>
  <si>
    <t>AHMET AYDIN</t>
  </si>
  <si>
    <t>ALPER ŞAHİN</t>
  </si>
  <si>
    <t>34JY6465</t>
  </si>
  <si>
    <t>MEHMET ÖZER</t>
  </si>
  <si>
    <t>51DS500</t>
  </si>
  <si>
    <t>MUSTAFA KÖSE</t>
  </si>
  <si>
    <t>34DC7353</t>
  </si>
  <si>
    <t>HÜSEYİN PIRILDAK</t>
  </si>
  <si>
    <t>34FKE833</t>
  </si>
  <si>
    <t>YUSUF ERTAN ILGAZ</t>
  </si>
  <si>
    <t>34LN2158</t>
  </si>
  <si>
    <t>YUSUF ERTAN PIRILDAK</t>
  </si>
  <si>
    <t xml:space="preserve">KENAN ARA </t>
  </si>
  <si>
    <t>34BF4189</t>
  </si>
  <si>
    <t>KENAN ARA</t>
  </si>
  <si>
    <t>İNAN SYS TEKSTİL</t>
  </si>
  <si>
    <t>YAVUZ İNAN</t>
  </si>
  <si>
    <t>TARIK ARVAS</t>
  </si>
  <si>
    <t>34SV4390</t>
  </si>
  <si>
    <t>MUSTAFA ERASLAN</t>
  </si>
  <si>
    <t>57DV194</t>
  </si>
  <si>
    <t>ÖMER YAVUZ</t>
  </si>
  <si>
    <t>06AFC379</t>
  </si>
  <si>
    <t>ERCİYES FIRAT ÖZEL EĞİTİM</t>
  </si>
  <si>
    <t>38SE111</t>
  </si>
  <si>
    <t>SAY YILDIZHAN TURİZM</t>
  </si>
  <si>
    <t>34FHG715</t>
  </si>
  <si>
    <t>İBRAHİM UĞUR</t>
  </si>
  <si>
    <t>İDRİS SAVCI-YAŞAR KÜÇÜK</t>
  </si>
  <si>
    <t>GÜNAY KILIÇ</t>
  </si>
  <si>
    <t>ÖMER YÜCESOY</t>
  </si>
  <si>
    <t>SİNAN PALANTÖKEN</t>
  </si>
  <si>
    <t>SAADET GÜNAY YAŞAR</t>
  </si>
  <si>
    <t>SİMGE GÜL EROL</t>
  </si>
  <si>
    <t>SEVİNÇ ŞEN EROL</t>
  </si>
  <si>
    <t>SEZEN GÜL EROL</t>
  </si>
  <si>
    <t xml:space="preserve">GÜNAY KILIÇ </t>
  </si>
  <si>
    <t>ALINAN CARİ ÇEKİMLER LİSTESİ</t>
  </si>
  <si>
    <t>TARİH</t>
  </si>
  <si>
    <t>SAMET TORAMAN</t>
  </si>
  <si>
    <t>AYŞE SARAN</t>
  </si>
  <si>
    <t>Y.KÜÇÜK CARİ ALACAK</t>
  </si>
  <si>
    <t>GÖRKEM GÜLER</t>
  </si>
  <si>
    <t>MURAT MUTLU</t>
  </si>
  <si>
    <t>7.AY AÇIK  KSK. TAKSİTLERİ  6/6</t>
  </si>
  <si>
    <t>SUAT DÜNDAR</t>
  </si>
  <si>
    <t>8.AY AÇIK  KSK. TAKSİTLERİ  6/5</t>
  </si>
  <si>
    <t>SEYFİ UFUK</t>
  </si>
  <si>
    <t>8.AY AÇIK İŞYERİ + KONUT TK. 6/5</t>
  </si>
  <si>
    <t>MUSTAFA KÜÇÜK</t>
  </si>
  <si>
    <t>9.AY AÇIK  KSK. TAKSİTLERİ  6/4</t>
  </si>
  <si>
    <t>CENGİZ ÇAĞLAYAN</t>
  </si>
  <si>
    <t>9.AY AÇIK İŞYERİ + KONUT TK. 6/4</t>
  </si>
  <si>
    <t>10.AY AÇIK  KSK. TAKSİTLERİ  6/3</t>
  </si>
  <si>
    <t>10.AY AÇIK İŞYERİ + KONUT TK. 6/3</t>
  </si>
  <si>
    <t>11.AY AÇIK  KSK. TAKSİTLERİ  6/2</t>
  </si>
  <si>
    <t>12.AY AÇIK  KSK. TAKSİTLERİ  6/1</t>
  </si>
  <si>
    <t>12.AY AÇIK İŞYERİ + KONUT TK. 6/1</t>
  </si>
  <si>
    <t>GENEL TOPLAM</t>
  </si>
  <si>
    <t>29/01/2025 KOMİSYON ÖDEMESİ</t>
  </si>
  <si>
    <t>ŞUBAT 2025 YILI HESAP ÖZETİ</t>
  </si>
  <si>
    <t>İSMET DEMİRTAŞ</t>
  </si>
  <si>
    <t>34BCS401</t>
  </si>
  <si>
    <t>ÇAĞLA AYDIN</t>
  </si>
  <si>
    <t>34HPT960</t>
  </si>
  <si>
    <t>VİP WATER END.SAN.</t>
  </si>
  <si>
    <t>11ABF304</t>
  </si>
  <si>
    <t>SELAHATTİN ÇOBAN</t>
  </si>
  <si>
    <t>34AF5810</t>
  </si>
  <si>
    <t>SEVGÜL ARSLAN</t>
  </si>
  <si>
    <t>34YT9034</t>
  </si>
  <si>
    <t>SEVGİ KÜÇÜK</t>
  </si>
  <si>
    <t>34DJ7740</t>
  </si>
  <si>
    <t>NİLÜFER ÖZKAYHAN BOZKURT</t>
  </si>
  <si>
    <t>15SE367</t>
  </si>
  <si>
    <t>GÖZDE DURGUN</t>
  </si>
  <si>
    <t>34RR4214</t>
  </si>
  <si>
    <t>MERVE ULUCA</t>
  </si>
  <si>
    <t>TUĞÇE YURTSEVER</t>
  </si>
  <si>
    <t>34MGH125</t>
  </si>
  <si>
    <t>FİKRİ CİĞERCİ</t>
  </si>
  <si>
    <t>34DTV658</t>
  </si>
  <si>
    <t>TEVRAT TEKİN</t>
  </si>
  <si>
    <t>34CUV093</t>
  </si>
  <si>
    <t>HANIM GÜNEŞ</t>
  </si>
  <si>
    <t>34YL9953</t>
  </si>
  <si>
    <t>AZİZ GÜNEŞ</t>
  </si>
  <si>
    <t>CUMA AŞIR</t>
  </si>
  <si>
    <t>34VP3720</t>
  </si>
  <si>
    <t>AŞIR AŞIR</t>
  </si>
  <si>
    <t>REFİK DÜNDAR</t>
  </si>
  <si>
    <t>34FL1053</t>
  </si>
  <si>
    <t>EMRECAN TEKİN</t>
  </si>
  <si>
    <t>MÜMİN BURAK BOZ</t>
  </si>
  <si>
    <t>MEHMET TEKİN</t>
  </si>
  <si>
    <t xml:space="preserve">CNG KONFEKSİYON </t>
  </si>
  <si>
    <t>FATİME KORKUTAN</t>
  </si>
  <si>
    <t>UĞUR OCAK</t>
  </si>
  <si>
    <t>34DRB477</t>
  </si>
  <si>
    <t>MEHMET ATEŞ</t>
  </si>
  <si>
    <t>64BD153</t>
  </si>
  <si>
    <t>MURAT ATEŞ</t>
  </si>
  <si>
    <t>AHMET SALTIK</t>
  </si>
  <si>
    <t>34DP4661</t>
  </si>
  <si>
    <t>MART 2025 YILI HESAP ÖZETİ</t>
  </si>
  <si>
    <t>SALİHA BOZKURT</t>
  </si>
  <si>
    <t>58NY013</t>
  </si>
  <si>
    <t>MAHMUT KAVAK</t>
  </si>
  <si>
    <t>34NZ2036</t>
  </si>
  <si>
    <t>EFGAN EFE</t>
  </si>
  <si>
    <t xml:space="preserve">SEDAT BAYDEMİR </t>
  </si>
  <si>
    <t>SEYFETTİN IŞIK</t>
  </si>
  <si>
    <t>MUZAFFER ELİK</t>
  </si>
  <si>
    <t>ZÜLAL SELDÜZ</t>
  </si>
  <si>
    <t xml:space="preserve">RIFAT ŞATIROĞLU </t>
  </si>
  <si>
    <t>HÜSEYİN YILDIRIM</t>
  </si>
  <si>
    <t xml:space="preserve">EROL AKSESUAR </t>
  </si>
  <si>
    <t>İŞYERİ İPTALİ</t>
  </si>
  <si>
    <t>34K4389</t>
  </si>
  <si>
    <t>VELİ ÇELİKEL</t>
  </si>
  <si>
    <t>34UK9728</t>
  </si>
  <si>
    <t>ALİCAN TEKİN</t>
  </si>
  <si>
    <t>34BGT067</t>
  </si>
  <si>
    <t>ŞABAN DEMİRHAN</t>
  </si>
  <si>
    <t>02AAP255</t>
  </si>
  <si>
    <t>TURAN TUFAN</t>
  </si>
  <si>
    <t>MEHMET ALİ TUFAN</t>
  </si>
  <si>
    <t>NECATİ ERDEN</t>
  </si>
  <si>
    <t>34JBR37</t>
  </si>
  <si>
    <t xml:space="preserve">NAZIM NAS </t>
  </si>
  <si>
    <t>06FS3933</t>
  </si>
  <si>
    <t>NAZIM NAS</t>
  </si>
  <si>
    <t>EZGİ FATMA AKKURT</t>
  </si>
  <si>
    <t>59ZC086</t>
  </si>
  <si>
    <t>ERMAN AKKURT</t>
  </si>
  <si>
    <t>NİCE KAUÇUK PLAST.</t>
  </si>
  <si>
    <t>34AHS658</t>
  </si>
  <si>
    <t>NİCE KAUÇUK PLAST</t>
  </si>
  <si>
    <t>YAVUZ ALGÜL</t>
  </si>
  <si>
    <t>34RM7505</t>
  </si>
  <si>
    <t>CENK UÇAN</t>
  </si>
  <si>
    <t>BEKİR BOZKURT</t>
  </si>
  <si>
    <t>SİNAN KARABACAK</t>
  </si>
  <si>
    <t>YUNUS HİLMİ ŞUŞOĞLU</t>
  </si>
  <si>
    <t>MUSTAFA EREN ŞUŞOĞLU</t>
  </si>
  <si>
    <t>DOĞAN ERCAN</t>
  </si>
  <si>
    <t>34ATK072</t>
  </si>
  <si>
    <t>DUYGU ÖZMEN</t>
  </si>
  <si>
    <t>34AIY757</t>
  </si>
  <si>
    <t>RUKİYE ÖZERLER</t>
  </si>
  <si>
    <t>34FGM528</t>
  </si>
  <si>
    <t>YUNUS ÖZERLER</t>
  </si>
  <si>
    <t>MUHAMMET ERTAN YILMAZ</t>
  </si>
  <si>
    <t>34KFD354</t>
  </si>
  <si>
    <t>METİN KULTA</t>
  </si>
  <si>
    <t>34JZ3460</t>
  </si>
  <si>
    <t>ABDULLAH ÇAKIR</t>
  </si>
  <si>
    <t>34HFA55</t>
  </si>
  <si>
    <t>DİLEK YARGI</t>
  </si>
  <si>
    <t>34ND9742</t>
  </si>
  <si>
    <t xml:space="preserve">MERVE ULUCA </t>
  </si>
  <si>
    <t>SONGÜL ASLAN</t>
  </si>
  <si>
    <t>34VH4889</t>
  </si>
  <si>
    <t>MEHMET KEREM KÜÇÜK</t>
  </si>
  <si>
    <t>İNTER AKTİF İNŞAAT</t>
  </si>
  <si>
    <t>34ETY562</t>
  </si>
  <si>
    <t>ŞENOL ÇEKÜÇ</t>
  </si>
  <si>
    <t>34VSS52</t>
  </si>
  <si>
    <t>EMRE AYAN</t>
  </si>
  <si>
    <t>34FBS316</t>
  </si>
  <si>
    <t>HACI YILDIZ</t>
  </si>
  <si>
    <t>16LM021</t>
  </si>
  <si>
    <t>ABDÜLKADİR GÜREL</t>
  </si>
  <si>
    <t>54SA508</t>
  </si>
  <si>
    <t>MURAT DEMİREY</t>
  </si>
  <si>
    <t>BERRİN KARADUMAN</t>
  </si>
  <si>
    <t>TUĞBERK KARADUMAN</t>
  </si>
  <si>
    <t>AĞAOĞLU MOBİLYA</t>
  </si>
  <si>
    <t>FATMA KAVAK</t>
  </si>
  <si>
    <t>METİN EROL</t>
  </si>
  <si>
    <t>HASAN SOYDAN</t>
  </si>
  <si>
    <t>34DO8960</t>
  </si>
  <si>
    <t>DURU YIKAMA TEKSTİL</t>
  </si>
  <si>
    <t>34KGM706</t>
  </si>
  <si>
    <t>34PG8675</t>
  </si>
  <si>
    <t>SÜZEN TÜRKMEN</t>
  </si>
  <si>
    <t>SÜZAN TÜRKMEN</t>
  </si>
  <si>
    <t>LEVENT BOYLU</t>
  </si>
  <si>
    <t>GÜLBAHAR ERDEN</t>
  </si>
  <si>
    <t>ETHEM YILDIZ</t>
  </si>
  <si>
    <t>34ZT9248</t>
  </si>
  <si>
    <t>CAHİT PULAT</t>
  </si>
  <si>
    <t>34CTJ684</t>
  </si>
  <si>
    <t>NİSAN 2025 YILI HESAP ÖZETİ</t>
  </si>
  <si>
    <t>KIŞLA TEKNİK TESİSAT</t>
  </si>
  <si>
    <t>52ACY235</t>
  </si>
  <si>
    <t>DİLARA KÜÇÜK</t>
  </si>
  <si>
    <t>34LE2398</t>
  </si>
  <si>
    <t>MUSTAFA DEMİR</t>
  </si>
  <si>
    <t>34JID87</t>
  </si>
  <si>
    <t>OKTAY ATAÇ</t>
  </si>
  <si>
    <t>34VA2320</t>
  </si>
  <si>
    <t>YENER TUNCAY ŞİRİN</t>
  </si>
  <si>
    <t>34HDK330</t>
  </si>
  <si>
    <t>İBRAHİM ERDEN</t>
  </si>
  <si>
    <t>34CTG313</t>
  </si>
  <si>
    <t>ESRA SOYLU</t>
  </si>
  <si>
    <t>34HHH356</t>
  </si>
  <si>
    <t>SİBEL KAYRETLİ</t>
  </si>
  <si>
    <t>34MAF023</t>
  </si>
  <si>
    <t>MEHMET OKYAY</t>
  </si>
  <si>
    <t>34BM8146</t>
  </si>
  <si>
    <t>ÖZGE GÖKBAYRAK</t>
  </si>
  <si>
    <t>52ADA050</t>
  </si>
  <si>
    <t>65ABN507</t>
  </si>
  <si>
    <t>ERCAN CANDAN</t>
  </si>
  <si>
    <t>ALİ CENGİZ</t>
  </si>
  <si>
    <t>34BCM432</t>
  </si>
  <si>
    <t>SALİM SEZGİN</t>
  </si>
  <si>
    <t>34BUH889</t>
  </si>
  <si>
    <t>FATİH KAYA</t>
  </si>
  <si>
    <t>34MJ6228</t>
  </si>
  <si>
    <t xml:space="preserve">ALİ CENGİZ </t>
  </si>
  <si>
    <t>34BCM32</t>
  </si>
  <si>
    <t>HAKAN ÖĞRETİCİ</t>
  </si>
  <si>
    <t>34VJ8045</t>
  </si>
  <si>
    <t>İHSAN FAİK ÇITLAK</t>
  </si>
  <si>
    <t>BULUT CAN UĞURLU</t>
  </si>
  <si>
    <t>KEMAL KOŞAR</t>
  </si>
  <si>
    <t xml:space="preserve">LEVENT BOYLU </t>
  </si>
  <si>
    <t>NURETTİN GÜNER</t>
  </si>
  <si>
    <t>KASIM DARGIN</t>
  </si>
  <si>
    <t>TAMER AYDOĞDU</t>
  </si>
  <si>
    <t>MUHTEREM PULAT</t>
  </si>
  <si>
    <t>ESME BAKAN</t>
  </si>
  <si>
    <t>ÇETİN DEMİRTAŞ</t>
  </si>
  <si>
    <t>BULUT UĞURLU</t>
  </si>
  <si>
    <t>DEMİRHAN DUYGU</t>
  </si>
  <si>
    <t>SATIŞ İPTALİ</t>
  </si>
  <si>
    <t>AYSEL SUNGUR</t>
  </si>
  <si>
    <t>34PH1765</t>
  </si>
  <si>
    <t>BAYRAM ALTUN</t>
  </si>
  <si>
    <t>14LA222</t>
  </si>
  <si>
    <t>BEKİR GÜL</t>
  </si>
  <si>
    <t>34JUL59</t>
  </si>
  <si>
    <t>FATMA ARA</t>
  </si>
  <si>
    <t>ŞENOL ÖNER</t>
  </si>
  <si>
    <t>34HJS463</t>
  </si>
  <si>
    <t>OLGUN ÇULFAZ</t>
  </si>
  <si>
    <t>34KJV782</t>
  </si>
  <si>
    <t>ERDİNÇ NAS</t>
  </si>
  <si>
    <t>34GPF166</t>
  </si>
  <si>
    <t>SEBİLE GÜNGÖR</t>
  </si>
  <si>
    <t>45YK439</t>
  </si>
  <si>
    <t>MURAT TUFAN</t>
  </si>
  <si>
    <t>34NY0110</t>
  </si>
  <si>
    <t>KAMURAN TUFAN</t>
  </si>
  <si>
    <t>ALPTUĞ AKKAYA</t>
  </si>
  <si>
    <t>SATIŞ İPTAL İADE</t>
  </si>
  <si>
    <t xml:space="preserve">SATIŞTAN İPTAL İADE </t>
  </si>
  <si>
    <t>MYS SAROS GAYRİMENKUL</t>
  </si>
  <si>
    <t>17AHG980</t>
  </si>
  <si>
    <t>MYS SAROS UNUTLAN KSK. 512101604</t>
  </si>
  <si>
    <t>PLAKA ZEYL İADE</t>
  </si>
  <si>
    <t>SATIŞTAN İPTAL İADE</t>
  </si>
  <si>
    <t>9.AY AÇIK  KSK. TAKSİTLERİ  6/6</t>
  </si>
  <si>
    <t>9.AY AÇIK İŞYERİ + KONUT TK. 6/6</t>
  </si>
  <si>
    <t>10.AY AÇIK  KSK. TAKSİTLERİ  6/5</t>
  </si>
  <si>
    <t>10.AY AÇIK İŞYERİ + KONUT TK. 6/5</t>
  </si>
  <si>
    <t>11.AY AÇIK  KSK. TAKSİTLERİ  6/4</t>
  </si>
  <si>
    <t>12.AY AÇIK  KSK. TAKSİTLERİ  6/3</t>
  </si>
  <si>
    <t>1.AY AÇIK İŞYERİ + KONUT TK. 6/1</t>
  </si>
  <si>
    <t>12.AY AÇIK  KSK. TAKSİTLERİ  6/2</t>
  </si>
  <si>
    <t>11.AY AÇIK  KSK. TAKSİTLERİ  6/3</t>
  </si>
  <si>
    <t>12.AY AÇIK İŞYERİ + KONUT TK. 6/2</t>
  </si>
  <si>
    <t>1.AY AÇIK  KSK. TAKSİTLERİ  6/2</t>
  </si>
  <si>
    <t>2.AY AÇIK  KSK. TAKSİTLERİ  6/2</t>
  </si>
  <si>
    <t>2.AY AÇIK  KSK. TAKSİTLERİ  6/1</t>
  </si>
  <si>
    <t>2.AY AÇIK  DİĞER TAKSİTLERİ  6/1</t>
  </si>
  <si>
    <t>1.AY AÇIK  DİĞER TAKSİTLERİ  6/2</t>
  </si>
  <si>
    <t>12.AY AÇIK DİĞERTAKSİTLERİ  6/3</t>
  </si>
  <si>
    <t>10.AY AÇIK  KSK. TAKSİTLERİ  6/6</t>
  </si>
  <si>
    <t>10.AY AÇIK İŞYERİ + KONUT TK. 6/6</t>
  </si>
  <si>
    <t>11.AY AÇIK  KSK. TAKSİTLERİ  6/5</t>
  </si>
  <si>
    <t>12.AY AÇIK  KSK. TAKSİTLERİ  6/4</t>
  </si>
  <si>
    <t>12.AY AÇIK DİĞERTAKSİTLERİ  6/4</t>
  </si>
  <si>
    <t>1.AY AÇIK  KSK. TAKSİTLERİ  6/3</t>
  </si>
  <si>
    <t>1.AY AÇIK  DİĞER TAKSİTLERİ  6/3</t>
  </si>
  <si>
    <t>2.AY AÇIK  DİĞER TAKSİTLERİ  6/2</t>
  </si>
  <si>
    <t>3.AY AÇIK  KSK. TAKSİTLERİ  6/1</t>
  </si>
  <si>
    <t>3.AY AÇIK  DİĞER TAKSİTLERİ  6/1</t>
  </si>
  <si>
    <t>SATIŞ İPT.İADE</t>
  </si>
  <si>
    <t>11.AY AÇIK  KSK. TAKSİTLERİ  6/6</t>
  </si>
  <si>
    <t>12.AY AÇIK  KSK. TAKSİTLERİ  6/5</t>
  </si>
  <si>
    <t>12.AY AÇIK DİĞERTAKSİTLERİ  6/5</t>
  </si>
  <si>
    <t>1.AY AÇIK  KSK. TAKSİTLERİ  6/4</t>
  </si>
  <si>
    <t>1.AY AÇIK  DİĞER TAKSİTLERİ  6/4</t>
  </si>
  <si>
    <t>2.AY AÇIK  KSK. TAKSİTLERİ  6/3</t>
  </si>
  <si>
    <t>2.AY AÇIK  DİĞER TAKSİTLERİ  6/3</t>
  </si>
  <si>
    <t>3.AY AÇIK  KSK. TAKSİTLERİ  6/2</t>
  </si>
  <si>
    <t>3.AY AÇIK  DİĞER TAKSİTLERİ  6/2</t>
  </si>
  <si>
    <t>4.AY AÇIK  KSK. TAKSİTLERİ  6/1</t>
  </si>
  <si>
    <t>4.AY AÇIK  DİĞER TAKSİTLERİ  6/1</t>
  </si>
  <si>
    <t>ÖMER BAYRAKÇI</t>
  </si>
  <si>
    <t>34GFT939</t>
  </si>
  <si>
    <t>FATİH BAYRAKÇI</t>
  </si>
  <si>
    <t>MAYIS 2025 YILI HESAP ÖZETİ</t>
  </si>
  <si>
    <t>12.AY AÇIK  KSK. TAKSİTLERİ  6/6</t>
  </si>
  <si>
    <t>12.AY AÇIK DİĞERTAKSİTLERİ  6/6</t>
  </si>
  <si>
    <t>1.AY AÇIK  KSK. TAKSİTLERİ  6/5</t>
  </si>
  <si>
    <t>1.AY AÇIK  DİĞER TAKSİTLERİ  6/5</t>
  </si>
  <si>
    <t>2.AY AÇIK  KSK. TAKSİTLERİ  6/4</t>
  </si>
  <si>
    <t>2.AY AÇIK  DİĞER TAKSİTLERİ  6/4</t>
  </si>
  <si>
    <t>3.AY AÇIK  KSK. TAKSİTLERİ  6/3</t>
  </si>
  <si>
    <t>3.AY AÇIK  DİĞER TAKSİTLERİ  6/3</t>
  </si>
  <si>
    <t>4.AY AÇIK  KSK. TAKSİTLERİ  6/2</t>
  </si>
  <si>
    <t>4.AY AÇIK  DİĞER TAKSİTLERİ  6/2</t>
  </si>
  <si>
    <t>34ACP925</t>
  </si>
  <si>
    <t>TURAN YAŞAROĞLU</t>
  </si>
  <si>
    <t>34GPS245</t>
  </si>
  <si>
    <t>NACİYE HABİBOĞLU</t>
  </si>
  <si>
    <t>53ADS443</t>
  </si>
  <si>
    <t>SADIK ÖZTÜRK</t>
  </si>
  <si>
    <t>34KN8730</t>
  </si>
  <si>
    <t>REĞNAZ KAYA</t>
  </si>
  <si>
    <t>50ABK617</t>
  </si>
  <si>
    <t>UĞUR ŞEKER</t>
  </si>
  <si>
    <t>ADNAN AKAR</t>
  </si>
  <si>
    <t>34CAM427</t>
  </si>
  <si>
    <t>AYŞE YILDIZ</t>
  </si>
  <si>
    <t>59AY394</t>
  </si>
  <si>
    <t>ALİ KURT</t>
  </si>
  <si>
    <t>34ZS3196</t>
  </si>
  <si>
    <t>CEMİL TAŞÇI</t>
  </si>
  <si>
    <t>OKAN TAŞDEMİR</t>
  </si>
  <si>
    <t>48J2989</t>
  </si>
  <si>
    <t>UĞURCAN TEKİN</t>
  </si>
  <si>
    <t>DURU YIKAMA TEKS.</t>
  </si>
  <si>
    <t>34FFT522</t>
  </si>
  <si>
    <t>ZEKİ AYYILDIZ</t>
  </si>
  <si>
    <t>34NC1739</t>
  </si>
  <si>
    <t xml:space="preserve">UĞURCAN TEKİN </t>
  </si>
  <si>
    <t>MURAT ALGÜL</t>
  </si>
  <si>
    <t>34GOV058</t>
  </si>
  <si>
    <t>GÖKHAN ELİKARA</t>
  </si>
  <si>
    <t>ÖZKAN KIŞLA</t>
  </si>
  <si>
    <t>YASİN ÜNVER</t>
  </si>
  <si>
    <t>34ESD564</t>
  </si>
  <si>
    <t>ŞEREF BEKTAŞ</t>
  </si>
  <si>
    <t>16ALM017</t>
  </si>
  <si>
    <t>ERHAN ERDUAN</t>
  </si>
  <si>
    <t>34MCT238</t>
  </si>
  <si>
    <t>ÖMER ÖZTÜRK</t>
  </si>
  <si>
    <t>34LK7408</t>
  </si>
  <si>
    <t xml:space="preserve">ALİ GÜN </t>
  </si>
  <si>
    <t>MURAT KARAKUŞ</t>
  </si>
  <si>
    <t>YUSUF SARAÇ</t>
  </si>
  <si>
    <t>34GZG646</t>
  </si>
  <si>
    <t>34MUK875</t>
  </si>
  <si>
    <t>ARAÇ DEĞİŞİKLİĞİ THK.</t>
  </si>
  <si>
    <t>ARAÇ DEĞİŞİKLİĞİ İADE</t>
  </si>
  <si>
    <t>İBRAHİM ZENGİN</t>
  </si>
  <si>
    <t>HİKMET SARI</t>
  </si>
  <si>
    <t>34JM6193</t>
  </si>
  <si>
    <t>34JUN01</t>
  </si>
  <si>
    <t>HALİL DEMİR</t>
  </si>
  <si>
    <t>34D3757</t>
  </si>
  <si>
    <t>ASLI KALAY KILIÇ</t>
  </si>
  <si>
    <t>35CBY910</t>
  </si>
  <si>
    <t>BEDİHA ÖZDAĞLI</t>
  </si>
  <si>
    <t>34MDH378</t>
  </si>
  <si>
    <t>MURAT KARABULUT</t>
  </si>
  <si>
    <t>34AAK76</t>
  </si>
  <si>
    <t>CUMA TURAN</t>
  </si>
  <si>
    <t>34JST13</t>
  </si>
  <si>
    <t>ÜMMÜGÜLSÜM GİRDAP</t>
  </si>
  <si>
    <t>34GDC681</t>
  </si>
  <si>
    <t>GÖKÇE AKKAYA</t>
  </si>
  <si>
    <t>59EM705</t>
  </si>
  <si>
    <t>RAHİM SEBA</t>
  </si>
  <si>
    <t>34KK4231</t>
  </si>
  <si>
    <t>SİNEM ATALIK BAYKARA</t>
  </si>
  <si>
    <t>34GG1057</t>
  </si>
  <si>
    <t>NEJLA FİDAN</t>
  </si>
  <si>
    <t>55ATK34</t>
  </si>
  <si>
    <t>FURKAN ÇALIŞ</t>
  </si>
  <si>
    <t>34JT3839</t>
  </si>
  <si>
    <t>OLCAY ÇALIŞ</t>
  </si>
  <si>
    <t>OĞUZHAN MEYDAN</t>
  </si>
  <si>
    <t>34TL3884</t>
  </si>
  <si>
    <t>ŞERİF KATMERLİKAYA</t>
  </si>
  <si>
    <t>İLYAS DEĞİRMENCİ</t>
  </si>
  <si>
    <t>34DGG169</t>
  </si>
  <si>
    <t>SEDAT AYDEMİR</t>
  </si>
  <si>
    <t>48ARP147</t>
  </si>
  <si>
    <t>MURAT İBRAHİMAĞAOĞLU</t>
  </si>
  <si>
    <t>61YK</t>
  </si>
  <si>
    <t>61 YK</t>
  </si>
  <si>
    <t>HAKTAN ZENGİN</t>
  </si>
  <si>
    <t>41ANZ305</t>
  </si>
  <si>
    <t>SAMİ ÇINAR</t>
  </si>
  <si>
    <t>34CAV708</t>
  </si>
  <si>
    <t>SAİT ŞAHİN</t>
  </si>
  <si>
    <t>34FL6598</t>
  </si>
  <si>
    <t>HÜSNÜ SERT</t>
  </si>
  <si>
    <t>60VB646</t>
  </si>
  <si>
    <t>ZAFER İNŞ.OTOMOTİV</t>
  </si>
  <si>
    <t>GÖNÜL HASKAYA İNCE</t>
  </si>
  <si>
    <t>34U8555</t>
  </si>
  <si>
    <t>OĞUZ ŞAHİN</t>
  </si>
  <si>
    <t>60AFP595</t>
  </si>
  <si>
    <t>ERSİN ÇALIK</t>
  </si>
  <si>
    <t>MEFTUN AKKUŞ</t>
  </si>
  <si>
    <t>FETHİ SOĞUKTAŞ</t>
  </si>
  <si>
    <t>HALİL GÜLTEKİN</t>
  </si>
  <si>
    <t>48APS749</t>
  </si>
  <si>
    <t>AYŞE NARMAN</t>
  </si>
  <si>
    <t>34BBP365</t>
  </si>
  <si>
    <t>FIRAT GÜLTEKİN</t>
  </si>
  <si>
    <t>HAZİRAN 2025 YILI HESAP ÖZETİ</t>
  </si>
  <si>
    <t>ZAFER İNŞAAT OTOMOTİV</t>
  </si>
  <si>
    <t>ECRİN KAYA</t>
  </si>
  <si>
    <t>34KOJ851</t>
  </si>
  <si>
    <t>CAZİYE KAYA</t>
  </si>
  <si>
    <t>SELAHATTİN SAĞIR</t>
  </si>
  <si>
    <t>FATİH AKYOL</t>
  </si>
  <si>
    <t>NURCAN KOÇ</t>
  </si>
  <si>
    <t>41U4110</t>
  </si>
  <si>
    <t>ÜRET ÇELİK SAN.VE TİC.A.Ş</t>
  </si>
  <si>
    <t>34DLA048</t>
  </si>
  <si>
    <t>CUMHUR KIRAN</t>
  </si>
  <si>
    <t>34FN0052</t>
  </si>
  <si>
    <t>MAHMUT SOYLU</t>
  </si>
  <si>
    <t>34DSU393</t>
  </si>
  <si>
    <t>MEHMET SONER GEMİCİ</t>
  </si>
  <si>
    <t>34ZP2268</t>
  </si>
  <si>
    <t>34CJS745</t>
  </si>
  <si>
    <t>SERHAT BÖLÜMCÜ</t>
  </si>
  <si>
    <t>07KBU21</t>
  </si>
  <si>
    <t>OSMAN BAYKARA</t>
  </si>
  <si>
    <t>EROL ÇELİK</t>
  </si>
  <si>
    <t>59AJH437</t>
  </si>
  <si>
    <t>İSMAİL FİDAN</t>
  </si>
  <si>
    <t>34AHH169</t>
  </si>
  <si>
    <t>EMRE YOL</t>
  </si>
  <si>
    <t>10SB855</t>
  </si>
  <si>
    <t>34ER2898</t>
  </si>
  <si>
    <t>AYDOĞAN DUYGU</t>
  </si>
  <si>
    <t>22AAV769</t>
  </si>
  <si>
    <t>AKİF KARA</t>
  </si>
  <si>
    <t>34ZF0067</t>
  </si>
  <si>
    <t>07BIN58</t>
  </si>
  <si>
    <t>HÜSEYİN KISA</t>
  </si>
  <si>
    <t>13/06/25 GÖNDERİLEN KOM.ÖDEMESİ</t>
  </si>
  <si>
    <t>34ZL1570</t>
  </si>
  <si>
    <t>SABRİ KAPLAN</t>
  </si>
  <si>
    <t>34BV036</t>
  </si>
  <si>
    <t>MURAT İ.AĞAOĞLU</t>
  </si>
  <si>
    <t>UĞURCAN-EMİR ZAFER-MURAT-</t>
  </si>
  <si>
    <t>BULUS ÇEYİZ İM.SAN.VE TİC.A.Ş</t>
  </si>
  <si>
    <t>34BH5490</t>
  </si>
  <si>
    <t>İLHAMİ TOPTAŞ</t>
  </si>
  <si>
    <t>34COU26</t>
  </si>
  <si>
    <t>BULUŞ ÇEYİZ İM.SAN.VE TİC.A.Ş</t>
  </si>
  <si>
    <t>MUSA KARAKAYA</t>
  </si>
  <si>
    <t>34ACN401</t>
  </si>
  <si>
    <t>HAŞİM DALDABAN</t>
  </si>
  <si>
    <t>34MUY475</t>
  </si>
  <si>
    <t>YUSUF YILDIZ</t>
  </si>
  <si>
    <t>34EOL483</t>
  </si>
  <si>
    <t>LEYLA KOÇASLAN</t>
  </si>
  <si>
    <t>ALİ CEVAT CENGİZ</t>
  </si>
  <si>
    <t>39YK</t>
  </si>
  <si>
    <t>ÖMER LÜTFİ MAKAS</t>
  </si>
  <si>
    <t>34AH0264</t>
  </si>
  <si>
    <t>DAVUT TEKİN</t>
  </si>
  <si>
    <t>52DH957</t>
  </si>
  <si>
    <t>ÖMER VERMEZ</t>
  </si>
  <si>
    <t>34VRM</t>
  </si>
  <si>
    <t>SEDAT BAYDEMİR</t>
  </si>
  <si>
    <t>34MSH733</t>
  </si>
  <si>
    <t>RAMAZAN AKTAŞ</t>
  </si>
  <si>
    <t>34LOG59</t>
  </si>
  <si>
    <t>HİDAYET ÇAM</t>
  </si>
  <si>
    <t>34FH1474</t>
  </si>
  <si>
    <t>FAHRİ KARA</t>
  </si>
  <si>
    <t>34KPR237</t>
  </si>
  <si>
    <t>EREN GİRGİN</t>
  </si>
  <si>
    <t>34FRE188</t>
  </si>
  <si>
    <t>ŞEVVAL EZGİ DEMİR TEKİN</t>
  </si>
  <si>
    <t>34EGH048</t>
  </si>
  <si>
    <t>OSMAN KARABULUT</t>
  </si>
  <si>
    <t>34SCU58</t>
  </si>
  <si>
    <t>ADNAN KARA</t>
  </si>
  <si>
    <t>34KAJ847</t>
  </si>
  <si>
    <t>MUSTAFA ÇELİK</t>
  </si>
  <si>
    <t>FIRAT BAKAN</t>
  </si>
  <si>
    <t>MUSTAFA BİLEN</t>
  </si>
  <si>
    <t>SAİM KARABACAK</t>
  </si>
  <si>
    <t>MEHMET KARAKOÇ</t>
  </si>
  <si>
    <t>HÜSEYİN EKİNCİ</t>
  </si>
  <si>
    <t>34FM6769</t>
  </si>
  <si>
    <t>MUSA GÜNEYSU</t>
  </si>
  <si>
    <t>34DG3836</t>
  </si>
  <si>
    <t>CEVDET ASAR</t>
  </si>
  <si>
    <t>55SA320</t>
  </si>
  <si>
    <t>34GVE768</t>
  </si>
  <si>
    <t>5.AY AÇIK  DİĞER TAKSİTLERİ  6/1</t>
  </si>
  <si>
    <t>5.AY AÇIK  KSK. TAKSİTLERİ  6/1</t>
  </si>
  <si>
    <t>30/06/25 GÖND.KOM.ÖDEMESİ</t>
  </si>
  <si>
    <t>TEMMUZ 2025 YILI HESAP ÖZETİ</t>
  </si>
  <si>
    <t>HİLAL ÇETİNKAYA</t>
  </si>
  <si>
    <t>34EZV036</t>
  </si>
  <si>
    <t>İHSAN KIZILKAN</t>
  </si>
  <si>
    <t>34KSE714</t>
  </si>
  <si>
    <t>HAYDAR ABİDİNOĞLU</t>
  </si>
  <si>
    <t>34LR6769</t>
  </si>
  <si>
    <t>AYŞE YILDIZ-YAŞAR KÜÇÜK</t>
  </si>
  <si>
    <t>İSMAİL TÜRKMEN</t>
  </si>
  <si>
    <t>34CHE25</t>
  </si>
  <si>
    <t>ŞENNUR BENİCE</t>
  </si>
  <si>
    <t>34DBG940</t>
  </si>
  <si>
    <t>SEYHAN TOLGA BENİCE</t>
  </si>
  <si>
    <t>BİLGİN AKÇAY</t>
  </si>
  <si>
    <t>34FS1282</t>
  </si>
  <si>
    <t>LÜTFÜ BULAT</t>
  </si>
  <si>
    <t>34GUJ611</t>
  </si>
  <si>
    <t>OGÜN BULAT</t>
  </si>
  <si>
    <t>VEYSEL UFUK</t>
  </si>
  <si>
    <t>34EGE639</t>
  </si>
  <si>
    <t>SOFT YIKAMA SAN.VE TİC.AŞ</t>
  </si>
  <si>
    <t>RECEP DEMİRHAN</t>
  </si>
  <si>
    <t>34NIP891</t>
  </si>
  <si>
    <t>TEMİNAT İLAVE</t>
  </si>
  <si>
    <t>MUHAMMET ALİ GÜÇTEMUR</t>
  </si>
  <si>
    <t>56AAV106</t>
  </si>
  <si>
    <t>MUHAMMET DÜZGÖREN</t>
  </si>
  <si>
    <t>34TG4876</t>
  </si>
  <si>
    <t>34KVG703</t>
  </si>
  <si>
    <t>HASAN ASLAN</t>
  </si>
  <si>
    <t>34YK5745</t>
  </si>
  <si>
    <t>TURAN TÜRKMEN</t>
  </si>
  <si>
    <t>DİDEM CAN</t>
  </si>
  <si>
    <t>37ACL931</t>
  </si>
  <si>
    <t>ERKUT CAN</t>
  </si>
  <si>
    <t>HAZAL ERCAN</t>
  </si>
  <si>
    <t>AHMET KALAÇ</t>
  </si>
  <si>
    <t>34UJU50</t>
  </si>
  <si>
    <t>34BMF300</t>
  </si>
  <si>
    <t>MUSA AVŞAR</t>
  </si>
  <si>
    <t>34PAR19</t>
  </si>
  <si>
    <t>30/07/2025 ÖDENEN KOMİSYON</t>
  </si>
  <si>
    <t>ERSİN PALANTÖKEN</t>
  </si>
  <si>
    <t>ERGÜL KARADUMAN</t>
  </si>
  <si>
    <t>EREN UÇAR</t>
  </si>
  <si>
    <t>34GTH829</t>
  </si>
  <si>
    <t>BEDİA ÖZDAĞU</t>
  </si>
  <si>
    <t>6.AY AÇIK  KSK. TAKSİTLERİ  6/1</t>
  </si>
  <si>
    <t>6.AY AÇIK  DİĞER TAKSİTLERİ  6/1</t>
  </si>
  <si>
    <t>1.AY AÇIK  KSK. TAKSİTLERİ  6/6</t>
  </si>
  <si>
    <t>1.AY AÇIK  DİĞER TAKSİTLERİ  6/6</t>
  </si>
  <si>
    <t>2.AY AÇIK  KSK. TAKSİTLERİ  6/5</t>
  </si>
  <si>
    <t>2.AY AÇIK  DİĞER TAKSİTLERİ  6/5</t>
  </si>
  <si>
    <t>3.AY AÇIK  KSK. TAKSİTLERİ  6/4</t>
  </si>
  <si>
    <t>3.AY AÇIK  DİĞER TAKSİTLERİ  6/4</t>
  </si>
  <si>
    <t>4.AY AÇIK  KSK. TAKSİTLERİ  6/3</t>
  </si>
  <si>
    <t>4.AY AÇIK  DİĞER TAKSİTLERİ  6/3</t>
  </si>
  <si>
    <t>5.AY AÇIK  KSK. TAKSİTLERİ  6/2</t>
  </si>
  <si>
    <t>5.AY AÇIK  DİĞER TAKSİTLERİ  6/2</t>
  </si>
  <si>
    <t>AĞUSTOS 2025 YILI HESAP ÖZETİ</t>
  </si>
  <si>
    <t>İHSAN SARAÇ</t>
  </si>
  <si>
    <t>34FC4965</t>
  </si>
  <si>
    <t>34BSN477</t>
  </si>
  <si>
    <t>DOĞUKAN BARUT</t>
  </si>
  <si>
    <t>34FOR460</t>
  </si>
  <si>
    <t>AYKUT URALKAN</t>
  </si>
  <si>
    <t>34EEP012</t>
  </si>
  <si>
    <t>MUHAMMED AVŞAR</t>
  </si>
  <si>
    <t>MUSTAFA KOÇBIYIKOĞLU</t>
  </si>
  <si>
    <t>34LU4942</t>
  </si>
  <si>
    <t>MUSA PAÇA</t>
  </si>
  <si>
    <t>34BU2913</t>
  </si>
  <si>
    <t>HASAN DURGUN</t>
  </si>
  <si>
    <t>34KOJ372</t>
  </si>
  <si>
    <t>UMUT ERDEM</t>
  </si>
  <si>
    <t>34FOE597</t>
  </si>
  <si>
    <t>ABDULCELİL ERDEM</t>
  </si>
  <si>
    <t>BURAK PAÇA</t>
  </si>
  <si>
    <t>ÖMÜR YILMAZ</t>
  </si>
  <si>
    <t xml:space="preserve">TERCİHİ İTHALAT </t>
  </si>
  <si>
    <t>FATİH ALKAN</t>
  </si>
  <si>
    <t>NURGÜL TEKİN</t>
  </si>
  <si>
    <t>34JOC24</t>
  </si>
  <si>
    <t>YAKUP TURHAN</t>
  </si>
  <si>
    <t>34JM2289</t>
  </si>
  <si>
    <t>MURAT KARAŞİN</t>
  </si>
  <si>
    <t>34HYE790</t>
  </si>
  <si>
    <t>LATİF ÇINAR</t>
  </si>
  <si>
    <t>34NN211</t>
  </si>
  <si>
    <t>ÇINAR TEKSTİL</t>
  </si>
  <si>
    <t>34AR6991</t>
  </si>
  <si>
    <t>NİZAMETTİN KARAHAN</t>
  </si>
  <si>
    <t>06FU6083</t>
  </si>
  <si>
    <t>34KEB252</t>
  </si>
  <si>
    <t>FATİH ATEŞ</t>
  </si>
  <si>
    <t>41AVH591</t>
  </si>
  <si>
    <t>YUNUS ÖZBAYSAR</t>
  </si>
  <si>
    <t>HAMZA ÖZCAN</t>
  </si>
  <si>
    <t>34HS3228</t>
  </si>
  <si>
    <t>34CPR190</t>
  </si>
  <si>
    <t>KEMAL BOĞATEKİN</t>
  </si>
  <si>
    <t>34GGY089</t>
  </si>
  <si>
    <t>34DT8458</t>
  </si>
  <si>
    <t>MUSTAFA DİLKİ</t>
  </si>
  <si>
    <t>10V2009</t>
  </si>
  <si>
    <t>SATI ÇİFÇİ</t>
  </si>
  <si>
    <t>34FPY547</t>
  </si>
  <si>
    <t>BİRKAN ULUS</t>
  </si>
  <si>
    <t>34MRF354</t>
  </si>
  <si>
    <t>BARIŞ DİNÇER</t>
  </si>
  <si>
    <t>34MFS688</t>
  </si>
  <si>
    <t>MAHMUT YILMAZ</t>
  </si>
  <si>
    <t>35BUL163</t>
  </si>
  <si>
    <t>MEHMET REŞİT ALTINTAŞ</t>
  </si>
  <si>
    <t>34NAM787</t>
  </si>
  <si>
    <t>HAYRULLAH BERK DEMİR</t>
  </si>
  <si>
    <t>34KZF196</t>
  </si>
  <si>
    <t>EMİRHAN AKKUŞ</t>
  </si>
  <si>
    <t>34DGP709</t>
  </si>
  <si>
    <t>EMİNE VARLIK</t>
  </si>
  <si>
    <t>34NOV487</t>
  </si>
  <si>
    <t>34NON394</t>
  </si>
  <si>
    <t>PLAKA ZEYİLİ</t>
  </si>
  <si>
    <t>EMİNE NUR VARLIK</t>
  </si>
  <si>
    <t>KEMAL CANITEZ</t>
  </si>
  <si>
    <t>44HL003</t>
  </si>
  <si>
    <t>51GS960</t>
  </si>
  <si>
    <t>YUNUS ŞUŞOĞLU</t>
  </si>
  <si>
    <t>BETÜL YILDIRIM</t>
  </si>
  <si>
    <t>FERHAT AYKAÇ</t>
  </si>
  <si>
    <t>BEKİR DERE</t>
  </si>
  <si>
    <t>ÜNAL BULAT</t>
  </si>
  <si>
    <t>RAMAZAN BAŞLİ</t>
  </si>
  <si>
    <t>34YKY64</t>
  </si>
  <si>
    <t>51GS560</t>
  </si>
  <si>
    <t xml:space="preserve">SOFT YIKAMA  </t>
  </si>
  <si>
    <t>TEMİNAT İPTAL İADE</t>
  </si>
  <si>
    <t>34NFM019</t>
  </si>
  <si>
    <t>2.AY AÇIK  KSK. TAKSİTLERİ  6/6</t>
  </si>
  <si>
    <t>2.AY AÇIK  DİĞER TAKSİTLERİ  6/6</t>
  </si>
  <si>
    <t>3.AY AÇIK  KSK. TAKSİTLERİ  6/5</t>
  </si>
  <si>
    <t>3.AY AÇIK  DİĞER TAKSİTLERİ  6/5</t>
  </si>
  <si>
    <t>4.AY AÇIK  KSK. TAKSİTLERİ  6/4</t>
  </si>
  <si>
    <t>4.AY AÇIK  DİĞER TAKSİTLERİ  6/4</t>
  </si>
  <si>
    <t>5.AY AÇIK  KSK. TAKSİTLERİ  6/3</t>
  </si>
  <si>
    <t>5.AY AÇIK  DİĞER TAKSİTLERİ  6/3</t>
  </si>
  <si>
    <t>6.AY AÇIK  KSK. TAKSİTLERİ  6/2</t>
  </si>
  <si>
    <t>6.AY AÇIK  DİĞER TAKSİTLERİ  6/2</t>
  </si>
  <si>
    <t>7.AY AÇIK  DİĞER TAKSİTLERİ  6/1</t>
  </si>
  <si>
    <t>7.AY AÇIK  KSK. TAKSİTLERİ  6/1</t>
  </si>
  <si>
    <t>34DV9829</t>
  </si>
  <si>
    <t>ALAETTİN ABANOZ</t>
  </si>
  <si>
    <t>34BLE858</t>
  </si>
  <si>
    <t>EMİRCAN DİKYOL</t>
  </si>
  <si>
    <t>06FK4116</t>
  </si>
  <si>
    <t>34DHG400</t>
  </si>
  <si>
    <t>NOT: TRAFİK BAZI POL 100 TL OLAN HAYAT POL. KESİLMİŞTİR.</t>
  </si>
  <si>
    <t>DAMLA ÇETİNKAYA</t>
  </si>
  <si>
    <t>34KOR333</t>
  </si>
  <si>
    <t xml:space="preserve">ÖMÜR YILMAZ </t>
  </si>
  <si>
    <t>34KBD759</t>
  </si>
  <si>
    <t>MEHMET ALTAY</t>
  </si>
  <si>
    <t>41AFN951</t>
  </si>
  <si>
    <t>ŞABAN VARDİ</t>
  </si>
  <si>
    <t>34DER592</t>
  </si>
  <si>
    <t>YAVUZ CACLAR</t>
  </si>
  <si>
    <t>34GC6262</t>
  </si>
  <si>
    <t>SÜLEYMAN AKUÇ</t>
  </si>
  <si>
    <t>34TP9224</t>
  </si>
  <si>
    <t>YAĞMUR TEKİN</t>
  </si>
  <si>
    <t>RAFET DOGAN</t>
  </si>
  <si>
    <t>34GP2060</t>
  </si>
  <si>
    <t>MUZAFFER ULUTAŞ</t>
  </si>
  <si>
    <t>06DL1953</t>
  </si>
  <si>
    <t>SÜKRÜ KALAÇ</t>
  </si>
  <si>
    <t>34EKY178</t>
  </si>
  <si>
    <t>İLYAS GÜNEY</t>
  </si>
  <si>
    <t>SEFER HAZIROĞLU</t>
  </si>
  <si>
    <t>61AEY944</t>
  </si>
  <si>
    <t>KUBİLAY YELKOVAN</t>
  </si>
  <si>
    <t>59B5439</t>
  </si>
  <si>
    <t>ŞÜKRÜ KALAÇ</t>
  </si>
  <si>
    <t>51AR167</t>
  </si>
  <si>
    <t>MERT DÖKMECİ</t>
  </si>
  <si>
    <t>34KJ6015</t>
  </si>
  <si>
    <t>FERYAL DÖKMECİ</t>
  </si>
  <si>
    <t>İBRAHİM YILDIRIM</t>
  </si>
  <si>
    <t>34EKL163</t>
  </si>
  <si>
    <t>BERKAY SARAÇOĞLU</t>
  </si>
  <si>
    <t>34CFN210</t>
  </si>
  <si>
    <t>34HIC401</t>
  </si>
  <si>
    <t>HASAN GÖRGÜN</t>
  </si>
  <si>
    <t>29/08/2025 ÖDENEN KOMİSYON</t>
  </si>
  <si>
    <t>EMRAH KAYA</t>
  </si>
  <si>
    <t>57KC048</t>
  </si>
  <si>
    <t>KEMAL GÖKCE</t>
  </si>
  <si>
    <t>34LSC296</t>
  </si>
  <si>
    <t>34LZ6528</t>
  </si>
  <si>
    <t>39AL648</t>
  </si>
  <si>
    <t>CEMALETTİN SOY</t>
  </si>
  <si>
    <t>34DU9566</t>
  </si>
  <si>
    <t>NAZ GÜLEN</t>
  </si>
  <si>
    <t>34NG778</t>
  </si>
  <si>
    <t>GÜNAY GÜLEN</t>
  </si>
  <si>
    <t>SERĞABUL MUSTAFA</t>
  </si>
  <si>
    <t>34ME8727</t>
  </si>
  <si>
    <t>YALÇIN BAYSU</t>
  </si>
  <si>
    <t>34MYS90</t>
  </si>
  <si>
    <t>HÜSEYİN KIZILÖZ</t>
  </si>
  <si>
    <t>16CKC45</t>
  </si>
  <si>
    <t>NİLÜFER KÖSE</t>
  </si>
  <si>
    <t>26TY836</t>
  </si>
  <si>
    <t>CEM ARSLAN KÖSE</t>
  </si>
  <si>
    <t>VAHAP İNCE</t>
  </si>
  <si>
    <t>KASIM DARGA</t>
  </si>
  <si>
    <t>34AHP218</t>
  </si>
  <si>
    <t>ALATTİN BAŞKAYA</t>
  </si>
  <si>
    <t>ERDOĞAN KARAKURT</t>
  </si>
  <si>
    <t>34PV4211</t>
  </si>
  <si>
    <t>FATİH ANDAÇ</t>
  </si>
  <si>
    <t>34DG6189</t>
  </si>
  <si>
    <t>BULUŞ ÇEYİZ</t>
  </si>
  <si>
    <t>52NA636</t>
  </si>
  <si>
    <t>TANJU TÜRK</t>
  </si>
  <si>
    <t>TERCİH İTHALAT ZÜCCACİYE</t>
  </si>
  <si>
    <t xml:space="preserve">HASANSOFUOĞLU YAPI </t>
  </si>
  <si>
    <t>34HFN322</t>
  </si>
  <si>
    <t>MUHAMMET ÖZDEMİR</t>
  </si>
  <si>
    <t>MUSTAFA BELLİ</t>
  </si>
  <si>
    <t>34AET567</t>
  </si>
  <si>
    <t>TERCİH İTHALAT</t>
  </si>
  <si>
    <t>34NIA095</t>
  </si>
  <si>
    <t>EROL DUŞ</t>
  </si>
  <si>
    <t>34VE451</t>
  </si>
  <si>
    <t>İSA DUŞ</t>
  </si>
  <si>
    <t>YUSUF SERT</t>
  </si>
  <si>
    <t>57HD666</t>
  </si>
  <si>
    <t>34MVU159</t>
  </si>
  <si>
    <t>ÖMER OSMAN ÖZKAN</t>
  </si>
  <si>
    <t>34BOS293</t>
  </si>
  <si>
    <t>EYLÜL 2025 YILI HESAP ÖZETİ</t>
  </si>
  <si>
    <t>BURAK YILMAZ</t>
  </si>
  <si>
    <t>34ZT9805</t>
  </si>
  <si>
    <t>SİNEM TÜFEKÇİOĞLU</t>
  </si>
  <si>
    <t>16YK</t>
  </si>
  <si>
    <t>ÇAĞRI ALTUNTAŞ</t>
  </si>
  <si>
    <t>34JD2807</t>
  </si>
  <si>
    <t>ÖNDER TAN</t>
  </si>
  <si>
    <t>34DZR817</t>
  </si>
  <si>
    <t>FATİH KİRPİTCİ</t>
  </si>
  <si>
    <t>34ESG483</t>
  </si>
  <si>
    <t>AYHAN SAĞLAM</t>
  </si>
  <si>
    <t>34ZDY78</t>
  </si>
  <si>
    <t>SERDANE ARICAN</t>
  </si>
  <si>
    <t>34DJ2220</t>
  </si>
  <si>
    <t>MEHMET MURAT TOMRUK</t>
  </si>
  <si>
    <t>34DP5577</t>
  </si>
  <si>
    <t>GÖRKEM ÇELEBİ</t>
  </si>
  <si>
    <t>34MCH507</t>
  </si>
  <si>
    <t>3.AY AÇIK  KSK. TAKSİTLERİ  6/6</t>
  </si>
  <si>
    <t>3.AY AÇIK  DİĞER TAKSİTLERİ  6/6</t>
  </si>
  <si>
    <t>4.AY AÇIK  KSK. TAKSİTLERİ  6/5</t>
  </si>
  <si>
    <t>4.AY AÇIK  DİĞER TAKSİTLERİ  6/5</t>
  </si>
  <si>
    <t>5.AY AÇIK  KSK. TAKSİTLERİ  6/4</t>
  </si>
  <si>
    <t>5.AY AÇIK  DİĞER TAKSİTLERİ  6/4</t>
  </si>
  <si>
    <t>6.AY AÇIK  KSK. TAKSİTLERİ  6/3</t>
  </si>
  <si>
    <t>6.AY AÇIK  DİĞER TAKSİTLERİ  6/3</t>
  </si>
  <si>
    <t>7.AY AÇIK  KSK. TAKSİTLERİ  6/2</t>
  </si>
  <si>
    <t>7.AY AÇIK  DİĞER TAKSİTLERİ  6/2</t>
  </si>
  <si>
    <t>8.AY AÇIK  KSK. TAKSİTLERİ  6/1</t>
  </si>
  <si>
    <t>8.AY AÇIK  DİĞER TAKSİTLERİ  6/1</t>
  </si>
  <si>
    <t>İHSAN ÇITLAK</t>
  </si>
  <si>
    <t>KAMURAN ÇELEBİ</t>
  </si>
  <si>
    <t>ELMAS ŞENEL</t>
  </si>
  <si>
    <t>34RU5591</t>
  </si>
  <si>
    <t>ARZU DEMİREL</t>
  </si>
  <si>
    <t>34BL9852</t>
  </si>
  <si>
    <t>AKIN ARVAS</t>
  </si>
  <si>
    <t>34DS6241</t>
  </si>
  <si>
    <t>ÖZGÜR KARAKUŞ</t>
  </si>
  <si>
    <t>34LIL91</t>
  </si>
  <si>
    <t>İHSAN AKSU</t>
  </si>
  <si>
    <t>34FJ7511</t>
  </si>
  <si>
    <t>34HKL358</t>
  </si>
  <si>
    <t>KAMBER ÇELİK</t>
  </si>
  <si>
    <t>BARIŞ CEMİLOĞLU</t>
  </si>
  <si>
    <t>34KK6958</t>
  </si>
  <si>
    <t>ABDULKERİM CEMİLOĞLU</t>
  </si>
  <si>
    <t>SİNAN ŞAHİN</t>
  </si>
  <si>
    <t>34BA7905</t>
  </si>
  <si>
    <t>AHMET UÇAR</t>
  </si>
  <si>
    <t>59UB249</t>
  </si>
  <si>
    <t>34MAZ033</t>
  </si>
  <si>
    <t>YAKUP ALKAN</t>
  </si>
  <si>
    <t>34GM6777</t>
  </si>
  <si>
    <t>EREN TOYGUR</t>
  </si>
  <si>
    <t>35AHV855</t>
  </si>
  <si>
    <t>HALİL ERTAN</t>
  </si>
  <si>
    <t>34GNH910</t>
  </si>
  <si>
    <t>BURAK KEFLİ</t>
  </si>
  <si>
    <t>34ZC5775</t>
  </si>
  <si>
    <t>34NS2188</t>
  </si>
  <si>
    <t>MUSA MUT</t>
  </si>
  <si>
    <t>34GVS836</t>
  </si>
  <si>
    <t>34FV867</t>
  </si>
  <si>
    <t>HAKAN KARAKUŞ</t>
  </si>
  <si>
    <t>MEHMET ALİ MALKAŞ</t>
  </si>
  <si>
    <t>34KMG312</t>
  </si>
  <si>
    <t>09ANB144</t>
  </si>
  <si>
    <t>BEHSAT ÖZTÜRK</t>
  </si>
  <si>
    <t>34TP2056</t>
  </si>
  <si>
    <t>BİLAL VERMEZ</t>
  </si>
  <si>
    <t>34VRM94</t>
  </si>
  <si>
    <t>ALİ ATEŞ</t>
  </si>
  <si>
    <t>59YS124</t>
  </si>
  <si>
    <t>YAŞAR KÜÇÜK/MURAT MUTLU</t>
  </si>
  <si>
    <t>CEMİLE KARTAL</t>
  </si>
  <si>
    <t>34HBC719</t>
  </si>
  <si>
    <t>50AFM617</t>
  </si>
  <si>
    <t>34HKJ317</t>
  </si>
  <si>
    <t>MEHMET TEMİZ</t>
  </si>
  <si>
    <t>60ADM393</t>
  </si>
  <si>
    <t>VEYSEL TEMİZ</t>
  </si>
  <si>
    <t>EKİM 2025 YILI HESAP ÖZETİ</t>
  </si>
  <si>
    <t>HASAN OSMANOĞLU</t>
  </si>
  <si>
    <t>ARZU KALAY</t>
  </si>
  <si>
    <t>YAVUZ AKTARLİ</t>
  </si>
  <si>
    <t>34FE0833</t>
  </si>
  <si>
    <t>REMZİ AKTARLİ</t>
  </si>
  <si>
    <t>EYÜPHAN KARTAL</t>
  </si>
  <si>
    <t>17AGE022</t>
  </si>
  <si>
    <t>BİHTER AUDHOUİ</t>
  </si>
  <si>
    <t>ERKAN ERSAN</t>
  </si>
  <si>
    <t>34DPY21</t>
  </si>
  <si>
    <t>NERGİZ ŞAHİN</t>
  </si>
  <si>
    <t>34FM6291</t>
  </si>
  <si>
    <t>YAVUZ ŞAHİN</t>
  </si>
  <si>
    <t>OĞUZHAN İMAMLI</t>
  </si>
  <si>
    <t>14KR740</t>
  </si>
  <si>
    <t>TOLGA KÜÇÜKÇAKIR</t>
  </si>
  <si>
    <t>34LC8143</t>
  </si>
  <si>
    <t>YASİN KÜÇÜKÇAKIR</t>
  </si>
  <si>
    <t>RECEP SOYSAL</t>
  </si>
  <si>
    <t>34MDL308</t>
  </si>
  <si>
    <t>MEHMET SOYSAL</t>
  </si>
  <si>
    <t>BUDKA TEKSTİL</t>
  </si>
  <si>
    <t>AKİF KAYA</t>
  </si>
  <si>
    <t>34DVZ082</t>
  </si>
  <si>
    <t>SAVAŞ FİDAN</t>
  </si>
  <si>
    <t>34DRE748</t>
  </si>
  <si>
    <t>EMİR ZAFER KESKİN</t>
  </si>
  <si>
    <t>34AS045</t>
  </si>
  <si>
    <t>ENES DURAN</t>
  </si>
  <si>
    <t>34DPG379</t>
  </si>
  <si>
    <t>EMİN ZAFER KESKİN</t>
  </si>
  <si>
    <t>TUBA ÖZDEMİR</t>
  </si>
  <si>
    <t>34VK2915</t>
  </si>
  <si>
    <t>YAVUZ KARAMAN</t>
  </si>
  <si>
    <t>34DKN666</t>
  </si>
  <si>
    <t>TURAN BAYSU</t>
  </si>
  <si>
    <t>34LDG28</t>
  </si>
  <si>
    <t>4.AY AÇIK  KSK. TAKSİTLERİ  6/6</t>
  </si>
  <si>
    <t>4.AY AÇIK  DİĞER TAKSİTLERİ  6/6</t>
  </si>
  <si>
    <t>5.AY AÇIK  KSK. TAKSİTLERİ  6/5</t>
  </si>
  <si>
    <t>5.AY AÇIK  DİĞER TAKSİTLERİ  6/5</t>
  </si>
  <si>
    <t>6.AY AÇIK  KSK. TAKSİTLERİ  6/4</t>
  </si>
  <si>
    <t>6.AY AÇIK  DİĞER TAKSİTLERİ  6/4</t>
  </si>
  <si>
    <t>7.AY AÇIK  KSK. TAKSİTLERİ  6/3</t>
  </si>
  <si>
    <t>7.AY AÇIK  DİĞER TAKSİTLERİ  6/3</t>
  </si>
  <si>
    <t>8.AY AÇIK  KSK. TAKSİTLERİ  6/2</t>
  </si>
  <si>
    <t>8.AY AÇIK  DİĞER TAKSİTLERİ  6/2</t>
  </si>
  <si>
    <t>9.AY AÇIK  KSK. TAKSİTLERİ  6/1</t>
  </si>
  <si>
    <t>9.AY AÇIK  DİĞER TAKSİTLERİ  6/1</t>
  </si>
  <si>
    <t>ALİ ERCAN</t>
  </si>
  <si>
    <t>34HKT748</t>
  </si>
  <si>
    <t>NEJLA DÖVEN</t>
  </si>
  <si>
    <t>34BGZ711</t>
  </si>
  <si>
    <t>MEHTAP KARTAL</t>
  </si>
  <si>
    <t>34MDV371</t>
  </si>
  <si>
    <t>TUBA ARSLAN</t>
  </si>
  <si>
    <t>34DPR141</t>
  </si>
  <si>
    <t>ALİ YILDIZ</t>
  </si>
  <si>
    <t>34LOK411</t>
  </si>
  <si>
    <t>EREN COŞKUN</t>
  </si>
  <si>
    <t>34UFT51</t>
  </si>
  <si>
    <t>HÜSEYİN KAYA</t>
  </si>
  <si>
    <t>34LAH353</t>
  </si>
  <si>
    <t>MEHMET ALİ KAYA</t>
  </si>
  <si>
    <t xml:space="preserve">MUZAFFER CAN </t>
  </si>
  <si>
    <t>34GEG618</t>
  </si>
  <si>
    <t>ELİF BAŞARAN</t>
  </si>
  <si>
    <t>34CZD069</t>
  </si>
  <si>
    <t>MÜSLÜM SAVCI</t>
  </si>
  <si>
    <t>34LP0140</t>
  </si>
  <si>
    <t>GÖKHAN ATUĞ</t>
  </si>
  <si>
    <t>34VG6829</t>
  </si>
  <si>
    <t>34MEC222</t>
  </si>
  <si>
    <t>MEHMET DER</t>
  </si>
  <si>
    <t>SEVİNDIK GIDA</t>
  </si>
  <si>
    <t>34ER7986</t>
  </si>
  <si>
    <t>CEMAL POYRAZ</t>
  </si>
  <si>
    <t>MURAT AKBULUT</t>
  </si>
  <si>
    <t>34EUK390</t>
  </si>
  <si>
    <t>34ZT4003</t>
  </si>
  <si>
    <t>MUKADDES IŞIK</t>
  </si>
  <si>
    <t>39ES585</t>
  </si>
  <si>
    <t>EYME HOME</t>
  </si>
  <si>
    <t>EYYUP BOZKALE</t>
  </si>
  <si>
    <t>34GIH989</t>
  </si>
  <si>
    <t>HALİT DEMİR</t>
  </si>
  <si>
    <t>54ZZ625</t>
  </si>
  <si>
    <t>HAKAN DURAN</t>
  </si>
  <si>
    <t>34MTY181</t>
  </si>
  <si>
    <t>ÖMER FARUK MALKAŞ</t>
  </si>
  <si>
    <t>BAYRAM EKİNCİ</t>
  </si>
  <si>
    <t>UĞURCAN ÇELİK</t>
  </si>
  <si>
    <t>MEHMET KAYA</t>
  </si>
  <si>
    <t>DENİZ ÖZCAN</t>
  </si>
  <si>
    <t>34BJS068</t>
  </si>
  <si>
    <t>DENİZ KÖSTEK</t>
  </si>
  <si>
    <t>34SV6758</t>
  </si>
  <si>
    <t>26AS092</t>
  </si>
  <si>
    <t>ALİ YILDIRIM</t>
  </si>
  <si>
    <t>MELTEM ÖNER</t>
  </si>
  <si>
    <t>KEMAL DEMİR</t>
  </si>
  <si>
    <t>34AH3087</t>
  </si>
  <si>
    <t>MUSTAFA ÖZER</t>
  </si>
  <si>
    <t>34MEJ977</t>
  </si>
  <si>
    <t>ZEYNEL TURĞUT</t>
  </si>
  <si>
    <t>34FFE691</t>
  </si>
  <si>
    <t>GÜRAY MİLDAN</t>
  </si>
  <si>
    <t>34LEP153</t>
  </si>
  <si>
    <t>YUSUF ÇELİK</t>
  </si>
  <si>
    <t>34HMB839</t>
  </si>
  <si>
    <t>İDRİS DEMİRTAŞ</t>
  </si>
  <si>
    <t>34HOD898</t>
  </si>
  <si>
    <t>BASRİ ŞENEL</t>
  </si>
  <si>
    <t>HÜSEYİN BAŞALAN</t>
  </si>
  <si>
    <t>34FT1553</t>
  </si>
  <si>
    <t>MEHMET AKTAŞ</t>
  </si>
  <si>
    <t>TURGAY ARSLAN</t>
  </si>
  <si>
    <t>34LHD35</t>
  </si>
  <si>
    <t>ALPER AYDAŞ</t>
  </si>
  <si>
    <t>34RPL52</t>
  </si>
  <si>
    <t>34SZ3029</t>
  </si>
  <si>
    <t>34HLZ934</t>
  </si>
  <si>
    <t>HALİM ŞAHBAZ</t>
  </si>
  <si>
    <t>EMİN KESKİN</t>
  </si>
  <si>
    <t>OSMAN HABİBOĞLU</t>
  </si>
  <si>
    <t>ÜRET ÇELİK</t>
  </si>
  <si>
    <t>34DME465</t>
  </si>
  <si>
    <t>34NID841</t>
  </si>
  <si>
    <t>ERDAL ÇELİK</t>
  </si>
  <si>
    <t>34FH8664</t>
  </si>
  <si>
    <t>CEMAL SARIOĞLU</t>
  </si>
  <si>
    <t>34KA7851</t>
  </si>
  <si>
    <t>MUSTAFA GÜN</t>
  </si>
  <si>
    <t>15AZ548</t>
  </si>
  <si>
    <t>59AEL995</t>
  </si>
  <si>
    <t xml:space="preserve">ÜRET ÇELİK </t>
  </si>
  <si>
    <t>AHMET ÇİMEN</t>
  </si>
  <si>
    <t>34BY8404</t>
  </si>
  <si>
    <t>MAHMUT AĞAOĞLU</t>
  </si>
  <si>
    <t>34CRA354</t>
  </si>
  <si>
    <t>34ZF7811</t>
  </si>
  <si>
    <t>NEZAKET KÜLOĞLU</t>
  </si>
  <si>
    <t>55AJK089</t>
  </si>
  <si>
    <t>ENVER TERZİ</t>
  </si>
  <si>
    <t>34GTC296</t>
  </si>
  <si>
    <t>34MGE414</t>
  </si>
  <si>
    <t>NEDİM KOÇHAN</t>
  </si>
  <si>
    <t>06AC8519</t>
  </si>
  <si>
    <t>ZAFERLER DAYANIKLI</t>
  </si>
  <si>
    <t>34FE0452</t>
  </si>
  <si>
    <t>KASIM 2025 YILI HESAP ÖZETİ</t>
  </si>
  <si>
    <t>34VRM93</t>
  </si>
  <si>
    <t>AYNUR ÖZTÜRK</t>
  </si>
  <si>
    <t>34BOJ642</t>
  </si>
  <si>
    <t>MAHMUT ÖZKAYA</t>
  </si>
  <si>
    <t>34GDH330</t>
  </si>
  <si>
    <t>MELEK RAVZA ÖZKARTAL</t>
  </si>
  <si>
    <t>RAMAZAN KÜÇÜK/FİKRET GÜRCİHAN</t>
  </si>
  <si>
    <t xml:space="preserve">RAMAZAN KÜÇÜK </t>
  </si>
  <si>
    <t>SAMET SELDÜZ</t>
  </si>
  <si>
    <t>FATMA ASLIHAN ATEŞ</t>
  </si>
  <si>
    <t>34EB3260</t>
  </si>
  <si>
    <t>55AIS025</t>
  </si>
  <si>
    <t>MUHSİN GÜNEY</t>
  </si>
  <si>
    <t>34TV1282</t>
  </si>
  <si>
    <t>KEMAL ÖZUĞUR</t>
  </si>
  <si>
    <t>34PU3174</t>
  </si>
  <si>
    <t>SELAHATTİN ÖZUĞUR</t>
  </si>
  <si>
    <t>RECEP AYAR</t>
  </si>
  <si>
    <t>34BPC062</t>
  </si>
  <si>
    <t>VİP WATER</t>
  </si>
  <si>
    <t>HAYDAR SÜMER</t>
  </si>
  <si>
    <t>TURAN DURSUN</t>
  </si>
  <si>
    <t>İSMAİL DEĞİRMENCİ</t>
  </si>
  <si>
    <t>34PL3077</t>
  </si>
  <si>
    <t>45AHF461</t>
  </si>
  <si>
    <t>ABDULKERİM TÜRK</t>
  </si>
  <si>
    <t>59ACL048</t>
  </si>
  <si>
    <t>SALİM GÖKCE</t>
  </si>
  <si>
    <t>34CHC339</t>
  </si>
  <si>
    <t>34MLT072</t>
  </si>
  <si>
    <t>RİFAT ÇELİK</t>
  </si>
  <si>
    <t>GÜLŞEN KARABACAK</t>
  </si>
  <si>
    <t>34GSE334</t>
  </si>
  <si>
    <t>06H9785</t>
  </si>
  <si>
    <t>34PVL26</t>
  </si>
  <si>
    <t xml:space="preserve">YAŞAR KÜÇÜK </t>
  </si>
  <si>
    <t>KOMİSYON ÖDEMESİ 30.10.2025</t>
  </si>
  <si>
    <t>KEMAL ANAHTAR</t>
  </si>
  <si>
    <t>34MHL153</t>
  </si>
  <si>
    <t>DURSUN ŞEN</t>
  </si>
  <si>
    <t>34GN6523</t>
  </si>
  <si>
    <t>AYŞENAZ ÇINAR</t>
  </si>
  <si>
    <t>34RZ2088</t>
  </si>
  <si>
    <t>SELAMİ ÇINAR</t>
  </si>
  <si>
    <t>AYŞENUR SHEIKH ZEKKO</t>
  </si>
  <si>
    <t>34JYR37</t>
  </si>
  <si>
    <t>FİLİZ KALAYCI</t>
  </si>
  <si>
    <t>ADEM ÇELİK</t>
  </si>
  <si>
    <t xml:space="preserve">ENES SÜMER </t>
  </si>
  <si>
    <t>34GA6594</t>
  </si>
  <si>
    <t>SEZGİN ÇELİK</t>
  </si>
  <si>
    <t>34GJP595</t>
  </si>
  <si>
    <t>TUĞÇE KESİMOĞLU</t>
  </si>
  <si>
    <t>34HOS499</t>
  </si>
  <si>
    <t>MUHAMMET VARDİ</t>
  </si>
  <si>
    <t>MELEK ELİK</t>
  </si>
  <si>
    <t>34JM9488</t>
  </si>
  <si>
    <t>UĞUR ELİK</t>
  </si>
  <si>
    <t>ÖMER ERTAN</t>
  </si>
  <si>
    <t>34DM4644</t>
  </si>
  <si>
    <t>ÖMER BOLAT</t>
  </si>
  <si>
    <t>34PAH958</t>
  </si>
  <si>
    <t>AYŞE BAK</t>
  </si>
  <si>
    <t>34DMH262</t>
  </si>
  <si>
    <t>TAYFUN ÖZYOLCU</t>
  </si>
  <si>
    <t>34MIA707</t>
  </si>
  <si>
    <t>ELİF BEKYÜREK</t>
  </si>
  <si>
    <t>52BE808</t>
  </si>
  <si>
    <t>ONUR BEKYÜREK</t>
  </si>
  <si>
    <t>5.AY AÇIK  KSK. TAKSİTLERİ  6/6</t>
  </si>
  <si>
    <t>5.AY AÇIK  DİĞER TAKSİTLERİ  6/6</t>
  </si>
  <si>
    <t>6.AY AÇIK  KSK. TAKSİTLERİ  6/5</t>
  </si>
  <si>
    <t>6.AY AÇIK  DİĞER TAKSİTLERİ  6/5</t>
  </si>
  <si>
    <t>7.AY AÇIK  KSK. TAKSİTLERİ  6/4</t>
  </si>
  <si>
    <t>7.AY AÇIK  DİĞER TAKSİTLERİ  6/4</t>
  </si>
  <si>
    <t>8.AY AÇIK  KSK. TAKSİTLERİ  6/3</t>
  </si>
  <si>
    <t>8.AY AÇIK  DİĞER TAKSİTLERİ  6/3</t>
  </si>
  <si>
    <t>9.AY AÇIK  KSK. TAKSİTLERİ  6/2</t>
  </si>
  <si>
    <t>9.AY AÇIK  DİĞER TAKSİTLERİ  6/2</t>
  </si>
  <si>
    <t>10.AY AÇIK  KSK. TAKSİTLERİ  6/1</t>
  </si>
  <si>
    <t>10.AY AÇIK  DİĞER TAKSİTLERİ  6/1</t>
  </si>
  <si>
    <t>TANSEL IŞIK</t>
  </si>
  <si>
    <t>HASAN ŞILAK</t>
  </si>
  <si>
    <t>35P7289</t>
  </si>
  <si>
    <t>DURU YIKAMA</t>
  </si>
  <si>
    <t>GÜLŞAH ERDEN</t>
  </si>
  <si>
    <t>34HRU162</t>
  </si>
  <si>
    <t>34SN0861</t>
  </si>
  <si>
    <t>SALİH ALTUNTAŞ</t>
  </si>
  <si>
    <t>34DU4404</t>
  </si>
  <si>
    <t>SELDA BOZKURT</t>
  </si>
  <si>
    <t>34CTF669</t>
  </si>
  <si>
    <t>MEHMET HAN BOZKURT</t>
  </si>
  <si>
    <t>S.S. 373 NOLU İSTANBUL</t>
  </si>
  <si>
    <t>34ZU4839</t>
  </si>
  <si>
    <t>S.S. 373 NOLU KARGO</t>
  </si>
  <si>
    <t>34DK5856</t>
  </si>
  <si>
    <t>34ND3670</t>
  </si>
  <si>
    <t>ERKİN DELİKTAŞ</t>
  </si>
  <si>
    <t>34BGU371</t>
  </si>
  <si>
    <t>EMİN ÖZLÜ</t>
  </si>
  <si>
    <t>HİDAYET GÜNBELDEK</t>
  </si>
  <si>
    <t>34GC5228</t>
  </si>
  <si>
    <t>İBRAHİM KILIÇ</t>
  </si>
  <si>
    <t>TURHAN ARVAS</t>
  </si>
  <si>
    <t>CEVAT ALAĞAŞ</t>
  </si>
  <si>
    <t>MUSTAFA DERE</t>
  </si>
  <si>
    <t>İSA CİĞERCİ</t>
  </si>
  <si>
    <t>ASUMAN KELEŞ</t>
  </si>
  <si>
    <t>KOMİSYON ÖDEMESİ 28.11.2025</t>
  </si>
  <si>
    <t>AYTEN ÇİVELEKOĞLU</t>
  </si>
  <si>
    <t>34PU4945</t>
  </si>
  <si>
    <t>UFUK DAĞAŞAN</t>
  </si>
  <si>
    <t>34EMT126</t>
  </si>
  <si>
    <t>ARALIK 2025 YILI HESAP ÖZETİ</t>
  </si>
  <si>
    <t>MAHİR ŞEKER</t>
  </si>
  <si>
    <t>34PPD59</t>
  </si>
  <si>
    <t>HARUN ÜNAL</t>
  </si>
  <si>
    <t>34DPF157</t>
  </si>
  <si>
    <t>EROL MİLDAN/İSMAİL ERGÜN</t>
  </si>
  <si>
    <t>KÜBRA YILMAZ</t>
  </si>
  <si>
    <t>34EPL254</t>
  </si>
  <si>
    <t>YILDIRIM TOPALOĞLU</t>
  </si>
  <si>
    <t>34PDB332</t>
  </si>
  <si>
    <t>YÜCEL DEMİR</t>
  </si>
  <si>
    <t>34CBA743</t>
  </si>
  <si>
    <t>HAKAN CAN</t>
  </si>
  <si>
    <t>16SIN96</t>
  </si>
  <si>
    <t>34HUY985</t>
  </si>
  <si>
    <t>FERİDE YAKA</t>
  </si>
  <si>
    <t>34VR052</t>
  </si>
  <si>
    <t>SOFT YIKAMA</t>
  </si>
  <si>
    <t>34RNF80</t>
  </si>
  <si>
    <t>EMRE ONUR GÖKMEN</t>
  </si>
  <si>
    <t>34HZG861</t>
  </si>
  <si>
    <t>6.AY AÇIK  KSK. TAKSİTLERİ  6/6</t>
  </si>
  <si>
    <t>6.AY AÇIK  DİĞER TAKSİTLERİ  6/6</t>
  </si>
  <si>
    <t>7.AY AÇIK  KSK. TAKSİTLERİ  6/5</t>
  </si>
  <si>
    <t>7.AY AÇIK  DİĞER TAKSİTLERİ  6/5</t>
  </si>
  <si>
    <t>8.AY AÇIK  KSK. TAKSİTLERİ  6/4</t>
  </si>
  <si>
    <t>8.AY AÇIK  DİĞER TAKSİTLERİ  6/4</t>
  </si>
  <si>
    <t>9.AY AÇIK  KSK. TAKSİTLERİ  6/3</t>
  </si>
  <si>
    <t>9.AY AÇIK  DİĞER TAKSİTLERİ  6/3</t>
  </si>
  <si>
    <t>10.AY AÇIK  KSK. TAKSİTLERİ  6/2</t>
  </si>
  <si>
    <t>10.AY AÇIK  DİĞER TAKSİTLERİ  6/2</t>
  </si>
  <si>
    <t>11.AY AÇIK  KSK. TAKSİTLERİ  6/1</t>
  </si>
  <si>
    <t>11.AY AÇIK  DİĞER TAKSİTLERİ  6/1</t>
  </si>
  <si>
    <t>ALAATTİN BAŞKAYA</t>
  </si>
  <si>
    <t>SELVER BEGEN</t>
  </si>
  <si>
    <t>BÜLENT YILMAZ</t>
  </si>
  <si>
    <t>ZARİF ŞİMŞEK</t>
  </si>
  <si>
    <t>VEYSEL BAKICI</t>
  </si>
  <si>
    <t>HABİP KILIÇ</t>
  </si>
  <si>
    <t>BEDİRHAN BAHADIR</t>
  </si>
  <si>
    <t>SEBAHAT ŞENSES</t>
  </si>
  <si>
    <t>İBRAHİM ŞENSES</t>
  </si>
  <si>
    <t>MEHMET ŞİRİN DURSUN</t>
  </si>
  <si>
    <t>04ABB328</t>
  </si>
  <si>
    <t>İHSAN BAYRAM</t>
  </si>
  <si>
    <t>FATİH YEŞİLKAYA</t>
  </si>
  <si>
    <t>08ABU401</t>
  </si>
  <si>
    <t>ÜMİT GÜLER</t>
  </si>
  <si>
    <t>37ADR861</t>
  </si>
  <si>
    <t>BAYRAM GÜLER</t>
  </si>
  <si>
    <t>34NOG882</t>
  </si>
  <si>
    <t>İRAHİM HALİL AYDOĞAN</t>
  </si>
  <si>
    <t>34BYT252</t>
  </si>
  <si>
    <t>EMRE ŞAHİN</t>
  </si>
  <si>
    <t>34YTZ34</t>
  </si>
  <si>
    <t>İBRAHİM ARVAS</t>
  </si>
  <si>
    <t>34MJJ532</t>
  </si>
  <si>
    <t>34DOB960</t>
  </si>
  <si>
    <t>AYDIN BİRCAN</t>
  </si>
  <si>
    <t>34FHD168</t>
  </si>
  <si>
    <t>MELİHA AYŞENUR KİRPİTCİ</t>
  </si>
  <si>
    <t>34ESG204</t>
  </si>
  <si>
    <t>ZAHİD KİRPİTCİ</t>
  </si>
  <si>
    <t>RAMAZAN ERUŞ</t>
  </si>
  <si>
    <t>34GMF059</t>
  </si>
  <si>
    <t>DOĞUKAN HAZIROĞLU</t>
  </si>
  <si>
    <t>CEMAL ŞEN</t>
  </si>
  <si>
    <t>34HJ2574</t>
  </si>
  <si>
    <t>34NAL329</t>
  </si>
  <si>
    <t>EDİZ AKKURT</t>
  </si>
  <si>
    <t>AHMET KIZILKAN</t>
  </si>
  <si>
    <t>34MLC972</t>
  </si>
  <si>
    <t>SELÇUK ŞORAY</t>
  </si>
  <si>
    <t>32ACE927</t>
  </si>
  <si>
    <t>YİĞİTCAN GÖKALP</t>
  </si>
  <si>
    <t>34KEZ879</t>
  </si>
  <si>
    <t>DİLBER GÖKALP</t>
  </si>
  <si>
    <t>URFAN EKİNCİ</t>
  </si>
  <si>
    <t>34VVG58</t>
  </si>
  <si>
    <t xml:space="preserve">FATİH İNAN </t>
  </si>
  <si>
    <t>34KN461</t>
  </si>
  <si>
    <t>MEHMET KIŞLAR</t>
  </si>
  <si>
    <t>07CFD38</t>
  </si>
  <si>
    <t>KAAN ÖZAL</t>
  </si>
  <si>
    <t>34CLE425</t>
  </si>
  <si>
    <t>AHMET TEKİN</t>
  </si>
  <si>
    <t>05FF043</t>
  </si>
  <si>
    <t>YUSUF FİDAN</t>
  </si>
  <si>
    <t>ORHAN BOZKURT</t>
  </si>
  <si>
    <t>PİRAĞA EYÜBOĞLU</t>
  </si>
  <si>
    <t>HULUSİ TOP</t>
  </si>
  <si>
    <t>ADEM DERECİ</t>
  </si>
  <si>
    <t>HAKAN KIŞLAR</t>
  </si>
  <si>
    <t>İBRAHİM DERE</t>
  </si>
  <si>
    <t>İLHAN KÜÇÜK</t>
  </si>
  <si>
    <t>HASAN MAHMATLIOĞLU</t>
  </si>
  <si>
    <t>HASAN ATEŞ</t>
  </si>
  <si>
    <t>ZİYA BAŞLİ</t>
  </si>
  <si>
    <t>EROL YILDIZ</t>
  </si>
  <si>
    <t>AYSEN TÜYLÜ</t>
  </si>
  <si>
    <t>7.AY AÇIK  DİĞER TAKSİTLERİ  6/6</t>
  </si>
  <si>
    <t>8.AY AÇIK  DİĞER TAKSİTLERİ  6/5</t>
  </si>
  <si>
    <t>9.AY AÇIK  DİĞER TAKSİTLERİ  6/4</t>
  </si>
  <si>
    <t>10.AY AÇIK  DİĞER TAKSİTLERİ  6/3</t>
  </si>
  <si>
    <t>11.AY AÇIK  DİĞER TAKSİTLERİ  6/2</t>
  </si>
  <si>
    <t>12.AY AÇIK  DİĞER TAKSİTLERİ  6/2</t>
  </si>
  <si>
    <t>KOMİSYON ÖDEMESİ 31.12.2025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</si>
</sst>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yy;@"/>
    <numFmt numFmtId="165" formatCode="00000"/>
    <numFmt numFmtId="166" formatCode="#,##0.00_ ;[Red]\-#,##0.00\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8.5"/>
      <color theme="1"/>
      <name val="Calibri"/>
      <family val="2"/>
      <charset val="16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FF0000"/>
      <name val="Calibri"/>
      <family val="2"/>
      <charset val="162"/>
      <scheme val="minor"/>
    </font>
    <font>
      <sz val="9"/>
      <color rgb="FF000000"/>
      <name val="Arial"/>
      <family val="2"/>
      <charset val="162"/>
    </font>
    <font>
      <b/>
      <sz val="11"/>
      <color rgb="FF1B1D52"/>
      <name val="Source Sans Pro"/>
      <family val="2"/>
    </font>
    <font>
      <b/>
      <sz val="9"/>
      <color rgb="FFFF0000"/>
      <name val="Source Sans Pro"/>
      <family val="2"/>
    </font>
    <font>
      <b/>
      <sz val="9"/>
      <color rgb="FF000000"/>
      <name val="Arial"/>
      <family val="2"/>
      <charset val="162"/>
    </font>
    <font>
      <b/>
      <sz val="9"/>
      <name val="Calibri"/>
      <family val="2"/>
      <charset val="162"/>
      <scheme val="minor"/>
    </font>
    <font>
      <b/>
      <sz val="9"/>
      <color rgb="FFEE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7">
    <xf numFmtId="0" fontId="0" fillId="0" borderId="0" xfId="0"/>
    <xf numFmtId="164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3" fillId="0" borderId="1" xfId="0" applyNumberFormat="1" applyFont="1" applyBorder="1"/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43" fontId="3" fillId="3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3" fillId="4" borderId="1" xfId="0" applyNumberFormat="1" applyFont="1" applyFill="1" applyBorder="1" applyAlignment="1">
      <alignment horizontal="center" vertical="center"/>
    </xf>
    <xf numFmtId="43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43" fontId="3" fillId="5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3" fontId="6" fillId="7" borderId="1" xfId="0" applyNumberFormat="1" applyFont="1" applyFill="1" applyBorder="1" applyAlignment="1">
      <alignment horizontal="center" vertical="center"/>
    </xf>
    <xf numFmtId="43" fontId="4" fillId="8" borderId="2" xfId="0" applyNumberFormat="1" applyFont="1" applyFill="1" applyBorder="1" applyAlignment="1">
      <alignment horizontal="center" vertical="center"/>
    </xf>
    <xf numFmtId="43" fontId="4" fillId="7" borderId="2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2" fontId="4" fillId="9" borderId="1" xfId="0" applyNumberFormat="1" applyFont="1" applyFill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43" fontId="2" fillId="8" borderId="1" xfId="0" applyNumberFormat="1" applyFont="1" applyFill="1" applyBorder="1" applyAlignment="1">
      <alignment horizontal="center" vertical="center"/>
    </xf>
    <xf numFmtId="17" fontId="3" fillId="0" borderId="1" xfId="0" applyNumberFormat="1" applyFont="1" applyBorder="1"/>
    <xf numFmtId="0" fontId="0" fillId="6" borderId="1" xfId="0" applyFill="1" applyBorder="1" applyAlignment="1">
      <alignment horizontal="left" vertical="top"/>
    </xf>
    <xf numFmtId="0" fontId="7" fillId="6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3" fontId="3" fillId="5" borderId="1" xfId="0" applyNumberFormat="1" applyFont="1" applyFill="1" applyBorder="1" applyAlignment="1">
      <alignment horizontal="left" vertical="center"/>
    </xf>
    <xf numFmtId="43" fontId="3" fillId="0" borderId="1" xfId="0" applyNumberFormat="1" applyFont="1" applyBorder="1" applyAlignment="1">
      <alignment horizontal="right"/>
    </xf>
    <xf numFmtId="43" fontId="3" fillId="4" borderId="1" xfId="0" applyNumberFormat="1" applyFont="1" applyFill="1" applyBorder="1" applyAlignment="1">
      <alignment horizontal="right"/>
    </xf>
    <xf numFmtId="0" fontId="4" fillId="8" borderId="1" xfId="0" applyFont="1" applyFill="1" applyBorder="1" applyAlignment="1">
      <alignment horizontal="left" vertical="top"/>
    </xf>
    <xf numFmtId="43" fontId="4" fillId="8" borderId="1" xfId="0" applyNumberFormat="1" applyFont="1" applyFill="1" applyBorder="1" applyAlignment="1">
      <alignment horizontal="left" vertical="top"/>
    </xf>
    <xf numFmtId="43" fontId="4" fillId="9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43" fontId="4" fillId="7" borderId="1" xfId="0" applyNumberFormat="1" applyFont="1" applyFill="1" applyBorder="1" applyAlignment="1">
      <alignment horizontal="left" vertical="top"/>
    </xf>
    <xf numFmtId="0" fontId="2" fillId="9" borderId="1" xfId="0" applyFont="1" applyFill="1" applyBorder="1" applyAlignment="1">
      <alignment horizontal="left" vertical="top"/>
    </xf>
    <xf numFmtId="43" fontId="2" fillId="9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top"/>
    </xf>
    <xf numFmtId="0" fontId="4" fillId="9" borderId="1" xfId="0" applyFont="1" applyFill="1" applyBorder="1" applyAlignment="1">
      <alignment horizontal="center" vertical="center"/>
    </xf>
    <xf numFmtId="43" fontId="4" fillId="2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164" fontId="3" fillId="4" borderId="1" xfId="0" applyNumberFormat="1" applyFont="1" applyFill="1" applyBorder="1"/>
    <xf numFmtId="0" fontId="3" fillId="4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43" fontId="3" fillId="4" borderId="1" xfId="0" applyNumberFormat="1" applyFont="1" applyFill="1" applyBorder="1"/>
    <xf numFmtId="0" fontId="3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2" borderId="1" xfId="0" applyFont="1" applyFill="1" applyBorder="1"/>
    <xf numFmtId="4" fontId="3" fillId="2" borderId="1" xfId="0" applyNumberFormat="1" applyFont="1" applyFill="1" applyBorder="1" applyAlignment="1">
      <alignment vertical="center"/>
    </xf>
    <xf numFmtId="165" fontId="3" fillId="3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9" fontId="3" fillId="0" borderId="1" xfId="0" applyNumberFormat="1" applyFont="1" applyBorder="1"/>
    <xf numFmtId="14" fontId="3" fillId="0" borderId="1" xfId="0" applyNumberFormat="1" applyFont="1" applyBorder="1"/>
    <xf numFmtId="0" fontId="3" fillId="3" borderId="1" xfId="0" applyFont="1" applyFill="1" applyBorder="1" applyAlignment="1">
      <alignment horizontal="center"/>
    </xf>
    <xf numFmtId="43" fontId="3" fillId="3" borderId="1" xfId="0" applyNumberFormat="1" applyFont="1" applyFill="1" applyBorder="1"/>
    <xf numFmtId="0" fontId="3" fillId="3" borderId="1" xfId="0" applyFont="1" applyFill="1" applyBorder="1"/>
    <xf numFmtId="0" fontId="3" fillId="11" borderId="1" xfId="0" applyFont="1" applyFill="1" applyBorder="1" applyAlignment="1">
      <alignment horizontal="center"/>
    </xf>
    <xf numFmtId="43" fontId="3" fillId="11" borderId="1" xfId="0" applyNumberFormat="1" applyFont="1" applyFill="1" applyBorder="1"/>
    <xf numFmtId="1" fontId="3" fillId="4" borderId="1" xfId="0" applyNumberFormat="1" applyFont="1" applyFill="1" applyBorder="1"/>
    <xf numFmtId="164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3" fontId="3" fillId="5" borderId="1" xfId="0" applyNumberFormat="1" applyFont="1" applyFill="1" applyBorder="1"/>
    <xf numFmtId="0" fontId="0" fillId="0" borderId="1" xfId="0" applyBorder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  <xf numFmtId="0" fontId="7" fillId="0" borderId="0" xfId="0" applyFont="1"/>
    <xf numFmtId="0" fontId="6" fillId="6" borderId="1" xfId="0" applyFont="1" applyFill="1" applyBorder="1"/>
    <xf numFmtId="0" fontId="6" fillId="7" borderId="1" xfId="0" applyFont="1" applyFill="1" applyBorder="1"/>
    <xf numFmtId="43" fontId="6" fillId="7" borderId="1" xfId="0" applyNumberFormat="1" applyFont="1" applyFill="1" applyBorder="1"/>
    <xf numFmtId="43" fontId="4" fillId="8" borderId="2" xfId="0" applyNumberFormat="1" applyFont="1" applyFill="1" applyBorder="1"/>
    <xf numFmtId="43" fontId="6" fillId="0" borderId="0" xfId="0" applyNumberFormat="1" applyFont="1"/>
    <xf numFmtId="43" fontId="4" fillId="7" borderId="2" xfId="0" applyNumberFormat="1" applyFont="1" applyFill="1" applyBorder="1"/>
    <xf numFmtId="0" fontId="7" fillId="7" borderId="2" xfId="0" applyFont="1" applyFill="1" applyBorder="1"/>
    <xf numFmtId="43" fontId="7" fillId="0" borderId="0" xfId="0" applyNumberFormat="1" applyFont="1"/>
    <xf numFmtId="0" fontId="7" fillId="7" borderId="1" xfId="0" applyFont="1" applyFill="1" applyBorder="1"/>
    <xf numFmtId="0" fontId="0" fillId="6" borderId="1" xfId="0" applyFill="1" applyBorder="1"/>
    <xf numFmtId="0" fontId="4" fillId="6" borderId="1" xfId="0" applyFont="1" applyFill="1" applyBorder="1"/>
    <xf numFmtId="0" fontId="0" fillId="2" borderId="1" xfId="0" applyFill="1" applyBorder="1"/>
    <xf numFmtId="0" fontId="1" fillId="2" borderId="1" xfId="0" applyFont="1" applyFill="1" applyBorder="1"/>
    <xf numFmtId="14" fontId="3" fillId="2" borderId="1" xfId="0" applyNumberFormat="1" applyFont="1" applyFill="1" applyBorder="1" applyAlignment="1">
      <alignment horizontal="right"/>
    </xf>
    <xf numFmtId="0" fontId="4" fillId="9" borderId="1" xfId="0" applyFont="1" applyFill="1" applyBorder="1"/>
    <xf numFmtId="2" fontId="4" fillId="9" borderId="1" xfId="0" applyNumberFormat="1" applyFont="1" applyFill="1" applyBorder="1"/>
    <xf numFmtId="0" fontId="4" fillId="7" borderId="1" xfId="0" applyFont="1" applyFill="1" applyBorder="1"/>
    <xf numFmtId="0" fontId="4" fillId="7" borderId="1" xfId="0" applyFont="1" applyFill="1" applyBorder="1" applyAlignment="1">
      <alignment horizontal="center"/>
    </xf>
    <xf numFmtId="43" fontId="4" fillId="9" borderId="1" xfId="0" applyNumberFormat="1" applyFont="1" applyFill="1" applyBorder="1"/>
    <xf numFmtId="43" fontId="4" fillId="7" borderId="1" xfId="0" applyNumberFormat="1" applyFont="1" applyFill="1" applyBorder="1"/>
    <xf numFmtId="43" fontId="2" fillId="0" borderId="1" xfId="0" applyNumberFormat="1" applyFont="1" applyBorder="1"/>
    <xf numFmtId="43" fontId="3" fillId="2" borderId="1" xfId="0" applyNumberFormat="1" applyFont="1" applyFill="1" applyBorder="1" applyAlignment="1">
      <alignment horizontal="left"/>
    </xf>
    <xf numFmtId="43" fontId="4" fillId="7" borderId="1" xfId="0" applyNumberFormat="1" applyFont="1" applyFill="1" applyBorder="1" applyAlignment="1">
      <alignment vertical="center"/>
    </xf>
    <xf numFmtId="43" fontId="4" fillId="0" borderId="1" xfId="0" applyNumberFormat="1" applyFont="1" applyBorder="1"/>
    <xf numFmtId="0" fontId="4" fillId="8" borderId="1" xfId="0" applyFont="1" applyFill="1" applyBorder="1" applyAlignment="1">
      <alignment horizontal="left"/>
    </xf>
    <xf numFmtId="43" fontId="4" fillId="8" borderId="1" xfId="0" applyNumberFormat="1" applyFont="1" applyFill="1" applyBorder="1" applyAlignment="1">
      <alignment horizontal="left"/>
    </xf>
    <xf numFmtId="43" fontId="3" fillId="0" borderId="1" xfId="0" applyNumberFormat="1" applyFont="1" applyBorder="1" applyAlignment="1">
      <alignment horizontal="left"/>
    </xf>
    <xf numFmtId="0" fontId="0" fillId="2" borderId="3" xfId="0" applyFill="1" applyBorder="1"/>
    <xf numFmtId="43" fontId="3" fillId="2" borderId="3" xfId="0" applyNumberFormat="1" applyFont="1" applyFill="1" applyBorder="1" applyAlignment="1">
      <alignment horizontal="left"/>
    </xf>
    <xf numFmtId="0" fontId="0" fillId="12" borderId="1" xfId="0" applyFill="1" applyBorder="1"/>
    <xf numFmtId="43" fontId="3" fillId="12" borderId="1" xfId="0" applyNumberFormat="1" applyFont="1" applyFill="1" applyBorder="1" applyAlignment="1">
      <alignment horizontal="left"/>
    </xf>
    <xf numFmtId="43" fontId="3" fillId="0" borderId="0" xfId="0" applyNumberFormat="1" applyFont="1" applyAlignment="1">
      <alignment horizontal="left"/>
    </xf>
    <xf numFmtId="0" fontId="4" fillId="7" borderId="1" xfId="0" applyFont="1" applyFill="1" applyBorder="1" applyAlignment="1">
      <alignment horizontal="left"/>
    </xf>
    <xf numFmtId="43" fontId="4" fillId="7" borderId="1" xfId="0" applyNumberFormat="1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2" fillId="9" borderId="1" xfId="0" applyFont="1" applyFill="1" applyBorder="1"/>
    <xf numFmtId="43" fontId="2" fillId="9" borderId="1" xfId="0" applyNumberFormat="1" applyFont="1" applyFill="1" applyBorder="1"/>
    <xf numFmtId="43" fontId="0" fillId="0" borderId="1" xfId="0" applyNumberFormat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/>
    <xf numFmtId="43" fontId="2" fillId="8" borderId="1" xfId="0" applyNumberFormat="1" applyFont="1" applyFill="1" applyBorder="1"/>
    <xf numFmtId="0" fontId="6" fillId="6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6" fillId="7" borderId="1" xfId="0" applyFont="1" applyFill="1" applyBorder="1" applyAlignment="1">
      <alignment horizontal="left" vertical="top"/>
    </xf>
    <xf numFmtId="0" fontId="2" fillId="9" borderId="1" xfId="0" applyFont="1" applyFill="1" applyBorder="1" applyAlignment="1">
      <alignment horizontal="center" vertical="center"/>
    </xf>
    <xf numFmtId="43" fontId="2" fillId="9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14" fontId="2" fillId="2" borderId="1" xfId="0" applyNumberFormat="1" applyFont="1" applyFill="1" applyBorder="1" applyAlignment="1">
      <alignment horizontal="center" vertical="center"/>
    </xf>
    <xf numFmtId="0" fontId="3" fillId="0" borderId="4" xfId="0" applyFont="1" applyBorder="1"/>
    <xf numFmtId="14" fontId="0" fillId="2" borderId="1" xfId="0" applyNumberForma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43" fontId="8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43" fontId="8" fillId="4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3" fillId="0" borderId="1" xfId="0" applyFont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43" fontId="3" fillId="5" borderId="1" xfId="0" applyNumberFormat="1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/>
    </xf>
    <xf numFmtId="43" fontId="8" fillId="4" borderId="1" xfId="0" applyNumberFormat="1" applyFont="1" applyFill="1" applyBorder="1"/>
    <xf numFmtId="9" fontId="8" fillId="0" borderId="1" xfId="0" applyNumberFormat="1" applyFont="1" applyBorder="1"/>
    <xf numFmtId="0" fontId="8" fillId="4" borderId="1" xfId="0" applyFont="1" applyFill="1" applyBorder="1"/>
    <xf numFmtId="164" fontId="8" fillId="4" borderId="1" xfId="0" applyNumberFormat="1" applyFont="1" applyFill="1" applyBorder="1"/>
    <xf numFmtId="0" fontId="4" fillId="4" borderId="1" xfId="0" applyFont="1" applyFill="1" applyBorder="1" applyAlignment="1">
      <alignment horizontal="center" vertical="center"/>
    </xf>
    <xf numFmtId="43" fontId="4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top"/>
    </xf>
    <xf numFmtId="43" fontId="4" fillId="7" borderId="1" xfId="0" applyNumberFormat="1" applyFont="1" applyFill="1" applyBorder="1" applyAlignment="1">
      <alignment horizontal="center" vertical="top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43" fontId="4" fillId="9" borderId="1" xfId="0" applyNumberFormat="1" applyFont="1" applyFill="1" applyBorder="1" applyAlignment="1">
      <alignment horizontal="left" vertical="top"/>
    </xf>
    <xf numFmtId="0" fontId="0" fillId="9" borderId="1" xfId="0" applyFill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43" fontId="0" fillId="0" borderId="0" xfId="0" applyNumberFormat="1"/>
    <xf numFmtId="14" fontId="3" fillId="4" borderId="1" xfId="0" applyNumberFormat="1" applyFont="1" applyFill="1" applyBorder="1" applyAlignment="1">
      <alignment horizontal="center" vertical="center"/>
    </xf>
    <xf numFmtId="0" fontId="12" fillId="0" borderId="0" xfId="0" applyFont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top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43" fontId="13" fillId="0" borderId="1" xfId="0" applyNumberFormat="1" applyFont="1" applyBorder="1" applyAlignment="1">
      <alignment horizontal="center" vertical="center"/>
    </xf>
    <xf numFmtId="43" fontId="13" fillId="4" borderId="1" xfId="0" applyNumberFormat="1" applyFont="1" applyFill="1" applyBorder="1"/>
    <xf numFmtId="9" fontId="13" fillId="0" borderId="1" xfId="0" applyNumberFormat="1" applyFont="1" applyBorder="1" applyAlignment="1">
      <alignment horizontal="center" vertical="center"/>
    </xf>
    <xf numFmtId="9" fontId="14" fillId="0" borderId="1" xfId="0" applyNumberFormat="1" applyFont="1" applyBorder="1" applyAlignment="1">
      <alignment horizontal="center" vertical="center"/>
    </xf>
    <xf numFmtId="43" fontId="4" fillId="8" borderId="1" xfId="0" applyNumberFormat="1" applyFont="1" applyFill="1" applyBorder="1" applyAlignment="1">
      <alignment horizontal="right" vertical="top"/>
    </xf>
    <xf numFmtId="17" fontId="2" fillId="0" borderId="1" xfId="0" applyNumberFormat="1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43" fontId="2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4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3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43" fontId="2" fillId="5" borderId="1" xfId="0" applyNumberFormat="1" applyFont="1" applyFill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43" fontId="2" fillId="0" borderId="1" xfId="0" applyNumberFormat="1" applyFont="1" applyBorder="1" applyAlignment="1">
      <alignment horizontal="right"/>
    </xf>
    <xf numFmtId="43" fontId="2" fillId="4" borderId="1" xfId="0" applyNumberFormat="1" applyFont="1" applyFill="1" applyBorder="1" applyAlignment="1">
      <alignment horizontal="right"/>
    </xf>
    <xf numFmtId="0" fontId="2" fillId="7" borderId="1" xfId="0" applyFont="1" applyFill="1" applyBorder="1" applyAlignment="1">
      <alignment horizontal="center" vertical="center"/>
    </xf>
    <xf numFmtId="43" fontId="2" fillId="7" borderId="1" xfId="0" applyNumberFormat="1" applyFont="1" applyFill="1" applyBorder="1" applyAlignment="1">
      <alignment horizontal="center" vertical="center"/>
    </xf>
    <xf numFmtId="43" fontId="2" fillId="8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  <xf numFmtId="0" fontId="2" fillId="7" borderId="2" xfId="0" applyFont="1" applyFill="1" applyBorder="1" applyAlignment="1">
      <alignment horizontal="center" vertical="center"/>
    </xf>
    <xf numFmtId="2" fontId="2" fillId="9" borderId="1" xfId="0" applyNumberFormat="1" applyFont="1" applyFill="1" applyBorder="1" applyAlignment="1">
      <alignment horizontal="center" vertical="center"/>
    </xf>
    <xf numFmtId="43" fontId="2" fillId="7" borderId="1" xfId="0" applyNumberFormat="1" applyFont="1" applyFill="1" applyBorder="1" applyAlignment="1">
      <alignment horizontal="left" vertical="top"/>
    </xf>
    <xf numFmtId="40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40" fontId="2" fillId="2" borderId="1" xfId="0" applyNumberFormat="1" applyFont="1" applyFill="1" applyBorder="1" applyAlignment="1">
      <alignment horizontal="center" vertical="center"/>
    </xf>
    <xf numFmtId="40" fontId="4" fillId="2" borderId="1" xfId="0" applyNumberFormat="1" applyFont="1" applyFill="1" applyBorder="1" applyAlignment="1">
      <alignment horizontal="center" vertical="center"/>
    </xf>
    <xf numFmtId="43" fontId="4" fillId="9" borderId="1" xfId="0" applyNumberFormat="1" applyFont="1" applyFill="1" applyBorder="1" applyAlignment="1">
      <alignment horizontal="right" vertical="center"/>
    </xf>
    <xf numFmtId="43" fontId="2" fillId="9" borderId="1" xfId="0" applyNumberFormat="1" applyFont="1" applyFill="1" applyBorder="1" applyAlignment="1">
      <alignment horizontal="right" vertical="center"/>
    </xf>
    <xf numFmtId="40" fontId="4" fillId="9" borderId="1" xfId="0" applyNumberFormat="1" applyFont="1" applyFill="1" applyBorder="1" applyAlignment="1">
      <alignment horizontal="right" vertical="center"/>
    </xf>
    <xf numFmtId="0" fontId="2" fillId="13" borderId="1" xfId="0" applyFont="1" applyFill="1" applyBorder="1" applyAlignment="1">
      <alignment horizontal="center" vertical="center"/>
    </xf>
    <xf numFmtId="40" fontId="0" fillId="2" borderId="1" xfId="0" applyNumberFormat="1" applyFill="1" applyBorder="1" applyAlignment="1">
      <alignment horizontal="center" vertical="center"/>
    </xf>
    <xf numFmtId="43" fontId="2" fillId="0" borderId="2" xfId="0" applyNumberFormat="1" applyFont="1" applyBorder="1"/>
    <xf numFmtId="43" fontId="2" fillId="3" borderId="2" xfId="0" applyNumberFormat="1" applyFont="1" applyFill="1" applyBorder="1" applyAlignment="1">
      <alignment horizontal="center" vertical="center"/>
    </xf>
    <xf numFmtId="43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3" fontId="2" fillId="0" borderId="2" xfId="0" applyNumberFormat="1" applyFont="1" applyBorder="1" applyAlignment="1">
      <alignment horizontal="right"/>
    </xf>
    <xf numFmtId="0" fontId="2" fillId="6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/>
    <xf numFmtId="40" fontId="2" fillId="2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40" fontId="2" fillId="0" borderId="1" xfId="0" applyNumberFormat="1" applyFont="1" applyBorder="1" applyAlignment="1">
      <alignment horizontal="right" vertical="center"/>
    </xf>
    <xf numFmtId="40" fontId="6" fillId="2" borderId="1" xfId="0" applyNumberFormat="1" applyFont="1" applyFill="1" applyBorder="1" applyAlignment="1">
      <alignment horizontal="center" vertical="center"/>
    </xf>
    <xf numFmtId="40" fontId="2" fillId="0" borderId="1" xfId="0" applyNumberFormat="1" applyFont="1" applyBorder="1"/>
    <xf numFmtId="0" fontId="2" fillId="9" borderId="1" xfId="0" applyFont="1" applyFill="1" applyBorder="1" applyAlignment="1">
      <alignment horizontal="right" vertical="center"/>
    </xf>
    <xf numFmtId="43" fontId="4" fillId="8" borderId="1" xfId="0" applyNumberFormat="1" applyFont="1" applyFill="1" applyBorder="1" applyAlignment="1">
      <alignment horizontal="center" vertical="center"/>
    </xf>
    <xf numFmtId="43" fontId="4" fillId="7" borderId="1" xfId="0" applyNumberFormat="1" applyFont="1" applyFill="1" applyBorder="1" applyAlignment="1">
      <alignment horizontal="center" vertical="center"/>
    </xf>
    <xf numFmtId="43" fontId="2" fillId="9" borderId="1" xfId="0" applyNumberFormat="1" applyFont="1" applyFill="1" applyBorder="1" applyAlignment="1">
      <alignment horizontal="right" vertical="top"/>
    </xf>
    <xf numFmtId="43" fontId="4" fillId="7" borderId="1" xfId="0" applyNumberFormat="1" applyFont="1" applyFill="1" applyBorder="1" applyAlignment="1">
      <alignment horizontal="right" vertical="top"/>
    </xf>
    <xf numFmtId="40" fontId="2" fillId="9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43" fontId="15" fillId="0" borderId="1" xfId="0" applyNumberFormat="1" applyFont="1" applyBorder="1" applyAlignment="1">
      <alignment horizontal="center" vertical="center"/>
    </xf>
    <xf numFmtId="43" fontId="15" fillId="4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164" fontId="2" fillId="14" borderId="1" xfId="0" applyNumberFormat="1" applyFont="1" applyFill="1" applyBorder="1" applyAlignment="1">
      <alignment horizontal="center" vertical="center"/>
    </xf>
    <xf numFmtId="43" fontId="2" fillId="4" borderId="1" xfId="0" applyNumberFormat="1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40" fontId="2" fillId="9" borderId="1" xfId="0" applyNumberFormat="1" applyFont="1" applyFill="1" applyBorder="1" applyAlignment="1">
      <alignment horizontal="center" vertical="top"/>
    </xf>
    <xf numFmtId="0" fontId="2" fillId="0" borderId="1" xfId="0" applyFont="1" applyBorder="1" applyAlignment="1">
      <alignment horizontal="right" vertical="top"/>
    </xf>
    <xf numFmtId="43" fontId="2" fillId="8" borderId="1" xfId="0" applyNumberFormat="1" applyFont="1" applyFill="1" applyBorder="1" applyAlignment="1">
      <alignment horizontal="right" vertical="top"/>
    </xf>
    <xf numFmtId="43" fontId="2" fillId="0" borderId="1" xfId="0" applyNumberFormat="1" applyFont="1" applyBorder="1" applyAlignment="1">
      <alignment horizontal="right" vertical="top"/>
    </xf>
    <xf numFmtId="40" fontId="2" fillId="0" borderId="1" xfId="0" applyNumberFormat="1" applyFont="1" applyBorder="1" applyAlignment="1">
      <alignment horizontal="right" vertical="top"/>
    </xf>
    <xf numFmtId="40" fontId="2" fillId="0" borderId="1" xfId="0" applyNumberFormat="1" applyFont="1" applyBorder="1" applyAlignment="1">
      <alignment horizontal="center" vertical="center"/>
    </xf>
    <xf numFmtId="40" fontId="2" fillId="9" borderId="1" xfId="0" applyNumberFormat="1" applyFont="1" applyFill="1" applyBorder="1" applyAlignment="1">
      <alignment horizontal="right"/>
    </xf>
    <xf numFmtId="0" fontId="16" fillId="0" borderId="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43" fontId="16" fillId="4" borderId="1" xfId="0" applyNumberFormat="1" applyFont="1" applyFill="1" applyBorder="1" applyAlignment="1">
      <alignment horizontal="center" vertical="center"/>
    </xf>
    <xf numFmtId="40" fontId="2" fillId="5" borderId="1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6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3"/>
  <sheetViews>
    <sheetView topLeftCell="A28" workbookViewId="0">
      <selection activeCell="H61" sqref="H61"/>
    </sheetView>
  </sheetViews>
  <sheetFormatPr defaultRowHeight="15" x14ac:dyDescent="0.25"/>
  <cols>
    <col min="2" max="2" width="19.85546875" customWidth="1"/>
    <col min="3" max="4" width="12.7109375" customWidth="1"/>
    <col min="5" max="5" width="11.42578125" customWidth="1"/>
    <col min="6" max="6" width="11.28515625" customWidth="1"/>
    <col min="7" max="7" width="23.42578125" customWidth="1"/>
    <col min="8" max="8" width="14.5703125" customWidth="1"/>
    <col min="9" max="9" width="12.7109375" customWidth="1"/>
    <col min="10" max="11" width="16.85546875" customWidth="1"/>
    <col min="12" max="12" width="10" bestFit="1" customWidth="1"/>
    <col min="13" max="13" width="11.85546875" customWidth="1"/>
    <col min="14" max="14" width="4.85546875" customWidth="1"/>
    <col min="15" max="15" width="17.5703125" customWidth="1"/>
    <col min="16" max="16" width="15.42578125" customWidth="1"/>
    <col min="17" max="17" width="10.140625" bestFit="1" customWidth="1"/>
  </cols>
  <sheetData>
    <row r="1" spans="1:12" x14ac:dyDescent="0.25">
      <c r="A1" s="2"/>
      <c r="B1" s="72" t="s">
        <v>127</v>
      </c>
      <c r="C1" s="72"/>
      <c r="D1" s="1"/>
      <c r="E1" s="2"/>
      <c r="F1" s="3"/>
      <c r="G1" s="3"/>
      <c r="H1" s="4"/>
      <c r="I1" s="4"/>
      <c r="J1" s="4"/>
      <c r="K1" s="4"/>
      <c r="L1" s="2"/>
    </row>
    <row r="2" spans="1:12" ht="25.5" customHeight="1" x14ac:dyDescent="0.25">
      <c r="A2" s="73" t="s">
        <v>0</v>
      </c>
      <c r="B2" s="5" t="s">
        <v>0</v>
      </c>
      <c r="C2" s="5"/>
      <c r="D2" s="5"/>
      <c r="E2" s="5"/>
      <c r="F2" s="5"/>
      <c r="G2" s="5"/>
      <c r="H2" s="5"/>
      <c r="I2" s="5"/>
      <c r="J2" s="5"/>
      <c r="K2" s="74">
        <v>151665.15</v>
      </c>
      <c r="L2" s="5"/>
    </row>
    <row r="3" spans="1:12" ht="29.25" customHeight="1" x14ac:dyDescent="0.25">
      <c r="A3" s="6" t="s">
        <v>128</v>
      </c>
      <c r="B3" s="6" t="s">
        <v>1</v>
      </c>
      <c r="C3" s="6" t="s">
        <v>2</v>
      </c>
      <c r="D3" s="7" t="s">
        <v>3</v>
      </c>
      <c r="E3" s="6" t="s">
        <v>4</v>
      </c>
      <c r="F3" s="6" t="s">
        <v>5</v>
      </c>
      <c r="G3" s="6" t="s">
        <v>6</v>
      </c>
      <c r="H3" s="8" t="s">
        <v>7</v>
      </c>
      <c r="I3" s="8" t="s">
        <v>8</v>
      </c>
      <c r="J3" s="8" t="s">
        <v>9</v>
      </c>
      <c r="K3" s="75" t="s">
        <v>10</v>
      </c>
      <c r="L3" s="6" t="s">
        <v>11</v>
      </c>
    </row>
    <row r="4" spans="1:12" x14ac:dyDescent="0.25">
      <c r="A4" s="2">
        <v>1</v>
      </c>
      <c r="B4" s="2" t="s">
        <v>129</v>
      </c>
      <c r="C4" s="2">
        <v>534882326</v>
      </c>
      <c r="D4" s="76">
        <v>45641</v>
      </c>
      <c r="E4" s="2" t="s">
        <v>130</v>
      </c>
      <c r="F4" s="3" t="s">
        <v>38</v>
      </c>
      <c r="G4" s="3" t="s">
        <v>129</v>
      </c>
      <c r="H4" s="69">
        <v>10403.1</v>
      </c>
      <c r="I4" s="4">
        <v>9907.7000000000007</v>
      </c>
      <c r="J4" s="4">
        <v>1486.18</v>
      </c>
      <c r="K4" s="4">
        <v>743</v>
      </c>
      <c r="L4" s="77">
        <v>0.6</v>
      </c>
    </row>
    <row r="5" spans="1:12" x14ac:dyDescent="0.25">
      <c r="A5" s="2">
        <v>2</v>
      </c>
      <c r="B5" s="2" t="s">
        <v>131</v>
      </c>
      <c r="C5" s="2">
        <v>534358576</v>
      </c>
      <c r="D5" s="76">
        <v>45636</v>
      </c>
      <c r="E5" s="2" t="s">
        <v>132</v>
      </c>
      <c r="F5" s="3" t="s">
        <v>38</v>
      </c>
      <c r="G5" s="3" t="s">
        <v>131</v>
      </c>
      <c r="H5" s="4">
        <v>14034.36</v>
      </c>
      <c r="I5" s="4">
        <v>13366.05</v>
      </c>
      <c r="J5" s="4">
        <v>2004.92</v>
      </c>
      <c r="K5" s="4">
        <f t="shared" ref="K5:K23" si="0">J5*L5</f>
        <v>1202.952</v>
      </c>
      <c r="L5" s="77">
        <v>0.6</v>
      </c>
    </row>
    <row r="6" spans="1:12" x14ac:dyDescent="0.25">
      <c r="A6" s="2">
        <v>3</v>
      </c>
      <c r="B6" s="2" t="s">
        <v>133</v>
      </c>
      <c r="C6" s="2">
        <v>534662893</v>
      </c>
      <c r="D6" s="76">
        <v>45640</v>
      </c>
      <c r="E6" s="2" t="s">
        <v>134</v>
      </c>
      <c r="F6" s="3" t="s">
        <v>38</v>
      </c>
      <c r="G6" s="3" t="s">
        <v>133</v>
      </c>
      <c r="H6" s="4">
        <v>10945.9</v>
      </c>
      <c r="I6" s="4">
        <v>10424.66</v>
      </c>
      <c r="J6" s="4">
        <v>1563.71</v>
      </c>
      <c r="K6" s="4">
        <f t="shared" si="0"/>
        <v>938.226</v>
      </c>
      <c r="L6" s="77">
        <v>0.6</v>
      </c>
    </row>
    <row r="7" spans="1:12" x14ac:dyDescent="0.25">
      <c r="A7" s="2">
        <v>4</v>
      </c>
      <c r="B7" s="2" t="s">
        <v>135</v>
      </c>
      <c r="C7" s="2">
        <v>530476574</v>
      </c>
      <c r="D7" s="76">
        <v>45636</v>
      </c>
      <c r="E7" s="78" t="s">
        <v>136</v>
      </c>
      <c r="F7" s="3" t="s">
        <v>38</v>
      </c>
      <c r="G7" s="3" t="s">
        <v>57</v>
      </c>
      <c r="H7" s="4">
        <v>11555.13</v>
      </c>
      <c r="I7" s="4">
        <v>11004.88</v>
      </c>
      <c r="J7" s="4">
        <v>1650.74</v>
      </c>
      <c r="K7" s="4">
        <f t="shared" si="0"/>
        <v>990.44399999999996</v>
      </c>
      <c r="L7" s="77">
        <v>0.6</v>
      </c>
    </row>
    <row r="8" spans="1:12" x14ac:dyDescent="0.25">
      <c r="A8" s="2">
        <v>5</v>
      </c>
      <c r="B8" s="2" t="s">
        <v>137</v>
      </c>
      <c r="C8" s="2">
        <v>532671929</v>
      </c>
      <c r="D8" s="76">
        <v>45631</v>
      </c>
      <c r="E8" s="78" t="s">
        <v>138</v>
      </c>
      <c r="F8" s="3" t="s">
        <v>38</v>
      </c>
      <c r="G8" s="3" t="s">
        <v>57</v>
      </c>
      <c r="H8" s="4">
        <v>16247.85</v>
      </c>
      <c r="I8" s="4">
        <v>15474.14</v>
      </c>
      <c r="J8" s="4">
        <v>2321.13</v>
      </c>
      <c r="K8" s="4">
        <f t="shared" si="0"/>
        <v>1392.6780000000001</v>
      </c>
      <c r="L8" s="77">
        <v>0.6</v>
      </c>
    </row>
    <row r="9" spans="1:12" x14ac:dyDescent="0.25">
      <c r="A9" s="2">
        <v>6</v>
      </c>
      <c r="B9" s="2" t="s">
        <v>139</v>
      </c>
      <c r="C9" s="2">
        <v>529846939</v>
      </c>
      <c r="D9" s="76">
        <v>45632</v>
      </c>
      <c r="E9" s="2" t="s">
        <v>140</v>
      </c>
      <c r="F9" s="3" t="s">
        <v>38</v>
      </c>
      <c r="G9" s="3" t="s">
        <v>103</v>
      </c>
      <c r="H9" s="4">
        <v>16521.86</v>
      </c>
      <c r="I9" s="4">
        <v>15735.1</v>
      </c>
      <c r="J9" s="4">
        <v>2360.2800000000002</v>
      </c>
      <c r="K9" s="4">
        <f t="shared" si="0"/>
        <v>1416.1680000000001</v>
      </c>
      <c r="L9" s="77">
        <v>0.6</v>
      </c>
    </row>
    <row r="10" spans="1:12" x14ac:dyDescent="0.25">
      <c r="A10" s="2">
        <v>7</v>
      </c>
      <c r="B10" s="2" t="s">
        <v>113</v>
      </c>
      <c r="C10" s="2">
        <v>529835286</v>
      </c>
      <c r="D10" s="76">
        <v>45631</v>
      </c>
      <c r="E10" s="2" t="s">
        <v>114</v>
      </c>
      <c r="F10" s="3" t="s">
        <v>38</v>
      </c>
      <c r="G10" s="3" t="s">
        <v>113</v>
      </c>
      <c r="H10" s="4">
        <v>6656.37</v>
      </c>
      <c r="I10" s="4">
        <v>6339.4</v>
      </c>
      <c r="J10" s="4">
        <v>950.92</v>
      </c>
      <c r="K10" s="4">
        <f t="shared" si="0"/>
        <v>570.55199999999991</v>
      </c>
      <c r="L10" s="77">
        <v>0.6</v>
      </c>
    </row>
    <row r="11" spans="1:12" x14ac:dyDescent="0.25">
      <c r="A11" s="2">
        <v>8</v>
      </c>
      <c r="B11" s="2" t="s">
        <v>141</v>
      </c>
      <c r="C11" s="2">
        <v>529796555</v>
      </c>
      <c r="D11" s="76">
        <v>45633</v>
      </c>
      <c r="E11" s="2" t="s">
        <v>142</v>
      </c>
      <c r="F11" s="3" t="s">
        <v>41</v>
      </c>
      <c r="G11" s="3" t="s">
        <v>12</v>
      </c>
      <c r="H11" s="4">
        <v>11092.54</v>
      </c>
      <c r="I11" s="4">
        <v>10564.32</v>
      </c>
      <c r="J11" s="4">
        <v>1584.66</v>
      </c>
      <c r="K11" s="4">
        <f t="shared" si="0"/>
        <v>950.79600000000005</v>
      </c>
      <c r="L11" s="77">
        <v>0.6</v>
      </c>
    </row>
    <row r="12" spans="1:12" x14ac:dyDescent="0.25">
      <c r="A12" s="2">
        <v>9</v>
      </c>
      <c r="B12" s="2" t="s">
        <v>143</v>
      </c>
      <c r="C12" s="2">
        <v>532323043</v>
      </c>
      <c r="D12" s="76">
        <v>45648</v>
      </c>
      <c r="E12" s="2" t="s">
        <v>144</v>
      </c>
      <c r="F12" s="3" t="s">
        <v>38</v>
      </c>
      <c r="G12" s="3" t="s">
        <v>143</v>
      </c>
      <c r="H12" s="4">
        <v>15755.84</v>
      </c>
      <c r="I12" s="4">
        <v>15005.65</v>
      </c>
      <c r="J12" s="4">
        <v>2250.86</v>
      </c>
      <c r="K12" s="4">
        <f t="shared" si="0"/>
        <v>1350.5160000000001</v>
      </c>
      <c r="L12" s="77">
        <v>0.6</v>
      </c>
    </row>
    <row r="13" spans="1:12" x14ac:dyDescent="0.25">
      <c r="A13" s="2">
        <v>10</v>
      </c>
      <c r="B13" s="2" t="s">
        <v>145</v>
      </c>
      <c r="C13" s="2">
        <v>529800216</v>
      </c>
      <c r="D13" s="76">
        <v>45631</v>
      </c>
      <c r="E13" s="2" t="s">
        <v>146</v>
      </c>
      <c r="F13" s="3" t="s">
        <v>38</v>
      </c>
      <c r="G13" s="3" t="s">
        <v>294</v>
      </c>
      <c r="H13" s="4">
        <v>8773.82</v>
      </c>
      <c r="I13" s="4">
        <v>8356.02</v>
      </c>
      <c r="J13" s="4">
        <v>1253.4100000000001</v>
      </c>
      <c r="K13" s="4">
        <f t="shared" si="0"/>
        <v>752.04600000000005</v>
      </c>
      <c r="L13" s="77">
        <v>0.6</v>
      </c>
    </row>
    <row r="14" spans="1:12" x14ac:dyDescent="0.25">
      <c r="A14" s="2">
        <v>11</v>
      </c>
      <c r="B14" s="2" t="s">
        <v>147</v>
      </c>
      <c r="C14" s="2">
        <v>536357377</v>
      </c>
      <c r="D14" s="76">
        <v>45651</v>
      </c>
      <c r="E14" s="2" t="s">
        <v>148</v>
      </c>
      <c r="F14" s="3" t="s">
        <v>38</v>
      </c>
      <c r="G14" s="3" t="s">
        <v>295</v>
      </c>
      <c r="H14" s="4">
        <v>14022.02</v>
      </c>
      <c r="I14" s="4">
        <v>13354.29</v>
      </c>
      <c r="J14" s="4">
        <v>2003.15</v>
      </c>
      <c r="K14" s="4">
        <f t="shared" si="0"/>
        <v>1201.8900000000001</v>
      </c>
      <c r="L14" s="77">
        <v>0.6</v>
      </c>
    </row>
    <row r="15" spans="1:12" x14ac:dyDescent="0.25">
      <c r="A15" s="2">
        <v>12</v>
      </c>
      <c r="B15" s="2" t="s">
        <v>149</v>
      </c>
      <c r="C15" s="2">
        <v>536566244</v>
      </c>
      <c r="D15" s="76">
        <v>45645</v>
      </c>
      <c r="E15" s="2" t="s">
        <v>150</v>
      </c>
      <c r="F15" s="3" t="s">
        <v>38</v>
      </c>
      <c r="G15" s="3" t="s">
        <v>149</v>
      </c>
      <c r="H15" s="4">
        <v>10972.28</v>
      </c>
      <c r="I15" s="4">
        <v>10449.780000000001</v>
      </c>
      <c r="J15" s="4">
        <v>1567.49</v>
      </c>
      <c r="K15" s="4">
        <f t="shared" si="0"/>
        <v>940.49399999999991</v>
      </c>
      <c r="L15" s="77">
        <v>0.6</v>
      </c>
    </row>
    <row r="16" spans="1:12" x14ac:dyDescent="0.25">
      <c r="A16" s="2">
        <v>13</v>
      </c>
      <c r="B16" s="2" t="s">
        <v>151</v>
      </c>
      <c r="C16" s="2">
        <v>536943176</v>
      </c>
      <c r="D16" s="1">
        <v>45657</v>
      </c>
      <c r="E16" s="2" t="s">
        <v>152</v>
      </c>
      <c r="F16" s="3" t="s">
        <v>38</v>
      </c>
      <c r="G16" s="3" t="s">
        <v>293</v>
      </c>
      <c r="H16" s="4">
        <v>12273.94</v>
      </c>
      <c r="I16" s="4">
        <v>11689.46</v>
      </c>
      <c r="J16" s="4">
        <v>1753.43</v>
      </c>
      <c r="K16" s="4">
        <f t="shared" si="0"/>
        <v>1052.058</v>
      </c>
      <c r="L16" s="77">
        <v>0.6</v>
      </c>
    </row>
    <row r="17" spans="1:12" x14ac:dyDescent="0.25">
      <c r="A17" s="2">
        <v>14</v>
      </c>
      <c r="B17" s="2" t="s">
        <v>153</v>
      </c>
      <c r="C17" s="2">
        <v>536570017</v>
      </c>
      <c r="D17" s="1">
        <v>45652</v>
      </c>
      <c r="E17" s="2" t="s">
        <v>154</v>
      </c>
      <c r="F17" s="3" t="s">
        <v>38</v>
      </c>
      <c r="G17" s="3" t="s">
        <v>153</v>
      </c>
      <c r="H17" s="4">
        <v>22570.42</v>
      </c>
      <c r="I17" s="4">
        <v>21495.63</v>
      </c>
      <c r="J17" s="4">
        <v>3224.36</v>
      </c>
      <c r="K17" s="4">
        <f t="shared" si="0"/>
        <v>1934.616</v>
      </c>
      <c r="L17" s="77">
        <v>0.6</v>
      </c>
    </row>
    <row r="18" spans="1:12" x14ac:dyDescent="0.25">
      <c r="A18" s="2">
        <v>15</v>
      </c>
      <c r="B18" s="2" t="s">
        <v>155</v>
      </c>
      <c r="C18" s="2">
        <v>534959365</v>
      </c>
      <c r="D18" s="1">
        <v>45650</v>
      </c>
      <c r="E18" s="2" t="s">
        <v>156</v>
      </c>
      <c r="F18" s="3" t="s">
        <v>38</v>
      </c>
      <c r="G18" s="3" t="s">
        <v>155</v>
      </c>
      <c r="H18" s="4">
        <v>8638.92</v>
      </c>
      <c r="I18" s="4">
        <v>8227.5400000000009</v>
      </c>
      <c r="J18" s="4">
        <v>1234.1400000000001</v>
      </c>
      <c r="K18" s="4">
        <f t="shared" si="0"/>
        <v>740.48400000000004</v>
      </c>
      <c r="L18" s="77">
        <v>0.6</v>
      </c>
    </row>
    <row r="19" spans="1:12" x14ac:dyDescent="0.25">
      <c r="A19" s="142">
        <v>16</v>
      </c>
      <c r="B19" s="2" t="s">
        <v>157</v>
      </c>
      <c r="C19" s="2">
        <v>537808986</v>
      </c>
      <c r="D19" s="1">
        <v>45656</v>
      </c>
      <c r="E19" s="2" t="s">
        <v>158</v>
      </c>
      <c r="F19" s="3" t="s">
        <v>38</v>
      </c>
      <c r="G19" s="3" t="s">
        <v>293</v>
      </c>
      <c r="H19" s="4">
        <v>6142.9</v>
      </c>
      <c r="I19" s="4">
        <v>5850.38</v>
      </c>
      <c r="J19" s="4">
        <v>877.57</v>
      </c>
      <c r="K19" s="4">
        <f t="shared" si="0"/>
        <v>526.54200000000003</v>
      </c>
      <c r="L19" s="77">
        <v>0.6</v>
      </c>
    </row>
    <row r="20" spans="1:12" x14ac:dyDescent="0.25">
      <c r="A20" s="2">
        <v>17</v>
      </c>
      <c r="B20" s="2" t="s">
        <v>159</v>
      </c>
      <c r="C20" s="2">
        <v>537805233</v>
      </c>
      <c r="D20" s="1">
        <v>45655</v>
      </c>
      <c r="E20" s="2" t="s">
        <v>160</v>
      </c>
      <c r="F20" s="3" t="s">
        <v>38</v>
      </c>
      <c r="G20" s="3" t="s">
        <v>161</v>
      </c>
      <c r="H20" s="4">
        <v>7712.47</v>
      </c>
      <c r="I20" s="4">
        <v>7345.21</v>
      </c>
      <c r="J20" s="4">
        <v>1101.8</v>
      </c>
      <c r="K20" s="4">
        <f t="shared" si="0"/>
        <v>661.07999999999993</v>
      </c>
      <c r="L20" s="77">
        <v>0.6</v>
      </c>
    </row>
    <row r="21" spans="1:12" x14ac:dyDescent="0.25">
      <c r="A21" s="2">
        <v>18</v>
      </c>
      <c r="B21" s="2" t="s">
        <v>105</v>
      </c>
      <c r="C21" s="2">
        <v>538228993</v>
      </c>
      <c r="D21" s="1">
        <v>45657</v>
      </c>
      <c r="E21" s="2" t="s">
        <v>162</v>
      </c>
      <c r="F21" s="3" t="s">
        <v>38</v>
      </c>
      <c r="G21" s="3" t="s">
        <v>105</v>
      </c>
      <c r="H21" s="4">
        <v>5707.53</v>
      </c>
      <c r="I21" s="4">
        <v>5435.74</v>
      </c>
      <c r="J21" s="4">
        <v>815.37</v>
      </c>
      <c r="K21" s="4">
        <f t="shared" si="0"/>
        <v>489.22199999999998</v>
      </c>
      <c r="L21" s="77">
        <v>0.6</v>
      </c>
    </row>
    <row r="22" spans="1:12" x14ac:dyDescent="0.25">
      <c r="A22" s="2">
        <v>19</v>
      </c>
      <c r="B22" s="2" t="s">
        <v>163</v>
      </c>
      <c r="C22" s="2">
        <v>537807065</v>
      </c>
      <c r="D22" s="1">
        <v>45655</v>
      </c>
      <c r="E22" s="2" t="s">
        <v>164</v>
      </c>
      <c r="F22" s="3" t="s">
        <v>38</v>
      </c>
      <c r="G22" s="3" t="s">
        <v>293</v>
      </c>
      <c r="H22" s="4">
        <v>15852.98</v>
      </c>
      <c r="I22" s="4">
        <v>15098.07</v>
      </c>
      <c r="J22" s="4">
        <v>2264.73</v>
      </c>
      <c r="K22" s="4">
        <f t="shared" si="0"/>
        <v>1358.838</v>
      </c>
      <c r="L22" s="77">
        <v>0.6</v>
      </c>
    </row>
    <row r="23" spans="1:12" x14ac:dyDescent="0.25">
      <c r="A23" s="2">
        <v>20</v>
      </c>
      <c r="B23" s="2" t="s">
        <v>165</v>
      </c>
      <c r="C23" s="2">
        <v>537400420</v>
      </c>
      <c r="D23" s="1">
        <v>45657</v>
      </c>
      <c r="E23" s="2" t="s">
        <v>166</v>
      </c>
      <c r="F23" s="3" t="s">
        <v>38</v>
      </c>
      <c r="G23" s="67" t="s">
        <v>165</v>
      </c>
      <c r="H23" s="4">
        <v>15353.24</v>
      </c>
      <c r="I23" s="4">
        <v>14622.13</v>
      </c>
      <c r="J23" s="4">
        <v>2193.33</v>
      </c>
      <c r="K23" s="4">
        <f t="shared" si="0"/>
        <v>1315.9979999999998</v>
      </c>
      <c r="L23" s="77">
        <v>0.6</v>
      </c>
    </row>
    <row r="24" spans="1:12" x14ac:dyDescent="0.25">
      <c r="A24" s="2">
        <v>21</v>
      </c>
      <c r="B24" s="2" t="s">
        <v>167</v>
      </c>
      <c r="C24" s="2">
        <v>537727913</v>
      </c>
      <c r="D24" s="1">
        <v>45649</v>
      </c>
      <c r="E24" s="2" t="s">
        <v>168</v>
      </c>
      <c r="F24" s="3" t="s">
        <v>38</v>
      </c>
      <c r="G24" s="67" t="s">
        <v>296</v>
      </c>
      <c r="H24" s="4">
        <v>16388.93</v>
      </c>
      <c r="I24" s="4">
        <v>15608.49</v>
      </c>
      <c r="J24" s="4">
        <v>2341.2800000000002</v>
      </c>
      <c r="K24" s="4">
        <f>J24*L24</f>
        <v>1404.768</v>
      </c>
      <c r="L24" s="77">
        <v>0.6</v>
      </c>
    </row>
    <row r="25" spans="1:12" x14ac:dyDescent="0.25">
      <c r="A25" s="2"/>
      <c r="B25" s="161" t="s">
        <v>169</v>
      </c>
      <c r="C25" s="161">
        <v>510477431</v>
      </c>
      <c r="D25" s="162">
        <v>45632</v>
      </c>
      <c r="E25" s="161" t="s">
        <v>170</v>
      </c>
      <c r="F25" s="68" t="s">
        <v>38</v>
      </c>
      <c r="G25" s="158" t="s">
        <v>112</v>
      </c>
      <c r="H25" s="159">
        <v>11810.29</v>
      </c>
      <c r="I25" s="159">
        <v>11247.89</v>
      </c>
      <c r="J25" s="159">
        <v>-1657.62</v>
      </c>
      <c r="K25" s="159">
        <f>J25*L25</f>
        <v>-994.57199999999989</v>
      </c>
      <c r="L25" s="160">
        <v>0.6</v>
      </c>
    </row>
    <row r="26" spans="1:12" x14ac:dyDescent="0.25">
      <c r="A26" s="2"/>
      <c r="B26" s="2"/>
      <c r="C26" s="2"/>
      <c r="D26" s="1"/>
      <c r="E26" s="2"/>
      <c r="F26" s="3"/>
      <c r="G26" s="67"/>
      <c r="H26" s="4"/>
      <c r="I26" s="4"/>
      <c r="J26" s="4"/>
      <c r="K26" s="4"/>
      <c r="L26" s="77"/>
    </row>
    <row r="27" spans="1:12" x14ac:dyDescent="0.25">
      <c r="A27" s="2"/>
      <c r="B27" s="2"/>
      <c r="C27" s="2"/>
      <c r="D27" s="1"/>
      <c r="E27" s="2"/>
      <c r="F27" s="3"/>
      <c r="G27" s="67"/>
      <c r="H27" s="4"/>
      <c r="I27" s="4"/>
      <c r="J27" s="4"/>
      <c r="K27" s="4"/>
      <c r="L27" s="77"/>
    </row>
    <row r="28" spans="1:12" x14ac:dyDescent="0.25">
      <c r="A28" s="2"/>
      <c r="B28" s="2"/>
      <c r="C28" s="2"/>
      <c r="D28" s="1"/>
      <c r="E28" s="2"/>
      <c r="F28" s="3"/>
      <c r="G28" s="79" t="s">
        <v>13</v>
      </c>
      <c r="H28" s="80">
        <f>H4+H5+H6+H7+H8+H9+H10+H12+H13+H14+H15+H16+H17+H18+H19+H20+H21+H22+H23+H24</f>
        <v>246529.86000000002</v>
      </c>
      <c r="I28" s="80">
        <f>SUM(I4:I24)</f>
        <v>245354.63999999998</v>
      </c>
      <c r="J28" s="80">
        <f>SUM(J4:J24)</f>
        <v>36803.46</v>
      </c>
      <c r="K28" s="80">
        <f>SUM(K4:K24)</f>
        <v>21933.368000000002</v>
      </c>
      <c r="L28" s="81"/>
    </row>
    <row r="29" spans="1:12" x14ac:dyDescent="0.25">
      <c r="A29" s="2"/>
      <c r="B29" s="2"/>
      <c r="C29" s="2"/>
      <c r="D29" s="1"/>
      <c r="E29" s="2"/>
      <c r="F29" s="3"/>
      <c r="G29" s="82" t="s">
        <v>14</v>
      </c>
      <c r="H29" s="83">
        <f>H11</f>
        <v>11092.54</v>
      </c>
      <c r="I29" s="4"/>
      <c r="J29" s="4"/>
      <c r="K29" s="4"/>
      <c r="L29" s="2"/>
    </row>
    <row r="30" spans="1:12" x14ac:dyDescent="0.25">
      <c r="A30" s="2"/>
      <c r="B30" s="2"/>
      <c r="C30" s="2"/>
      <c r="D30" s="1"/>
      <c r="E30" s="2"/>
      <c r="F30" s="3"/>
      <c r="G30" s="82" t="s">
        <v>15</v>
      </c>
      <c r="H30" s="83">
        <f>H29/6</f>
        <v>1848.7566666666669</v>
      </c>
      <c r="I30" s="4"/>
      <c r="J30" s="4"/>
      <c r="K30" s="4"/>
      <c r="L30" s="2"/>
    </row>
    <row r="31" spans="1:12" x14ac:dyDescent="0.25">
      <c r="A31" s="2"/>
      <c r="B31" s="2"/>
      <c r="C31" s="2"/>
      <c r="D31" s="1"/>
      <c r="E31" s="2"/>
      <c r="F31" s="3"/>
      <c r="G31" s="3"/>
      <c r="H31" s="4"/>
      <c r="I31" s="4"/>
      <c r="J31" s="4"/>
      <c r="K31" s="4"/>
      <c r="L31" s="2"/>
    </row>
    <row r="32" spans="1:12" x14ac:dyDescent="0.25">
      <c r="A32" s="2"/>
      <c r="B32" s="2" t="s">
        <v>16</v>
      </c>
      <c r="C32" s="2"/>
      <c r="D32" s="1"/>
      <c r="E32" s="2"/>
      <c r="F32" s="3"/>
      <c r="G32" s="3"/>
      <c r="H32" s="4"/>
      <c r="I32" s="4"/>
      <c r="J32" s="4"/>
      <c r="K32" s="4"/>
      <c r="L32" s="2"/>
    </row>
    <row r="33" spans="1:12" x14ac:dyDescent="0.25">
      <c r="A33" s="2">
        <v>1</v>
      </c>
      <c r="B33" s="2" t="s">
        <v>171</v>
      </c>
      <c r="C33" s="84">
        <v>535944738</v>
      </c>
      <c r="D33" s="85">
        <v>45642</v>
      </c>
      <c r="E33" s="65" t="s">
        <v>172</v>
      </c>
      <c r="F33" s="67" t="s">
        <v>38</v>
      </c>
      <c r="G33" s="67" t="s">
        <v>57</v>
      </c>
      <c r="H33" s="69">
        <v>9799.4</v>
      </c>
      <c r="I33" s="69">
        <v>8943.91</v>
      </c>
      <c r="J33" s="4">
        <v>894.41</v>
      </c>
      <c r="K33" s="4">
        <f>J33*L33</f>
        <v>536.64599999999996</v>
      </c>
      <c r="L33" s="77">
        <v>0.6</v>
      </c>
    </row>
    <row r="34" spans="1:12" x14ac:dyDescent="0.25">
      <c r="A34" s="2">
        <v>2</v>
      </c>
      <c r="B34" s="2" t="s">
        <v>173</v>
      </c>
      <c r="C34" s="65">
        <v>532257436</v>
      </c>
      <c r="D34" s="85">
        <v>45644</v>
      </c>
      <c r="E34" s="65" t="s">
        <v>174</v>
      </c>
      <c r="F34" s="67" t="s">
        <v>38</v>
      </c>
      <c r="G34" s="67" t="s">
        <v>57</v>
      </c>
      <c r="H34" s="69">
        <v>6804.9</v>
      </c>
      <c r="I34" s="69">
        <v>6156.84</v>
      </c>
      <c r="J34" s="4">
        <v>615.71</v>
      </c>
      <c r="K34" s="4">
        <f t="shared" ref="K34:K48" si="1">J34*L34</f>
        <v>369.42599999999999</v>
      </c>
      <c r="L34" s="77">
        <v>0.6</v>
      </c>
    </row>
    <row r="35" spans="1:12" x14ac:dyDescent="0.25">
      <c r="A35" s="2">
        <v>3</v>
      </c>
      <c r="B35" s="2" t="s">
        <v>175</v>
      </c>
      <c r="C35" s="65">
        <v>532256337</v>
      </c>
      <c r="D35" s="85">
        <v>45643</v>
      </c>
      <c r="E35" s="65" t="s">
        <v>176</v>
      </c>
      <c r="F35" s="67" t="s">
        <v>38</v>
      </c>
      <c r="G35" s="67" t="s">
        <v>57</v>
      </c>
      <c r="H35" s="69">
        <v>8819.5</v>
      </c>
      <c r="I35" s="69">
        <v>8010.65</v>
      </c>
      <c r="J35" s="4">
        <v>801.09</v>
      </c>
      <c r="K35" s="4">
        <f t="shared" si="1"/>
        <v>480.654</v>
      </c>
      <c r="L35" s="77">
        <v>0.6</v>
      </c>
    </row>
    <row r="36" spans="1:12" x14ac:dyDescent="0.25">
      <c r="A36" s="2">
        <v>4</v>
      </c>
      <c r="B36" s="2" t="s">
        <v>133</v>
      </c>
      <c r="C36" s="84">
        <v>534750649</v>
      </c>
      <c r="D36" s="85">
        <v>45640</v>
      </c>
      <c r="E36" s="65" t="s">
        <v>134</v>
      </c>
      <c r="F36" s="67" t="s">
        <v>38</v>
      </c>
      <c r="G36" s="67" t="s">
        <v>133</v>
      </c>
      <c r="H36" s="69">
        <v>8710.9699999999993</v>
      </c>
      <c r="I36" s="69">
        <v>7777.66</v>
      </c>
      <c r="J36" s="4">
        <v>777.77</v>
      </c>
      <c r="K36" s="4">
        <f t="shared" si="1"/>
        <v>466.66199999999998</v>
      </c>
      <c r="L36" s="77">
        <v>0.6</v>
      </c>
    </row>
    <row r="37" spans="1:12" x14ac:dyDescent="0.25">
      <c r="A37" s="2">
        <v>5</v>
      </c>
      <c r="B37" s="2" t="s">
        <v>177</v>
      </c>
      <c r="C37" s="65">
        <v>534605509</v>
      </c>
      <c r="D37" s="85">
        <v>45637</v>
      </c>
      <c r="E37" s="65" t="s">
        <v>178</v>
      </c>
      <c r="F37" s="67" t="s">
        <v>38</v>
      </c>
      <c r="G37" s="67" t="s">
        <v>57</v>
      </c>
      <c r="H37" s="69">
        <v>17965.21</v>
      </c>
      <c r="I37" s="69">
        <v>16461.62</v>
      </c>
      <c r="J37" s="4">
        <v>1646.16</v>
      </c>
      <c r="K37" s="4">
        <f t="shared" si="1"/>
        <v>987.69600000000003</v>
      </c>
      <c r="L37" s="77">
        <v>0.6</v>
      </c>
    </row>
    <row r="38" spans="1:12" x14ac:dyDescent="0.25">
      <c r="A38" s="2">
        <v>6</v>
      </c>
      <c r="B38" s="2" t="s">
        <v>135</v>
      </c>
      <c r="C38" s="65">
        <v>534268829</v>
      </c>
      <c r="D38" s="85">
        <v>45636</v>
      </c>
      <c r="E38" s="65" t="s">
        <v>136</v>
      </c>
      <c r="F38" s="67" t="s">
        <v>38</v>
      </c>
      <c r="G38" s="67" t="s">
        <v>57</v>
      </c>
      <c r="H38" s="69">
        <v>8540.99</v>
      </c>
      <c r="I38" s="69">
        <v>7625.87</v>
      </c>
      <c r="J38" s="4">
        <v>762.59</v>
      </c>
      <c r="K38" s="4">
        <f t="shared" si="1"/>
        <v>457.55400000000003</v>
      </c>
      <c r="L38" s="77">
        <v>0.6</v>
      </c>
    </row>
    <row r="39" spans="1:12" x14ac:dyDescent="0.25">
      <c r="A39" s="2">
        <v>7</v>
      </c>
      <c r="B39" s="2" t="s">
        <v>179</v>
      </c>
      <c r="C39" s="65">
        <v>530480023</v>
      </c>
      <c r="D39" s="85">
        <v>45637</v>
      </c>
      <c r="E39" s="65" t="s">
        <v>180</v>
      </c>
      <c r="F39" s="67" t="s">
        <v>38</v>
      </c>
      <c r="G39" s="67" t="s">
        <v>181</v>
      </c>
      <c r="H39" s="69">
        <v>9146.11</v>
      </c>
      <c r="I39" s="69">
        <v>8321.73</v>
      </c>
      <c r="J39" s="4">
        <v>832.18</v>
      </c>
      <c r="K39" s="4">
        <f t="shared" si="1"/>
        <v>499.30799999999994</v>
      </c>
      <c r="L39" s="77">
        <v>0.6</v>
      </c>
    </row>
    <row r="40" spans="1:12" x14ac:dyDescent="0.25">
      <c r="A40" s="2">
        <v>8</v>
      </c>
      <c r="B40" s="2" t="s">
        <v>131</v>
      </c>
      <c r="C40" s="65">
        <v>534057130</v>
      </c>
      <c r="D40" s="85">
        <v>45636</v>
      </c>
      <c r="E40" s="65" t="s">
        <v>132</v>
      </c>
      <c r="F40" s="67" t="s">
        <v>38</v>
      </c>
      <c r="G40" s="67" t="s">
        <v>57</v>
      </c>
      <c r="H40" s="69">
        <v>9564.92</v>
      </c>
      <c r="I40" s="69">
        <v>8753.61</v>
      </c>
      <c r="J40" s="4">
        <v>875.38</v>
      </c>
      <c r="K40" s="4">
        <f t="shared" si="1"/>
        <v>525.22799999999995</v>
      </c>
      <c r="L40" s="77">
        <v>0.6</v>
      </c>
    </row>
    <row r="41" spans="1:12" x14ac:dyDescent="0.25">
      <c r="A41" s="2">
        <v>9</v>
      </c>
      <c r="B41" s="2" t="s">
        <v>182</v>
      </c>
      <c r="C41" s="65">
        <v>533879109</v>
      </c>
      <c r="D41" s="85">
        <v>45635</v>
      </c>
      <c r="E41" s="65" t="s">
        <v>183</v>
      </c>
      <c r="F41" s="67" t="s">
        <v>38</v>
      </c>
      <c r="G41" s="67" t="s">
        <v>182</v>
      </c>
      <c r="H41" s="69">
        <v>16332.01</v>
      </c>
      <c r="I41" s="69">
        <v>14906.2</v>
      </c>
      <c r="J41" s="4">
        <v>1490.62</v>
      </c>
      <c r="K41" s="4">
        <f t="shared" si="1"/>
        <v>894.37199999999996</v>
      </c>
      <c r="L41" s="77">
        <v>0.6</v>
      </c>
    </row>
    <row r="42" spans="1:12" x14ac:dyDescent="0.25">
      <c r="A42" s="2">
        <v>10</v>
      </c>
      <c r="B42" s="2" t="s">
        <v>184</v>
      </c>
      <c r="C42" s="65">
        <v>533211662</v>
      </c>
      <c r="D42" s="85">
        <v>45632</v>
      </c>
      <c r="E42" s="65" t="s">
        <v>185</v>
      </c>
      <c r="F42" s="67" t="s">
        <v>38</v>
      </c>
      <c r="G42" s="67" t="s">
        <v>57</v>
      </c>
      <c r="H42" s="69">
        <v>16759.650000000001</v>
      </c>
      <c r="I42" s="69">
        <v>15194.21</v>
      </c>
      <c r="J42" s="4">
        <v>1549.43</v>
      </c>
      <c r="K42" s="4">
        <f t="shared" si="1"/>
        <v>929.65800000000002</v>
      </c>
      <c r="L42" s="77">
        <v>0.6</v>
      </c>
    </row>
    <row r="43" spans="1:12" x14ac:dyDescent="0.25">
      <c r="A43" s="2">
        <v>11</v>
      </c>
      <c r="B43" s="2" t="s">
        <v>186</v>
      </c>
      <c r="C43" s="65">
        <v>529850953</v>
      </c>
      <c r="D43" s="85">
        <v>45633</v>
      </c>
      <c r="E43" s="65" t="s">
        <v>187</v>
      </c>
      <c r="F43" s="67" t="s">
        <v>38</v>
      </c>
      <c r="G43" s="67" t="s">
        <v>57</v>
      </c>
      <c r="H43" s="69">
        <v>8540.98</v>
      </c>
      <c r="I43" s="69">
        <v>7625.88</v>
      </c>
      <c r="J43" s="4">
        <v>762.6</v>
      </c>
      <c r="K43" s="4">
        <f t="shared" si="1"/>
        <v>457.56</v>
      </c>
      <c r="L43" s="77">
        <v>0.6</v>
      </c>
    </row>
    <row r="44" spans="1:12" x14ac:dyDescent="0.25">
      <c r="A44" s="2">
        <v>12</v>
      </c>
      <c r="B44" s="2" t="s">
        <v>137</v>
      </c>
      <c r="C44" s="65">
        <v>532712568</v>
      </c>
      <c r="D44" s="85">
        <v>45631</v>
      </c>
      <c r="E44" s="65" t="s">
        <v>138</v>
      </c>
      <c r="F44" s="67" t="s">
        <v>38</v>
      </c>
      <c r="G44" s="67" t="s">
        <v>57</v>
      </c>
      <c r="H44" s="69">
        <v>11378.47</v>
      </c>
      <c r="I44" s="69">
        <v>10159.32</v>
      </c>
      <c r="J44" s="4">
        <v>1015.93</v>
      </c>
      <c r="K44" s="4">
        <f t="shared" si="1"/>
        <v>609.55799999999999</v>
      </c>
      <c r="L44" s="77">
        <v>0.6</v>
      </c>
    </row>
    <row r="45" spans="1:12" x14ac:dyDescent="0.25">
      <c r="A45" s="2">
        <v>13</v>
      </c>
      <c r="B45" s="2" t="s">
        <v>139</v>
      </c>
      <c r="C45" s="65">
        <v>532826934</v>
      </c>
      <c r="D45" s="85">
        <v>45632</v>
      </c>
      <c r="E45" s="65" t="s">
        <v>140</v>
      </c>
      <c r="F45" s="67" t="s">
        <v>38</v>
      </c>
      <c r="G45" s="67" t="s">
        <v>57</v>
      </c>
      <c r="H45" s="69">
        <v>6532.98</v>
      </c>
      <c r="I45" s="69">
        <v>5833.01</v>
      </c>
      <c r="J45" s="4">
        <v>583.30999999999995</v>
      </c>
      <c r="K45" s="4">
        <f t="shared" si="1"/>
        <v>349.98599999999993</v>
      </c>
      <c r="L45" s="77">
        <v>0.6</v>
      </c>
    </row>
    <row r="46" spans="1:12" x14ac:dyDescent="0.25">
      <c r="A46" s="2">
        <v>14</v>
      </c>
      <c r="B46" s="2" t="s">
        <v>113</v>
      </c>
      <c r="C46" s="65">
        <v>532886939</v>
      </c>
      <c r="D46" s="85">
        <v>45632</v>
      </c>
      <c r="E46" s="65" t="s">
        <v>114</v>
      </c>
      <c r="F46" s="67" t="s">
        <v>38</v>
      </c>
      <c r="G46" s="67" t="s">
        <v>113</v>
      </c>
      <c r="H46" s="69">
        <v>5443.93</v>
      </c>
      <c r="I46" s="69">
        <v>4860.66</v>
      </c>
      <c r="J46" s="4">
        <v>486.07</v>
      </c>
      <c r="K46" s="4">
        <f t="shared" si="1"/>
        <v>291.642</v>
      </c>
      <c r="L46" s="77">
        <v>0.6</v>
      </c>
    </row>
    <row r="47" spans="1:12" x14ac:dyDescent="0.25">
      <c r="A47" s="2">
        <v>15</v>
      </c>
      <c r="B47" s="2" t="s">
        <v>141</v>
      </c>
      <c r="C47" s="65">
        <v>532340066</v>
      </c>
      <c r="D47" s="85">
        <v>45630</v>
      </c>
      <c r="E47" s="65" t="s">
        <v>142</v>
      </c>
      <c r="F47" s="67" t="s">
        <v>38</v>
      </c>
      <c r="G47" s="67" t="s">
        <v>57</v>
      </c>
      <c r="H47" s="69">
        <v>5443.94</v>
      </c>
      <c r="I47" s="69">
        <v>4860.66</v>
      </c>
      <c r="J47" s="4">
        <v>486.07</v>
      </c>
      <c r="K47" s="4">
        <f t="shared" si="1"/>
        <v>291.642</v>
      </c>
      <c r="L47" s="77">
        <v>0.6</v>
      </c>
    </row>
    <row r="48" spans="1:12" x14ac:dyDescent="0.25">
      <c r="A48" s="2">
        <v>16</v>
      </c>
      <c r="B48" s="2" t="s">
        <v>188</v>
      </c>
      <c r="C48" s="65">
        <v>531889896</v>
      </c>
      <c r="D48" s="85">
        <v>45629</v>
      </c>
      <c r="E48" s="65" t="s">
        <v>189</v>
      </c>
      <c r="F48" s="67" t="s">
        <v>38</v>
      </c>
      <c r="G48" s="67" t="s">
        <v>188</v>
      </c>
      <c r="H48" s="69">
        <v>22704.07</v>
      </c>
      <c r="I48" s="69">
        <v>20394.36</v>
      </c>
      <c r="J48" s="4">
        <v>2039.45</v>
      </c>
      <c r="K48" s="4">
        <f t="shared" si="1"/>
        <v>1223.67</v>
      </c>
      <c r="L48" s="77">
        <v>0.6</v>
      </c>
    </row>
    <row r="49" spans="1:12" x14ac:dyDescent="0.25">
      <c r="A49" s="2">
        <v>17</v>
      </c>
      <c r="B49" s="2" t="s">
        <v>190</v>
      </c>
      <c r="C49" s="65">
        <v>529669308</v>
      </c>
      <c r="D49" s="85">
        <v>45629</v>
      </c>
      <c r="E49" s="65" t="s">
        <v>191</v>
      </c>
      <c r="F49" s="67" t="s">
        <v>38</v>
      </c>
      <c r="G49" s="67" t="s">
        <v>192</v>
      </c>
      <c r="H49" s="69">
        <v>8166.18</v>
      </c>
      <c r="I49" s="69">
        <v>7388.45</v>
      </c>
      <c r="J49" s="4">
        <v>738.85</v>
      </c>
      <c r="K49" s="4">
        <f>J49*L49</f>
        <v>443.31</v>
      </c>
      <c r="L49" s="77">
        <v>0.6</v>
      </c>
    </row>
    <row r="50" spans="1:12" x14ac:dyDescent="0.25">
      <c r="A50" s="2">
        <v>18</v>
      </c>
      <c r="B50" s="2" t="s">
        <v>145</v>
      </c>
      <c r="C50" s="65">
        <v>531146548</v>
      </c>
      <c r="D50" s="85">
        <v>45631</v>
      </c>
      <c r="E50" s="65" t="s">
        <v>146</v>
      </c>
      <c r="F50" s="67" t="s">
        <v>38</v>
      </c>
      <c r="G50" s="67" t="s">
        <v>145</v>
      </c>
      <c r="H50" s="69">
        <v>6532.95</v>
      </c>
      <c r="I50" s="69">
        <v>5832.99</v>
      </c>
      <c r="J50" s="4">
        <v>583.29999999999995</v>
      </c>
      <c r="K50" s="4">
        <f t="shared" ref="K50:K62" si="2">J50*L50</f>
        <v>349.97999999999996</v>
      </c>
      <c r="L50" s="77">
        <v>0.6</v>
      </c>
    </row>
    <row r="51" spans="1:12" x14ac:dyDescent="0.25">
      <c r="A51" s="2">
        <v>19</v>
      </c>
      <c r="B51" s="2" t="s">
        <v>193</v>
      </c>
      <c r="C51" s="65">
        <v>529635080</v>
      </c>
      <c r="D51" s="85">
        <v>45627</v>
      </c>
      <c r="E51" s="65" t="s">
        <v>194</v>
      </c>
      <c r="F51" s="67" t="s">
        <v>38</v>
      </c>
      <c r="G51" s="67" t="s">
        <v>195</v>
      </c>
      <c r="H51" s="69">
        <v>10676.26</v>
      </c>
      <c r="I51" s="69">
        <v>9659.4599999999991</v>
      </c>
      <c r="J51" s="4">
        <v>965.96</v>
      </c>
      <c r="K51" s="4">
        <f t="shared" si="2"/>
        <v>579.57600000000002</v>
      </c>
      <c r="L51" s="77">
        <v>0.6</v>
      </c>
    </row>
    <row r="52" spans="1:12" x14ac:dyDescent="0.25">
      <c r="A52" s="2">
        <v>21</v>
      </c>
      <c r="B52" s="2" t="s">
        <v>196</v>
      </c>
      <c r="C52" s="65">
        <v>539113152</v>
      </c>
      <c r="D52" s="85">
        <v>45653</v>
      </c>
      <c r="E52" s="65" t="s">
        <v>43</v>
      </c>
      <c r="F52" s="67" t="s">
        <v>38</v>
      </c>
      <c r="G52" s="67" t="s">
        <v>197</v>
      </c>
      <c r="H52" s="69">
        <v>12700.78</v>
      </c>
      <c r="I52" s="69">
        <v>11675.98</v>
      </c>
      <c r="J52" s="4">
        <v>1167.6099999999999</v>
      </c>
      <c r="K52" s="4">
        <f t="shared" si="2"/>
        <v>700.56599999999992</v>
      </c>
      <c r="L52" s="77">
        <v>0.6</v>
      </c>
    </row>
    <row r="53" spans="1:12" x14ac:dyDescent="0.25">
      <c r="A53" s="2">
        <v>22</v>
      </c>
      <c r="B53" s="2" t="s">
        <v>198</v>
      </c>
      <c r="C53" s="65">
        <v>534911952</v>
      </c>
      <c r="D53" s="66">
        <v>45648</v>
      </c>
      <c r="E53" s="65" t="s">
        <v>199</v>
      </c>
      <c r="F53" s="67" t="s">
        <v>38</v>
      </c>
      <c r="G53" s="67" t="s">
        <v>57</v>
      </c>
      <c r="H53" s="69">
        <v>20284.7</v>
      </c>
      <c r="I53" s="69">
        <v>18513.79</v>
      </c>
      <c r="J53" s="4">
        <v>1851.38</v>
      </c>
      <c r="K53" s="4">
        <f t="shared" si="2"/>
        <v>1110.828</v>
      </c>
      <c r="L53" s="77">
        <v>0.6</v>
      </c>
    </row>
    <row r="54" spans="1:12" x14ac:dyDescent="0.25">
      <c r="A54" s="2">
        <v>23</v>
      </c>
      <c r="B54" s="2" t="s">
        <v>200</v>
      </c>
      <c r="C54" s="65">
        <v>537093621</v>
      </c>
      <c r="D54" s="66">
        <v>45657</v>
      </c>
      <c r="E54" s="65" t="s">
        <v>201</v>
      </c>
      <c r="F54" s="67" t="s">
        <v>38</v>
      </c>
      <c r="G54" s="67" t="s">
        <v>202</v>
      </c>
      <c r="H54" s="69">
        <v>8419.4699999999993</v>
      </c>
      <c r="I54" s="69">
        <v>7562.95</v>
      </c>
      <c r="J54" s="4">
        <v>756.31</v>
      </c>
      <c r="K54" s="4">
        <f t="shared" si="2"/>
        <v>453.78599999999994</v>
      </c>
      <c r="L54" s="77">
        <v>0.6</v>
      </c>
    </row>
    <row r="55" spans="1:12" x14ac:dyDescent="0.25">
      <c r="A55" s="2">
        <v>24</v>
      </c>
      <c r="B55" s="2" t="s">
        <v>151</v>
      </c>
      <c r="C55" s="65">
        <v>536944796</v>
      </c>
      <c r="D55" s="66">
        <v>45657</v>
      </c>
      <c r="E55" s="65" t="s">
        <v>152</v>
      </c>
      <c r="F55" s="67" t="s">
        <v>38</v>
      </c>
      <c r="G55" s="67" t="s">
        <v>57</v>
      </c>
      <c r="H55" s="69">
        <v>8541</v>
      </c>
      <c r="I55" s="69">
        <v>7625.88</v>
      </c>
      <c r="J55" s="4">
        <v>762.59</v>
      </c>
      <c r="K55" s="4">
        <f t="shared" si="2"/>
        <v>457.55400000000003</v>
      </c>
      <c r="L55" s="77">
        <v>0.6</v>
      </c>
    </row>
    <row r="56" spans="1:12" x14ac:dyDescent="0.25">
      <c r="A56" s="2"/>
      <c r="B56" s="161" t="s">
        <v>169</v>
      </c>
      <c r="C56" s="161">
        <v>514258144</v>
      </c>
      <c r="D56" s="162">
        <v>45632</v>
      </c>
      <c r="E56" s="161" t="s">
        <v>170</v>
      </c>
      <c r="F56" s="68" t="s">
        <v>38</v>
      </c>
      <c r="G56" s="158" t="s">
        <v>112</v>
      </c>
      <c r="H56" s="159">
        <v>6569.88</v>
      </c>
      <c r="I56" s="159">
        <v>5865.94</v>
      </c>
      <c r="J56" s="159">
        <v>-520.9</v>
      </c>
      <c r="K56" s="159">
        <f>J56*L56</f>
        <v>-312.53999999999996</v>
      </c>
      <c r="L56" s="160">
        <v>0.6</v>
      </c>
    </row>
    <row r="57" spans="1:12" x14ac:dyDescent="0.25">
      <c r="A57" s="2"/>
      <c r="B57" s="161" t="s">
        <v>131</v>
      </c>
      <c r="C57" s="161">
        <v>516466029</v>
      </c>
      <c r="D57" s="162">
        <v>45636</v>
      </c>
      <c r="E57" s="161" t="s">
        <v>203</v>
      </c>
      <c r="F57" s="67" t="s">
        <v>38</v>
      </c>
      <c r="G57" s="158" t="s">
        <v>112</v>
      </c>
      <c r="H57" s="159">
        <v>6423.79</v>
      </c>
      <c r="I57" s="159">
        <v>5811.97</v>
      </c>
      <c r="J57" s="159">
        <v>-688.77</v>
      </c>
      <c r="K57" s="159">
        <f>J57*L57</f>
        <v>-413.262</v>
      </c>
      <c r="L57" s="160">
        <v>0.6</v>
      </c>
    </row>
    <row r="58" spans="1:12" x14ac:dyDescent="0.25">
      <c r="A58" s="2"/>
      <c r="B58" s="161" t="s">
        <v>110</v>
      </c>
      <c r="C58" s="161">
        <v>454905630</v>
      </c>
      <c r="D58" s="162">
        <v>45297</v>
      </c>
      <c r="E58" s="161" t="s">
        <v>111</v>
      </c>
      <c r="F58" s="67" t="s">
        <v>38</v>
      </c>
      <c r="G58" s="158" t="s">
        <v>112</v>
      </c>
      <c r="H58" s="159">
        <v>1163.46</v>
      </c>
      <c r="I58" s="159">
        <v>1108.06</v>
      </c>
      <c r="J58" s="159">
        <v>-164.03</v>
      </c>
      <c r="K58" s="159">
        <f>J58*L58</f>
        <v>-98.417999999999992</v>
      </c>
      <c r="L58" s="160">
        <v>0.6</v>
      </c>
    </row>
    <row r="59" spans="1:12" x14ac:dyDescent="0.25">
      <c r="A59" s="2"/>
      <c r="B59" s="161" t="s">
        <v>204</v>
      </c>
      <c r="C59" s="161">
        <v>532251506</v>
      </c>
      <c r="D59" s="162">
        <v>45645</v>
      </c>
      <c r="E59" s="161" t="s">
        <v>205</v>
      </c>
      <c r="F59" s="67" t="s">
        <v>38</v>
      </c>
      <c r="G59" s="158" t="s">
        <v>112</v>
      </c>
      <c r="H59" s="159">
        <v>16119.36</v>
      </c>
      <c r="I59" s="159">
        <v>14666.44</v>
      </c>
      <c r="J59" s="159">
        <v>-1291.6400000000001</v>
      </c>
      <c r="K59" s="159">
        <f>J59*L59</f>
        <v>-774.98400000000004</v>
      </c>
      <c r="L59" s="160">
        <v>0.6</v>
      </c>
    </row>
    <row r="60" spans="1:12" x14ac:dyDescent="0.25">
      <c r="A60" s="2"/>
      <c r="B60" s="161" t="s">
        <v>206</v>
      </c>
      <c r="C60" s="161">
        <v>507129708</v>
      </c>
      <c r="D60" s="162">
        <v>45653</v>
      </c>
      <c r="E60" s="161" t="s">
        <v>207</v>
      </c>
      <c r="F60" s="67" t="s">
        <v>41</v>
      </c>
      <c r="G60" s="158" t="s">
        <v>112</v>
      </c>
      <c r="H60" s="159">
        <v>10765.81</v>
      </c>
      <c r="I60" s="159">
        <v>9795.39</v>
      </c>
      <c r="J60" s="159">
        <v>-979.56</v>
      </c>
      <c r="K60" s="159">
        <f>J60*L60</f>
        <v>-587.73599999999999</v>
      </c>
      <c r="L60" s="160">
        <v>0.6</v>
      </c>
    </row>
    <row r="61" spans="1:12" x14ac:dyDescent="0.25">
      <c r="A61" s="2"/>
      <c r="B61" s="2"/>
      <c r="C61" s="2"/>
      <c r="D61" s="1"/>
      <c r="E61" s="2"/>
      <c r="F61" s="3"/>
      <c r="G61" s="3"/>
      <c r="H61" s="4"/>
      <c r="I61" s="4"/>
      <c r="J61" s="4"/>
      <c r="K61" s="4"/>
      <c r="L61" s="77">
        <v>0.6</v>
      </c>
    </row>
    <row r="62" spans="1:12" x14ac:dyDescent="0.25">
      <c r="A62" s="2">
        <v>25</v>
      </c>
      <c r="B62" s="65"/>
      <c r="C62" s="65"/>
      <c r="D62" s="66"/>
      <c r="E62" s="65"/>
      <c r="F62" s="67"/>
      <c r="G62" s="67"/>
      <c r="H62" s="69"/>
      <c r="I62" s="69"/>
      <c r="J62" s="4"/>
      <c r="K62" s="4">
        <f t="shared" si="2"/>
        <v>0</v>
      </c>
      <c r="L62" s="77">
        <v>0.6</v>
      </c>
    </row>
    <row r="63" spans="1:12" x14ac:dyDescent="0.25">
      <c r="A63" s="2"/>
      <c r="B63" s="65"/>
      <c r="C63" s="65"/>
      <c r="D63" s="66"/>
      <c r="E63" s="65"/>
      <c r="F63" s="67"/>
      <c r="G63" s="3"/>
      <c r="H63" s="69"/>
      <c r="I63" s="69"/>
      <c r="J63" s="69"/>
      <c r="K63" s="69">
        <f>J63*L63</f>
        <v>0</v>
      </c>
      <c r="L63" s="77">
        <v>0.6</v>
      </c>
    </row>
    <row r="64" spans="1:12" x14ac:dyDescent="0.25">
      <c r="A64" s="2"/>
      <c r="B64" s="65"/>
      <c r="C64" s="65"/>
      <c r="D64" s="66"/>
      <c r="E64" s="65"/>
      <c r="F64" s="67"/>
      <c r="G64" s="3"/>
      <c r="H64" s="69"/>
      <c r="I64" s="69"/>
      <c r="J64" s="69"/>
      <c r="K64" s="69">
        <f>J64*L64</f>
        <v>0</v>
      </c>
      <c r="L64" s="77">
        <v>0.6</v>
      </c>
    </row>
    <row r="65" spans="1:12" x14ac:dyDescent="0.25">
      <c r="A65" s="2"/>
      <c r="B65" s="2"/>
      <c r="C65" s="2"/>
      <c r="D65" s="1"/>
      <c r="E65" s="2"/>
      <c r="F65" s="3"/>
      <c r="G65" s="79" t="s">
        <v>13</v>
      </c>
      <c r="H65" s="80">
        <f>SUM(H33:H64)</f>
        <v>288851.67</v>
      </c>
      <c r="I65" s="80">
        <f>SUM(I33:I64)</f>
        <v>261393.49000000005</v>
      </c>
      <c r="J65" s="80">
        <f>SUM(J33:J64)</f>
        <v>18799.870000000003</v>
      </c>
      <c r="K65" s="80">
        <f>SUM(K33:K64)</f>
        <v>11279.921999999999</v>
      </c>
      <c r="L65" s="81"/>
    </row>
    <row r="66" spans="1:12" x14ac:dyDescent="0.25">
      <c r="A66" s="2"/>
      <c r="B66" s="2"/>
      <c r="C66" s="2"/>
      <c r="D66" s="1"/>
      <c r="E66" s="2"/>
      <c r="F66" s="3"/>
      <c r="G66" s="86" t="s">
        <v>14</v>
      </c>
      <c r="H66" s="87">
        <f>H60</f>
        <v>10765.81</v>
      </c>
      <c r="I66" s="4"/>
      <c r="J66" s="4"/>
      <c r="K66" s="4"/>
      <c r="L66" s="2"/>
    </row>
    <row r="67" spans="1:12" x14ac:dyDescent="0.25">
      <c r="A67" s="88"/>
      <c r="B67" s="88"/>
      <c r="C67" s="88"/>
      <c r="D67" s="88"/>
      <c r="E67" s="88"/>
      <c r="F67" s="88"/>
      <c r="G67" s="89"/>
      <c r="H67" s="88"/>
      <c r="I67" s="88"/>
      <c r="J67" s="88"/>
      <c r="K67" s="88"/>
      <c r="L67" s="88"/>
    </row>
    <row r="68" spans="1:12" x14ac:dyDescent="0.25">
      <c r="A68" s="88"/>
      <c r="B68" s="2" t="s">
        <v>17</v>
      </c>
      <c r="C68" s="2"/>
      <c r="D68" s="1"/>
      <c r="E68" s="2"/>
      <c r="F68" s="3"/>
      <c r="G68" s="3"/>
      <c r="H68" s="4"/>
      <c r="I68" s="4"/>
      <c r="J68" s="4"/>
      <c r="K68" s="4"/>
      <c r="L68" s="2"/>
    </row>
    <row r="69" spans="1:12" x14ac:dyDescent="0.25">
      <c r="A69" s="88"/>
      <c r="B69" s="2" t="s">
        <v>208</v>
      </c>
      <c r="C69" s="2">
        <v>526611168</v>
      </c>
      <c r="D69" s="76">
        <v>45638</v>
      </c>
      <c r="E69" s="3" t="s">
        <v>12</v>
      </c>
      <c r="F69" s="3" t="s">
        <v>38</v>
      </c>
      <c r="G69" s="90" t="s">
        <v>209</v>
      </c>
      <c r="H69" s="4">
        <v>28609.72</v>
      </c>
      <c r="I69" s="4">
        <v>26707.56</v>
      </c>
      <c r="J69" s="4">
        <v>4006.05</v>
      </c>
      <c r="K69" s="4">
        <f>J69*L69</f>
        <v>2403.63</v>
      </c>
      <c r="L69" s="77">
        <v>0.6</v>
      </c>
    </row>
    <row r="70" spans="1:12" x14ac:dyDescent="0.25">
      <c r="A70" s="88"/>
      <c r="B70" s="2" t="s">
        <v>210</v>
      </c>
      <c r="C70" s="2">
        <v>534167784</v>
      </c>
      <c r="D70" s="76">
        <v>45655</v>
      </c>
      <c r="E70" s="3" t="s">
        <v>12</v>
      </c>
      <c r="F70" s="3" t="s">
        <v>38</v>
      </c>
      <c r="G70" s="90" t="s">
        <v>210</v>
      </c>
      <c r="H70" s="4">
        <v>3042.04</v>
      </c>
      <c r="I70" s="4">
        <v>2888.43</v>
      </c>
      <c r="J70" s="4">
        <v>433.2</v>
      </c>
      <c r="K70" s="4">
        <f t="shared" ref="K70:K75" si="3">J70*L70</f>
        <v>259.91999999999996</v>
      </c>
      <c r="L70" s="77">
        <v>0.6</v>
      </c>
    </row>
    <row r="71" spans="1:12" x14ac:dyDescent="0.25">
      <c r="A71" s="88"/>
      <c r="B71" s="2" t="s">
        <v>211</v>
      </c>
      <c r="C71" s="2">
        <v>533082807</v>
      </c>
      <c r="D71" s="76">
        <v>45634</v>
      </c>
      <c r="E71" s="3" t="s">
        <v>12</v>
      </c>
      <c r="F71" s="67" t="s">
        <v>38</v>
      </c>
      <c r="G71" s="90" t="s">
        <v>57</v>
      </c>
      <c r="H71" s="4">
        <v>1150.29</v>
      </c>
      <c r="I71" s="4">
        <v>1150.29</v>
      </c>
      <c r="J71" s="4">
        <v>103.53</v>
      </c>
      <c r="K71" s="4">
        <f t="shared" si="3"/>
        <v>62.117999999999995</v>
      </c>
      <c r="L71" s="77">
        <v>0.6</v>
      </c>
    </row>
    <row r="72" spans="1:12" x14ac:dyDescent="0.25">
      <c r="A72" s="88"/>
      <c r="B72" s="2" t="s">
        <v>212</v>
      </c>
      <c r="C72" s="2">
        <v>526610648</v>
      </c>
      <c r="D72" s="76">
        <v>45650</v>
      </c>
      <c r="E72" s="3" t="s">
        <v>12</v>
      </c>
      <c r="F72" s="3" t="s">
        <v>38</v>
      </c>
      <c r="G72" s="90" t="s">
        <v>213</v>
      </c>
      <c r="H72" s="4">
        <v>2827.23</v>
      </c>
      <c r="I72" s="4">
        <v>2682.44</v>
      </c>
      <c r="J72" s="4">
        <v>402.3</v>
      </c>
      <c r="K72" s="4">
        <f t="shared" si="3"/>
        <v>241.38</v>
      </c>
      <c r="L72" s="77">
        <v>0.6</v>
      </c>
    </row>
    <row r="73" spans="1:12" x14ac:dyDescent="0.25">
      <c r="A73" s="88"/>
      <c r="B73" s="2" t="s">
        <v>106</v>
      </c>
      <c r="C73" s="2">
        <v>535463541</v>
      </c>
      <c r="D73" s="76">
        <v>45645</v>
      </c>
      <c r="E73" s="3" t="s">
        <v>12</v>
      </c>
      <c r="F73" s="3" t="s">
        <v>41</v>
      </c>
      <c r="G73" s="90" t="s">
        <v>12</v>
      </c>
      <c r="H73" s="4">
        <v>8258.1</v>
      </c>
      <c r="I73" s="4">
        <v>7855.92</v>
      </c>
      <c r="J73" s="4">
        <v>1178.25</v>
      </c>
      <c r="K73" s="4">
        <f t="shared" si="3"/>
        <v>706.94999999999993</v>
      </c>
      <c r="L73" s="77">
        <v>0.6</v>
      </c>
    </row>
    <row r="74" spans="1:12" x14ac:dyDescent="0.25">
      <c r="A74" s="88"/>
      <c r="B74" s="2" t="s">
        <v>214</v>
      </c>
      <c r="C74" s="2">
        <v>4857723</v>
      </c>
      <c r="D74" s="76">
        <v>45654</v>
      </c>
      <c r="E74" s="3" t="s">
        <v>12</v>
      </c>
      <c r="F74" s="3" t="s">
        <v>38</v>
      </c>
      <c r="G74" s="90" t="s">
        <v>215</v>
      </c>
      <c r="H74" s="4">
        <v>8357.82</v>
      </c>
      <c r="I74" s="4">
        <v>8357.82</v>
      </c>
      <c r="J74" s="4">
        <v>1253.55</v>
      </c>
      <c r="K74" s="4">
        <f t="shared" si="3"/>
        <v>752.13</v>
      </c>
      <c r="L74" s="77">
        <v>0.6</v>
      </c>
    </row>
    <row r="75" spans="1:12" x14ac:dyDescent="0.25">
      <c r="A75" s="88"/>
      <c r="B75" s="2" t="s">
        <v>216</v>
      </c>
      <c r="C75" s="2">
        <v>4857739</v>
      </c>
      <c r="D75" s="76">
        <v>45654</v>
      </c>
      <c r="E75" s="3" t="s">
        <v>12</v>
      </c>
      <c r="F75" s="3" t="s">
        <v>38</v>
      </c>
      <c r="G75" s="90" t="s">
        <v>215</v>
      </c>
      <c r="H75" s="4">
        <v>7601.56</v>
      </c>
      <c r="I75" s="4">
        <v>7601.56</v>
      </c>
      <c r="J75" s="4">
        <v>1140.1500000000001</v>
      </c>
      <c r="K75" s="4">
        <f t="shared" si="3"/>
        <v>684.09</v>
      </c>
      <c r="L75" s="77">
        <v>0.6</v>
      </c>
    </row>
    <row r="76" spans="1:12" x14ac:dyDescent="0.25">
      <c r="A76" s="88"/>
      <c r="B76" s="2" t="s">
        <v>217</v>
      </c>
      <c r="C76" s="2">
        <v>448860230</v>
      </c>
      <c r="D76" s="76">
        <v>45636</v>
      </c>
      <c r="E76" s="3" t="s">
        <v>12</v>
      </c>
      <c r="F76" s="3" t="s">
        <v>41</v>
      </c>
      <c r="G76" s="67"/>
      <c r="H76" s="69">
        <v>156.44</v>
      </c>
      <c r="I76" s="69">
        <v>148.99</v>
      </c>
      <c r="J76" s="4">
        <v>22.34</v>
      </c>
      <c r="K76" s="4">
        <f>J76*L76</f>
        <v>13.404</v>
      </c>
      <c r="L76" s="77">
        <v>0.6</v>
      </c>
    </row>
    <row r="77" spans="1:12" x14ac:dyDescent="0.25">
      <c r="A77" s="88"/>
      <c r="B77" s="2"/>
      <c r="C77" s="2"/>
      <c r="D77" s="76"/>
      <c r="E77" s="3"/>
      <c r="F77" s="3"/>
      <c r="G77" s="67"/>
      <c r="H77" s="69"/>
      <c r="I77" s="69"/>
      <c r="J77" s="4"/>
      <c r="K77" s="4"/>
      <c r="L77" s="77"/>
    </row>
    <row r="78" spans="1:12" x14ac:dyDescent="0.25">
      <c r="A78" s="88"/>
      <c r="B78" s="2"/>
      <c r="C78" s="2"/>
      <c r="D78" s="76"/>
      <c r="E78" s="3"/>
      <c r="F78" s="3"/>
      <c r="G78" s="67"/>
      <c r="H78" s="69"/>
      <c r="I78" s="69"/>
      <c r="J78" s="4"/>
      <c r="K78" s="4"/>
      <c r="L78" s="77"/>
    </row>
    <row r="79" spans="1:12" x14ac:dyDescent="0.25">
      <c r="A79" s="88"/>
      <c r="B79" s="2"/>
      <c r="C79" s="2"/>
      <c r="D79" s="1"/>
      <c r="E79" s="2"/>
      <c r="F79" s="3"/>
      <c r="G79" s="79" t="s">
        <v>13</v>
      </c>
      <c r="H79" s="80">
        <f>SUM(H69:H76)</f>
        <v>60003.200000000004</v>
      </c>
      <c r="I79" s="80">
        <f>SUM(I69:I76)</f>
        <v>57393.009999999995</v>
      </c>
      <c r="J79" s="80">
        <f>SUM(J69:J76)</f>
        <v>8539.3700000000008</v>
      </c>
      <c r="K79" s="80">
        <f>SUM(K69:K76)</f>
        <v>5123.6220000000003</v>
      </c>
      <c r="L79" s="81"/>
    </row>
    <row r="80" spans="1:12" x14ac:dyDescent="0.25">
      <c r="A80" s="88"/>
      <c r="B80" s="2"/>
      <c r="C80" s="2"/>
      <c r="D80" s="1"/>
      <c r="E80" s="2"/>
      <c r="F80" s="3"/>
      <c r="G80" s="79"/>
      <c r="H80" s="80"/>
      <c r="I80" s="80"/>
      <c r="J80" s="80"/>
      <c r="K80" s="80"/>
      <c r="L80" s="81"/>
    </row>
    <row r="81" spans="1:17" x14ac:dyDescent="0.25">
      <c r="A81" s="88"/>
      <c r="B81" s="2"/>
      <c r="C81" s="2"/>
      <c r="D81" s="1"/>
      <c r="E81" s="2"/>
      <c r="F81" s="3"/>
      <c r="G81" s="79"/>
      <c r="H81" s="80"/>
      <c r="I81" s="80"/>
      <c r="J81" s="80"/>
      <c r="K81" s="80"/>
      <c r="L81" s="81"/>
    </row>
    <row r="82" spans="1:17" x14ac:dyDescent="0.25">
      <c r="A82" s="88"/>
      <c r="B82" s="2"/>
      <c r="C82" s="2"/>
      <c r="D82" s="1"/>
      <c r="E82" s="2"/>
      <c r="F82" s="3"/>
      <c r="G82" s="86" t="s">
        <v>14</v>
      </c>
      <c r="H82" s="87">
        <f>H73+H76</f>
        <v>8414.5400000000009</v>
      </c>
      <c r="I82" s="4"/>
      <c r="J82" s="4"/>
      <c r="K82" s="4"/>
      <c r="L82" s="2"/>
    </row>
    <row r="83" spans="1:17" x14ac:dyDescent="0.25">
      <c r="A83" s="88"/>
      <c r="B83" s="2"/>
      <c r="C83" s="2"/>
      <c r="D83" s="1"/>
      <c r="E83" s="86"/>
      <c r="F83" s="86" t="s">
        <v>18</v>
      </c>
      <c r="G83" s="86"/>
      <c r="H83" s="87">
        <f>H82/6</f>
        <v>1402.4233333333334</v>
      </c>
      <c r="I83" s="4"/>
      <c r="J83" s="4"/>
      <c r="K83" s="4"/>
      <c r="L83" s="2"/>
    </row>
    <row r="84" spans="1:17" x14ac:dyDescent="0.25"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</row>
    <row r="85" spans="1:17" x14ac:dyDescent="0.25"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</row>
    <row r="86" spans="1:17" x14ac:dyDescent="0.25">
      <c r="B86" s="91"/>
      <c r="C86" s="91"/>
      <c r="D86" s="91"/>
      <c r="E86" s="92"/>
      <c r="F86" s="91"/>
      <c r="G86" s="91"/>
      <c r="H86" s="91"/>
      <c r="I86" s="92"/>
      <c r="J86" s="92"/>
      <c r="K86" s="92"/>
      <c r="L86" s="92"/>
      <c r="M86" s="93"/>
    </row>
    <row r="87" spans="1:17" x14ac:dyDescent="0.25">
      <c r="B87" s="94" t="s">
        <v>19</v>
      </c>
      <c r="C87" s="95"/>
      <c r="D87" s="96">
        <f>H29</f>
        <v>11092.54</v>
      </c>
      <c r="E87" s="92"/>
      <c r="F87" s="94" t="s">
        <v>20</v>
      </c>
      <c r="G87" s="94"/>
      <c r="H87" s="96">
        <f>H67</f>
        <v>0</v>
      </c>
      <c r="I87" s="92"/>
      <c r="J87" s="94" t="s">
        <v>21</v>
      </c>
      <c r="K87" s="94"/>
      <c r="L87" s="97">
        <f>H82</f>
        <v>8414.5400000000009</v>
      </c>
      <c r="M87" s="98"/>
    </row>
    <row r="88" spans="1:17" x14ac:dyDescent="0.25">
      <c r="B88" s="95" t="s">
        <v>22</v>
      </c>
      <c r="C88" s="95"/>
      <c r="D88" s="96">
        <f>H30</f>
        <v>1848.7566666666669</v>
      </c>
      <c r="E88" s="92"/>
      <c r="F88" s="95"/>
      <c r="G88" s="95"/>
      <c r="H88" s="95" t="s">
        <v>12</v>
      </c>
      <c r="I88" s="92"/>
      <c r="J88" s="95" t="s">
        <v>23</v>
      </c>
      <c r="K88" s="95"/>
      <c r="L88" s="99">
        <f>H83</f>
        <v>1402.4233333333334</v>
      </c>
      <c r="M88" s="98"/>
    </row>
    <row r="89" spans="1:17" x14ac:dyDescent="0.25">
      <c r="B89" s="95" t="s">
        <v>24</v>
      </c>
      <c r="C89" s="95"/>
      <c r="D89" s="96">
        <f>K28</f>
        <v>21933.368000000002</v>
      </c>
      <c r="E89" s="92"/>
      <c r="F89" s="95" t="s">
        <v>25</v>
      </c>
      <c r="G89" s="95"/>
      <c r="H89" s="96">
        <f>K65</f>
        <v>11279.921999999999</v>
      </c>
      <c r="I89" s="92"/>
      <c r="J89" s="95" t="s">
        <v>26</v>
      </c>
      <c r="K89" s="95"/>
      <c r="L89" s="99">
        <f>K79</f>
        <v>5123.6220000000003</v>
      </c>
      <c r="M89" s="98"/>
    </row>
    <row r="90" spans="1:17" x14ac:dyDescent="0.25">
      <c r="B90" s="95"/>
      <c r="C90" s="95"/>
      <c r="D90" s="96"/>
      <c r="E90" s="92"/>
      <c r="F90" s="95"/>
      <c r="G90" s="95"/>
      <c r="H90" s="96"/>
      <c r="I90" s="92"/>
      <c r="J90" s="95"/>
      <c r="K90" s="95"/>
      <c r="L90" s="100"/>
      <c r="M90" s="101"/>
    </row>
    <row r="91" spans="1:17" x14ac:dyDescent="0.25">
      <c r="B91" s="95"/>
      <c r="C91" s="95"/>
      <c r="D91" s="95"/>
      <c r="E91" s="92"/>
      <c r="F91" s="95"/>
      <c r="G91" s="95"/>
      <c r="H91" s="95"/>
      <c r="I91" s="92"/>
      <c r="J91" s="102"/>
      <c r="K91" s="102"/>
      <c r="L91" s="100"/>
      <c r="M91" s="93"/>
    </row>
    <row r="92" spans="1:17" x14ac:dyDescent="0.25"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3"/>
      <c r="N92" s="103"/>
      <c r="O92" s="42" t="s">
        <v>218</v>
      </c>
      <c r="P92" s="42"/>
      <c r="Q92" s="32" t="s">
        <v>219</v>
      </c>
    </row>
    <row r="93" spans="1:17" x14ac:dyDescent="0.25">
      <c r="B93" s="104" t="s">
        <v>27</v>
      </c>
      <c r="C93" s="104"/>
      <c r="D93" s="104"/>
      <c r="E93" s="88"/>
      <c r="F93" s="103" t="s">
        <v>28</v>
      </c>
      <c r="G93" s="103"/>
      <c r="H93" s="103"/>
      <c r="I93" s="88"/>
      <c r="J93" s="88"/>
      <c r="K93" s="88"/>
      <c r="L93" s="88"/>
      <c r="N93" s="105">
        <v>1</v>
      </c>
      <c r="O93" s="106" t="s">
        <v>220</v>
      </c>
      <c r="P93" s="106">
        <v>14965</v>
      </c>
      <c r="Q93" s="107">
        <v>45665</v>
      </c>
    </row>
    <row r="94" spans="1:17" x14ac:dyDescent="0.25">
      <c r="B94" s="108"/>
      <c r="C94" s="108"/>
      <c r="D94" s="109"/>
      <c r="E94" s="88"/>
      <c r="F94" s="2"/>
      <c r="G94" s="2"/>
      <c r="H94" s="2"/>
      <c r="I94" s="4"/>
      <c r="J94" s="88"/>
      <c r="K94" s="88"/>
      <c r="L94" s="88"/>
      <c r="N94" s="105">
        <v>2</v>
      </c>
      <c r="O94" s="106" t="s">
        <v>90</v>
      </c>
      <c r="P94" s="106">
        <v>1870</v>
      </c>
      <c r="Q94" s="107">
        <v>45677</v>
      </c>
    </row>
    <row r="95" spans="1:17" x14ac:dyDescent="0.25">
      <c r="B95" s="108" t="s">
        <v>29</v>
      </c>
      <c r="C95" s="108"/>
      <c r="D95" s="109">
        <f>K2</f>
        <v>151665.15</v>
      </c>
      <c r="E95" s="88"/>
      <c r="F95" s="110" t="s">
        <v>30</v>
      </c>
      <c r="G95" s="110"/>
      <c r="H95" s="111" t="s">
        <v>12</v>
      </c>
      <c r="I95" s="4"/>
      <c r="J95" s="88"/>
      <c r="K95" s="88"/>
      <c r="L95" s="88"/>
      <c r="N95" s="105">
        <v>3</v>
      </c>
      <c r="O95" s="105" t="s">
        <v>221</v>
      </c>
      <c r="P95" s="105">
        <v>14815</v>
      </c>
      <c r="Q95" s="107">
        <v>45680</v>
      </c>
    </row>
    <row r="96" spans="1:17" x14ac:dyDescent="0.25">
      <c r="B96" s="108" t="s">
        <v>31</v>
      </c>
      <c r="C96" s="108"/>
      <c r="D96" s="112">
        <f>D89+H89+L89</f>
        <v>38336.912000000004</v>
      </c>
      <c r="E96" s="88"/>
      <c r="F96" s="110" t="s">
        <v>32</v>
      </c>
      <c r="G96" s="110"/>
      <c r="H96" s="113">
        <f>H29</f>
        <v>11092.54</v>
      </c>
      <c r="I96" s="114"/>
      <c r="J96" s="88"/>
      <c r="K96" s="88"/>
      <c r="L96" s="88"/>
      <c r="N96" s="105">
        <v>4</v>
      </c>
      <c r="O96" s="115" t="s">
        <v>161</v>
      </c>
      <c r="P96" s="115">
        <v>3050</v>
      </c>
      <c r="Q96" s="107">
        <v>45680</v>
      </c>
    </row>
    <row r="97" spans="2:17" x14ac:dyDescent="0.25">
      <c r="B97" s="108" t="s">
        <v>222</v>
      </c>
      <c r="C97" s="108"/>
      <c r="D97" s="112">
        <f>P105</f>
        <v>123525</v>
      </c>
      <c r="E97" s="88"/>
      <c r="F97" s="110" t="s">
        <v>33</v>
      </c>
      <c r="G97" s="110"/>
      <c r="H97" s="116">
        <f>H66</f>
        <v>10765.81</v>
      </c>
      <c r="I97" s="117"/>
      <c r="J97" s="88"/>
      <c r="K97" s="88"/>
      <c r="L97" s="88"/>
      <c r="N97" s="105">
        <v>5</v>
      </c>
      <c r="O97" s="115" t="s">
        <v>223</v>
      </c>
      <c r="P97" s="115">
        <v>6700</v>
      </c>
      <c r="Q97" s="107">
        <v>45679</v>
      </c>
    </row>
    <row r="98" spans="2:17" x14ac:dyDescent="0.25">
      <c r="B98" s="108" t="s">
        <v>439</v>
      </c>
      <c r="C98" s="112"/>
      <c r="D98" s="112">
        <f>H60</f>
        <v>10765.81</v>
      </c>
      <c r="E98" s="88"/>
      <c r="F98" s="110" t="s">
        <v>34</v>
      </c>
      <c r="G98" s="110"/>
      <c r="H98" s="113" t="s">
        <v>12</v>
      </c>
      <c r="I98" s="117"/>
      <c r="J98" s="88"/>
      <c r="K98" s="88"/>
      <c r="L98" s="88"/>
      <c r="N98" s="105">
        <v>6</v>
      </c>
      <c r="O98" s="115" t="s">
        <v>224</v>
      </c>
      <c r="P98" s="115">
        <v>5175</v>
      </c>
      <c r="Q98" s="107">
        <v>45679</v>
      </c>
    </row>
    <row r="99" spans="2:17" x14ac:dyDescent="0.25">
      <c r="B99" s="108" t="s">
        <v>13</v>
      </c>
      <c r="C99" s="112"/>
      <c r="D99" s="112">
        <f>D95+D96+D97+D98</f>
        <v>324292.87200000003</v>
      </c>
      <c r="E99" s="88"/>
      <c r="F99" s="118" t="s">
        <v>225</v>
      </c>
      <c r="G99" s="119"/>
      <c r="H99" s="119">
        <v>6711.64</v>
      </c>
      <c r="I99" s="117"/>
      <c r="J99" s="88"/>
      <c r="K99" s="88"/>
      <c r="L99" s="88"/>
      <c r="N99" s="105">
        <v>7</v>
      </c>
      <c r="O99" s="115" t="s">
        <v>226</v>
      </c>
      <c r="P99" s="115">
        <v>13630</v>
      </c>
      <c r="Q99" s="107">
        <v>45679</v>
      </c>
    </row>
    <row r="100" spans="2:17" x14ac:dyDescent="0.25">
      <c r="B100" s="88"/>
      <c r="C100" s="88"/>
      <c r="D100" s="88"/>
      <c r="E100" s="88"/>
      <c r="F100" s="118" t="s">
        <v>227</v>
      </c>
      <c r="G100" s="119"/>
      <c r="H100" s="119">
        <v>14531.51</v>
      </c>
      <c r="I100" s="120"/>
      <c r="J100" s="88"/>
      <c r="K100" s="88"/>
      <c r="L100" s="88"/>
      <c r="N100" s="105">
        <v>8</v>
      </c>
      <c r="O100" s="115" t="s">
        <v>228</v>
      </c>
      <c r="P100" s="115">
        <v>7950</v>
      </c>
      <c r="Q100" s="107">
        <v>45679</v>
      </c>
    </row>
    <row r="101" spans="2:17" x14ac:dyDescent="0.25">
      <c r="B101" s="88"/>
      <c r="C101" s="88"/>
      <c r="D101" s="88"/>
      <c r="E101" s="88"/>
      <c r="F101" s="118" t="s">
        <v>229</v>
      </c>
      <c r="G101" s="119"/>
      <c r="H101" s="119">
        <v>1640.15</v>
      </c>
      <c r="I101" s="120"/>
      <c r="J101" s="88"/>
      <c r="K101" s="88"/>
      <c r="L101" s="88"/>
      <c r="N101" s="105">
        <v>9</v>
      </c>
      <c r="O101" s="115" t="s">
        <v>230</v>
      </c>
      <c r="P101" s="115">
        <v>51970</v>
      </c>
      <c r="Q101" s="107">
        <v>45680</v>
      </c>
    </row>
    <row r="102" spans="2:17" x14ac:dyDescent="0.25">
      <c r="B102" s="88"/>
      <c r="C102" s="88"/>
      <c r="D102" s="88"/>
      <c r="E102" s="88"/>
      <c r="F102" s="118" t="s">
        <v>231</v>
      </c>
      <c r="G102" s="119"/>
      <c r="H102" s="119">
        <v>6293.7</v>
      </c>
      <c r="I102" s="120"/>
      <c r="J102" s="88"/>
      <c r="K102" s="88"/>
      <c r="L102" s="88"/>
      <c r="N102" s="121">
        <v>10</v>
      </c>
      <c r="O102" s="122" t="s">
        <v>232</v>
      </c>
      <c r="P102" s="122">
        <v>1670</v>
      </c>
      <c r="Q102" s="107">
        <v>45688</v>
      </c>
    </row>
    <row r="103" spans="2:17" x14ac:dyDescent="0.25">
      <c r="B103" s="88"/>
      <c r="C103" s="88"/>
      <c r="D103" s="88"/>
      <c r="E103" s="88"/>
      <c r="F103" s="118" t="s">
        <v>233</v>
      </c>
      <c r="G103" s="119"/>
      <c r="H103" s="119">
        <v>814.2</v>
      </c>
      <c r="I103" s="120"/>
      <c r="J103" s="88"/>
      <c r="K103" s="88"/>
      <c r="L103" s="88"/>
      <c r="N103" s="105">
        <v>11</v>
      </c>
      <c r="O103" s="115" t="s">
        <v>102</v>
      </c>
      <c r="P103" s="115">
        <v>1730</v>
      </c>
      <c r="Q103" s="107">
        <v>45688</v>
      </c>
    </row>
    <row r="104" spans="2:17" x14ac:dyDescent="0.25">
      <c r="B104" s="88"/>
      <c r="C104" s="88"/>
      <c r="D104" s="88"/>
      <c r="E104" s="88"/>
      <c r="F104" s="118" t="s">
        <v>234</v>
      </c>
      <c r="G104" s="119"/>
      <c r="H104" s="119">
        <v>1578.29</v>
      </c>
      <c r="I104" s="120"/>
      <c r="J104" s="88"/>
      <c r="K104" s="88"/>
      <c r="L104" s="88"/>
      <c r="N104" s="123"/>
      <c r="O104" s="124"/>
      <c r="P104" s="124"/>
      <c r="Q104" s="123"/>
    </row>
    <row r="105" spans="2:17" x14ac:dyDescent="0.25">
      <c r="B105" s="88"/>
      <c r="C105" s="88"/>
      <c r="D105" s="88"/>
      <c r="E105" s="88"/>
      <c r="F105" s="118" t="s">
        <v>235</v>
      </c>
      <c r="G105" s="119"/>
      <c r="H105" s="119">
        <v>2097.2399999999998</v>
      </c>
      <c r="I105" s="120"/>
      <c r="J105" s="88"/>
      <c r="K105" s="88"/>
      <c r="L105" s="88"/>
      <c r="N105" s="123"/>
      <c r="O105" s="124" t="s">
        <v>13</v>
      </c>
      <c r="P105" s="124">
        <f>SUM(P93:P103)</f>
        <v>123525</v>
      </c>
      <c r="Q105" s="123"/>
    </row>
    <row r="106" spans="2:17" x14ac:dyDescent="0.25">
      <c r="B106" s="88"/>
      <c r="C106" s="88"/>
      <c r="D106" s="88"/>
      <c r="E106" s="88"/>
      <c r="F106" s="118" t="s">
        <v>236</v>
      </c>
      <c r="G106" s="119"/>
      <c r="H106" s="119">
        <v>2151.1799999999998</v>
      </c>
      <c r="I106" s="120"/>
      <c r="J106" s="88"/>
      <c r="K106" s="88"/>
      <c r="L106" s="88"/>
      <c r="O106" s="125"/>
      <c r="P106" s="125"/>
    </row>
    <row r="107" spans="2:17" x14ac:dyDescent="0.25">
      <c r="B107" s="88"/>
      <c r="C107" s="88"/>
      <c r="D107" s="88"/>
      <c r="E107" s="88"/>
      <c r="F107" s="118" t="s">
        <v>237</v>
      </c>
      <c r="G107" s="119"/>
      <c r="H107" s="119">
        <f>H30</f>
        <v>1848.7566666666669</v>
      </c>
      <c r="I107" s="120"/>
      <c r="J107" s="88"/>
      <c r="K107" s="88"/>
      <c r="L107" s="88"/>
      <c r="O107" s="125"/>
      <c r="P107" s="125"/>
    </row>
    <row r="108" spans="2:17" x14ac:dyDescent="0.25">
      <c r="B108" s="88"/>
      <c r="C108" s="88"/>
      <c r="D108" s="88"/>
      <c r="E108" s="88"/>
      <c r="F108" s="118" t="s">
        <v>238</v>
      </c>
      <c r="G108" s="119"/>
      <c r="H108" s="119">
        <f>H83</f>
        <v>1402.4233333333334</v>
      </c>
      <c r="I108" s="120"/>
      <c r="J108" s="88"/>
      <c r="K108" s="88"/>
      <c r="L108" s="88"/>
      <c r="O108" s="125"/>
      <c r="P108" s="125"/>
    </row>
    <row r="109" spans="2:17" x14ac:dyDescent="0.25">
      <c r="B109" s="88"/>
      <c r="C109" s="88"/>
      <c r="D109" s="88"/>
      <c r="E109" s="88"/>
      <c r="F109" s="126"/>
      <c r="G109" s="127"/>
      <c r="H109" s="127"/>
      <c r="I109" s="120"/>
      <c r="J109" s="88"/>
      <c r="K109" s="88"/>
      <c r="L109" s="88"/>
      <c r="O109" s="125"/>
      <c r="P109" s="125"/>
    </row>
    <row r="110" spans="2:17" x14ac:dyDescent="0.25">
      <c r="B110" s="88"/>
      <c r="C110" s="88"/>
      <c r="D110" s="88"/>
      <c r="E110" s="88"/>
      <c r="F110" s="128" t="s">
        <v>13</v>
      </c>
      <c r="G110" s="129"/>
      <c r="H110" s="130">
        <f>SUM(H97:H108)</f>
        <v>49834.899999999994</v>
      </c>
      <c r="I110" s="131"/>
      <c r="J110" s="88"/>
      <c r="K110" s="88"/>
      <c r="L110" s="88"/>
      <c r="O110" s="125"/>
      <c r="P110" s="125"/>
    </row>
    <row r="111" spans="2:17" x14ac:dyDescent="0.25">
      <c r="B111" s="88"/>
      <c r="C111" s="88"/>
      <c r="D111" s="88"/>
      <c r="E111" s="88"/>
      <c r="F111" s="88"/>
      <c r="G111" s="88"/>
      <c r="H111" s="132"/>
      <c r="I111" s="88"/>
      <c r="J111" s="88"/>
      <c r="K111" s="88"/>
      <c r="L111" s="88"/>
    </row>
    <row r="112" spans="2:17" x14ac:dyDescent="0.25"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</row>
    <row r="113" spans="2:12" x14ac:dyDescent="0.25"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</row>
    <row r="114" spans="2:12" x14ac:dyDescent="0.25"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</row>
    <row r="115" spans="2:12" x14ac:dyDescent="0.25"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</row>
    <row r="116" spans="2:12" x14ac:dyDescent="0.25"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</row>
    <row r="117" spans="2:12" x14ac:dyDescent="0.25">
      <c r="B117" s="88"/>
      <c r="C117" s="88"/>
      <c r="D117" s="133" t="s">
        <v>239</v>
      </c>
      <c r="E117" s="133"/>
      <c r="F117" s="134"/>
      <c r="G117" s="134">
        <f>D99-H110</f>
        <v>274457.97200000007</v>
      </c>
      <c r="H117" s="88"/>
      <c r="I117" s="88"/>
      <c r="J117" s="88"/>
      <c r="K117" s="88"/>
      <c r="L117" s="88"/>
    </row>
    <row r="118" spans="2:12" x14ac:dyDescent="0.25">
      <c r="B118" s="88"/>
      <c r="C118" s="88"/>
      <c r="D118" s="72" t="s">
        <v>240</v>
      </c>
      <c r="E118" s="72"/>
      <c r="F118" s="72"/>
      <c r="G118" s="72">
        <v>100000</v>
      </c>
      <c r="H118" s="88"/>
      <c r="I118" s="88"/>
      <c r="J118" s="88"/>
      <c r="K118" s="88"/>
      <c r="L118" s="88"/>
    </row>
    <row r="119" spans="2:12" x14ac:dyDescent="0.25">
      <c r="C119" s="88"/>
      <c r="D119" s="72"/>
      <c r="E119" s="72"/>
      <c r="F119" s="72"/>
      <c r="G119" s="88"/>
      <c r="H119" s="88"/>
      <c r="I119" s="88"/>
      <c r="J119" s="88"/>
      <c r="K119" s="88"/>
      <c r="L119" s="88"/>
    </row>
    <row r="120" spans="2:12" x14ac:dyDescent="0.25">
      <c r="C120" s="88"/>
      <c r="D120" s="72" t="s">
        <v>35</v>
      </c>
      <c r="E120" s="72"/>
      <c r="F120" s="72"/>
      <c r="G120" s="114">
        <f>G117-G118</f>
        <v>174457.97200000007</v>
      </c>
      <c r="H120" s="88"/>
      <c r="I120" s="88"/>
      <c r="J120" s="88"/>
      <c r="K120" s="88"/>
      <c r="L120" s="88"/>
    </row>
    <row r="121" spans="2:12" x14ac:dyDescent="0.25">
      <c r="C121" s="88"/>
      <c r="D121" s="88"/>
      <c r="E121" s="88"/>
      <c r="F121" s="88"/>
      <c r="G121" s="88"/>
      <c r="H121" s="88"/>
      <c r="I121" s="88"/>
      <c r="J121" s="88"/>
      <c r="K121" s="88"/>
      <c r="L121" s="88"/>
    </row>
    <row r="122" spans="2:12" x14ac:dyDescent="0.25">
      <c r="C122" s="88"/>
      <c r="D122" s="88"/>
      <c r="E122" s="88"/>
      <c r="F122" s="88"/>
      <c r="G122" s="88"/>
      <c r="H122" s="88"/>
      <c r="I122" s="88"/>
      <c r="J122" s="88"/>
      <c r="K122" s="88"/>
      <c r="L122" s="88"/>
    </row>
    <row r="123" spans="2:12" x14ac:dyDescent="0.25">
      <c r="C123" s="88"/>
      <c r="D123" s="88"/>
      <c r="E123" s="88"/>
      <c r="F123" s="88"/>
      <c r="G123" s="88"/>
      <c r="H123" s="88"/>
      <c r="I123" s="88"/>
      <c r="J123" s="88"/>
      <c r="K123" s="88"/>
      <c r="L123" s="88"/>
    </row>
  </sheetData>
  <conditionalFormatting sqref="F1 F68:F83">
    <cfRule type="cellIs" dxfId="63" priority="5" operator="equal">
      <formula>"K.KART"</formula>
    </cfRule>
    <cfRule type="cellIs" dxfId="62" priority="6" operator="equal">
      <formula>"AÇIK"</formula>
    </cfRule>
  </conditionalFormatting>
  <conditionalFormatting sqref="F3:F66">
    <cfRule type="cellIs" dxfId="61" priority="1" operator="equal">
      <formula>"K.KART"</formula>
    </cfRule>
    <cfRule type="cellIs" dxfId="60" priority="2" operator="equal">
      <formula>"AÇIK"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DD1C-98D5-4E63-9A1E-BFA603DD0947}">
  <dimension ref="A1:K105"/>
  <sheetViews>
    <sheetView topLeftCell="A4" workbookViewId="0">
      <selection activeCell="G26" sqref="G26"/>
    </sheetView>
  </sheetViews>
  <sheetFormatPr defaultRowHeight="15" x14ac:dyDescent="0.25"/>
  <cols>
    <col min="1" max="1" width="22.85546875" customWidth="1"/>
    <col min="2" max="2" width="13.140625" customWidth="1"/>
    <col min="3" max="3" width="11.42578125" customWidth="1"/>
    <col min="4" max="4" width="11.28515625" customWidth="1"/>
    <col min="5" max="5" width="12.5703125" customWidth="1"/>
    <col min="6" max="6" width="18.7109375" customWidth="1"/>
    <col min="7" max="7" width="13.140625" customWidth="1"/>
    <col min="8" max="8" width="13.42578125" customWidth="1"/>
    <col min="9" max="9" width="18.85546875" customWidth="1"/>
    <col min="10" max="10" width="18.5703125" customWidth="1"/>
    <col min="11" max="11" width="10.5703125" customWidth="1"/>
    <col min="12" max="12" width="10.7109375" customWidth="1"/>
  </cols>
  <sheetData>
    <row r="1" spans="1:11" x14ac:dyDescent="0.25">
      <c r="A1" s="41" t="s">
        <v>36</v>
      </c>
      <c r="B1" s="2"/>
      <c r="C1" s="1"/>
      <c r="D1" s="2"/>
      <c r="E1" s="3"/>
      <c r="F1" s="3"/>
      <c r="G1" s="4"/>
      <c r="H1" s="4"/>
      <c r="I1" s="4"/>
      <c r="J1" s="4"/>
      <c r="K1" s="2"/>
    </row>
    <row r="2" spans="1:11" ht="18.75" customHeight="1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5">
        <v>174457.97</v>
      </c>
      <c r="K2" s="5"/>
    </row>
    <row r="3" spans="1:11" x14ac:dyDescent="0.25">
      <c r="A3" s="6" t="s">
        <v>1</v>
      </c>
      <c r="B3" s="6" t="s">
        <v>2</v>
      </c>
      <c r="C3" s="7" t="s">
        <v>3</v>
      </c>
      <c r="D3" s="6" t="s">
        <v>4</v>
      </c>
      <c r="E3" s="6" t="s">
        <v>5</v>
      </c>
      <c r="F3" s="6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6" t="s">
        <v>11</v>
      </c>
    </row>
    <row r="4" spans="1:11" x14ac:dyDescent="0.25">
      <c r="A4" s="10" t="s">
        <v>39</v>
      </c>
      <c r="B4" s="10">
        <v>538063833</v>
      </c>
      <c r="C4" s="9">
        <v>45663</v>
      </c>
      <c r="D4" s="10" t="s">
        <v>40</v>
      </c>
      <c r="E4" s="10" t="s">
        <v>38</v>
      </c>
      <c r="F4" s="10" t="s">
        <v>39</v>
      </c>
      <c r="G4" s="16">
        <v>10777.14</v>
      </c>
      <c r="H4" s="17">
        <v>10263.93</v>
      </c>
      <c r="I4" s="17">
        <v>1539.61</v>
      </c>
      <c r="J4" s="17">
        <f>I4*K4</f>
        <v>923.76599999999985</v>
      </c>
      <c r="K4" s="18">
        <v>0.6</v>
      </c>
    </row>
    <row r="5" spans="1:11" x14ac:dyDescent="0.25">
      <c r="A5" s="10" t="s">
        <v>42</v>
      </c>
      <c r="B5" s="10">
        <v>540446664</v>
      </c>
      <c r="C5" s="9">
        <v>45659</v>
      </c>
      <c r="D5" s="10" t="s">
        <v>43</v>
      </c>
      <c r="E5" s="10" t="s">
        <v>38</v>
      </c>
      <c r="F5" s="10" t="s">
        <v>57</v>
      </c>
      <c r="G5" s="17">
        <v>20076.59</v>
      </c>
      <c r="H5" s="17">
        <v>19120.560000000001</v>
      </c>
      <c r="I5" s="17">
        <v>2868.1</v>
      </c>
      <c r="J5" s="17">
        <f t="shared" ref="J5:J24" si="0">I5*K5</f>
        <v>1720.86</v>
      </c>
      <c r="K5" s="18">
        <v>0.6</v>
      </c>
    </row>
    <row r="6" spans="1:11" x14ac:dyDescent="0.25">
      <c r="A6" s="10" t="s">
        <v>44</v>
      </c>
      <c r="B6" s="10">
        <v>538521994</v>
      </c>
      <c r="C6" s="9">
        <v>45661</v>
      </c>
      <c r="D6" s="10" t="s">
        <v>45</v>
      </c>
      <c r="E6" s="10" t="s">
        <v>38</v>
      </c>
      <c r="F6" s="10" t="s">
        <v>44</v>
      </c>
      <c r="G6" s="17">
        <v>9305.9</v>
      </c>
      <c r="H6" s="17">
        <v>8862.75</v>
      </c>
      <c r="I6" s="17">
        <v>1329.43</v>
      </c>
      <c r="J6" s="17">
        <f t="shared" si="0"/>
        <v>797.65800000000002</v>
      </c>
      <c r="K6" s="18">
        <v>0.6</v>
      </c>
    </row>
    <row r="7" spans="1:11" x14ac:dyDescent="0.25">
      <c r="A7" s="10" t="s">
        <v>46</v>
      </c>
      <c r="B7" s="10">
        <v>538072026</v>
      </c>
      <c r="C7" s="9">
        <v>45663</v>
      </c>
      <c r="D7" s="19" t="s">
        <v>47</v>
      </c>
      <c r="E7" s="10" t="s">
        <v>38</v>
      </c>
      <c r="F7" s="10" t="s">
        <v>101</v>
      </c>
      <c r="G7" s="17">
        <v>20218.310000000001</v>
      </c>
      <c r="H7" s="17">
        <v>19225.52</v>
      </c>
      <c r="I7" s="17">
        <v>2888.34</v>
      </c>
      <c r="J7" s="17">
        <f t="shared" si="0"/>
        <v>1733.0040000000001</v>
      </c>
      <c r="K7" s="18">
        <v>0.6</v>
      </c>
    </row>
    <row r="8" spans="1:11" x14ac:dyDescent="0.25">
      <c r="A8" s="10" t="s">
        <v>49</v>
      </c>
      <c r="B8" s="10">
        <v>540674449</v>
      </c>
      <c r="C8" s="9">
        <v>45665</v>
      </c>
      <c r="D8" s="10" t="s">
        <v>50</v>
      </c>
      <c r="E8" s="10" t="s">
        <v>38</v>
      </c>
      <c r="F8" s="10" t="s">
        <v>57</v>
      </c>
      <c r="G8" s="17">
        <v>15114.59</v>
      </c>
      <c r="H8" s="17">
        <v>14394.84</v>
      </c>
      <c r="I8" s="17">
        <v>2159.2399999999998</v>
      </c>
      <c r="J8" s="17">
        <f t="shared" si="0"/>
        <v>1295.5439999999999</v>
      </c>
      <c r="K8" s="18">
        <v>0.6</v>
      </c>
    </row>
    <row r="9" spans="1:11" x14ac:dyDescent="0.25">
      <c r="A9" s="10" t="s">
        <v>51</v>
      </c>
      <c r="B9" s="10">
        <v>540215475</v>
      </c>
      <c r="C9" s="9">
        <v>45670</v>
      </c>
      <c r="D9" s="10" t="s">
        <v>52</v>
      </c>
      <c r="E9" s="10" t="s">
        <v>38</v>
      </c>
      <c r="F9" s="10" t="s">
        <v>57</v>
      </c>
      <c r="G9" s="17">
        <v>18390.54</v>
      </c>
      <c r="H9" s="17">
        <v>17514.8</v>
      </c>
      <c r="I9" s="17">
        <v>2627.22</v>
      </c>
      <c r="J9" s="17">
        <f t="shared" si="0"/>
        <v>1576.3319999999999</v>
      </c>
      <c r="K9" s="18">
        <v>0.6</v>
      </c>
    </row>
    <row r="10" spans="1:11" x14ac:dyDescent="0.25">
      <c r="A10" s="10" t="s">
        <v>69</v>
      </c>
      <c r="B10" s="10">
        <v>540223523</v>
      </c>
      <c r="C10" s="9">
        <v>45672</v>
      </c>
      <c r="D10" s="10" t="s">
        <v>70</v>
      </c>
      <c r="E10" s="10" t="s">
        <v>38</v>
      </c>
      <c r="F10" s="10" t="s">
        <v>69</v>
      </c>
      <c r="G10" s="17">
        <v>17916.3</v>
      </c>
      <c r="H10" s="17">
        <v>17063.14</v>
      </c>
      <c r="I10" s="17">
        <v>2559.48</v>
      </c>
      <c r="J10" s="17">
        <f t="shared" si="0"/>
        <v>1535.6879999999999</v>
      </c>
      <c r="K10" s="18">
        <v>0.6</v>
      </c>
    </row>
    <row r="11" spans="1:11" x14ac:dyDescent="0.25">
      <c r="A11" s="10" t="s">
        <v>74</v>
      </c>
      <c r="B11" s="10">
        <v>542533247</v>
      </c>
      <c r="C11" s="9">
        <v>45674</v>
      </c>
      <c r="D11" s="10" t="s">
        <v>75</v>
      </c>
      <c r="E11" s="10" t="s">
        <v>38</v>
      </c>
      <c r="F11" s="10" t="s">
        <v>57</v>
      </c>
      <c r="G11" s="17">
        <v>13173.32</v>
      </c>
      <c r="H11" s="17">
        <v>12546.01</v>
      </c>
      <c r="I11" s="17">
        <v>1881.92</v>
      </c>
      <c r="J11" s="17">
        <f t="shared" si="0"/>
        <v>1129.152</v>
      </c>
      <c r="K11" s="18">
        <v>0.6</v>
      </c>
    </row>
    <row r="12" spans="1:11" x14ac:dyDescent="0.25">
      <c r="A12" s="10" t="s">
        <v>76</v>
      </c>
      <c r="B12" s="10">
        <v>540231203</v>
      </c>
      <c r="C12" s="9">
        <v>45673</v>
      </c>
      <c r="D12" s="10" t="s">
        <v>77</v>
      </c>
      <c r="E12" s="10" t="s">
        <v>41</v>
      </c>
      <c r="F12" s="10" t="s">
        <v>12</v>
      </c>
      <c r="G12" s="17">
        <v>14383.71</v>
      </c>
      <c r="H12" s="17">
        <v>13698.76</v>
      </c>
      <c r="I12" s="17">
        <v>2054.83</v>
      </c>
      <c r="J12" s="17">
        <f t="shared" si="0"/>
        <v>1232.8979999999999</v>
      </c>
      <c r="K12" s="18">
        <v>0.6</v>
      </c>
    </row>
    <row r="13" spans="1:11" x14ac:dyDescent="0.25">
      <c r="A13" s="10" t="s">
        <v>86</v>
      </c>
      <c r="B13" s="10">
        <v>541846612</v>
      </c>
      <c r="C13" s="9">
        <v>45678</v>
      </c>
      <c r="D13" s="10" t="s">
        <v>87</v>
      </c>
      <c r="E13" s="10" t="s">
        <v>41</v>
      </c>
      <c r="F13" s="10" t="s">
        <v>12</v>
      </c>
      <c r="G13" s="17">
        <v>25223.24</v>
      </c>
      <c r="H13" s="17">
        <v>24022.12</v>
      </c>
      <c r="I13" s="17">
        <v>3603.33</v>
      </c>
      <c r="J13" s="17">
        <f t="shared" si="0"/>
        <v>2161.998</v>
      </c>
      <c r="K13" s="18">
        <v>0.6</v>
      </c>
    </row>
    <row r="14" spans="1:11" x14ac:dyDescent="0.25">
      <c r="A14" s="10" t="s">
        <v>88</v>
      </c>
      <c r="B14" s="10">
        <v>542493748</v>
      </c>
      <c r="C14" s="9">
        <v>45688</v>
      </c>
      <c r="D14" s="10" t="s">
        <v>89</v>
      </c>
      <c r="E14" s="10" t="s">
        <v>38</v>
      </c>
      <c r="F14" s="10" t="s">
        <v>90</v>
      </c>
      <c r="G14" s="17">
        <v>7983.21</v>
      </c>
      <c r="H14" s="17">
        <v>7603.05</v>
      </c>
      <c r="I14" s="17">
        <v>1140.46</v>
      </c>
      <c r="J14" s="17">
        <f t="shared" si="0"/>
        <v>684.27599999999995</v>
      </c>
      <c r="K14" s="18">
        <v>0.6</v>
      </c>
    </row>
    <row r="15" spans="1:11" x14ac:dyDescent="0.25">
      <c r="A15" s="10" t="s">
        <v>121</v>
      </c>
      <c r="B15" s="10">
        <v>482791909</v>
      </c>
      <c r="C15" s="9">
        <v>45665</v>
      </c>
      <c r="D15" s="10" t="s">
        <v>122</v>
      </c>
      <c r="E15" s="10" t="s">
        <v>41</v>
      </c>
      <c r="F15" s="70" t="s">
        <v>123</v>
      </c>
      <c r="G15" s="17">
        <v>1817.53</v>
      </c>
      <c r="H15" s="17">
        <v>1730.98</v>
      </c>
      <c r="I15" s="17">
        <v>259.64</v>
      </c>
      <c r="J15" s="17">
        <f t="shared" si="0"/>
        <v>155.78399999999999</v>
      </c>
      <c r="K15" s="18">
        <v>0.6</v>
      </c>
    </row>
    <row r="16" spans="1:11" x14ac:dyDescent="0.25">
      <c r="A16" s="10" t="s">
        <v>113</v>
      </c>
      <c r="B16" s="10">
        <v>529835286</v>
      </c>
      <c r="C16" s="9">
        <v>45679</v>
      </c>
      <c r="D16" s="10" t="s">
        <v>124</v>
      </c>
      <c r="E16" s="10" t="s">
        <v>41</v>
      </c>
      <c r="F16" s="70" t="s">
        <v>123</v>
      </c>
      <c r="G16" s="17">
        <v>2961.72</v>
      </c>
      <c r="H16" s="17">
        <v>2820.68</v>
      </c>
      <c r="I16" s="17">
        <v>423.1</v>
      </c>
      <c r="J16" s="17">
        <f t="shared" si="0"/>
        <v>253.86</v>
      </c>
      <c r="K16" s="18">
        <v>0.6</v>
      </c>
    </row>
    <row r="17" spans="1:11" x14ac:dyDescent="0.25">
      <c r="A17" s="144" t="s">
        <v>441</v>
      </c>
      <c r="B17" s="147">
        <v>512101604</v>
      </c>
      <c r="C17" s="148">
        <v>45675</v>
      </c>
      <c r="D17" s="147" t="s">
        <v>442</v>
      </c>
      <c r="E17" s="147" t="s">
        <v>41</v>
      </c>
      <c r="F17" s="147" t="s">
        <v>444</v>
      </c>
      <c r="G17" s="149">
        <v>1541.47</v>
      </c>
      <c r="H17" s="149">
        <v>1468.07</v>
      </c>
      <c r="I17" s="159">
        <v>-220.21</v>
      </c>
      <c r="J17" s="159">
        <f>I17*K17</f>
        <v>-132.126</v>
      </c>
      <c r="K17" s="18">
        <v>0.6</v>
      </c>
    </row>
    <row r="18" spans="1:11" x14ac:dyDescent="0.25">
      <c r="A18" s="10" t="s">
        <v>441</v>
      </c>
      <c r="B18" s="11">
        <v>512101604</v>
      </c>
      <c r="C18" s="12">
        <v>45921</v>
      </c>
      <c r="D18" s="11" t="s">
        <v>442</v>
      </c>
      <c r="E18" s="11" t="s">
        <v>41</v>
      </c>
      <c r="F18" s="11" t="s">
        <v>12</v>
      </c>
      <c r="G18" s="16">
        <v>26322.33</v>
      </c>
      <c r="H18" s="16">
        <v>25068.880000000001</v>
      </c>
      <c r="I18" s="17">
        <v>3714.46</v>
      </c>
      <c r="J18" s="17">
        <f t="shared" si="0"/>
        <v>2228.6759999999999</v>
      </c>
      <c r="K18" s="18">
        <v>0.6</v>
      </c>
    </row>
    <row r="19" spans="1:11" x14ac:dyDescent="0.25">
      <c r="A19" s="10"/>
      <c r="B19" s="10"/>
      <c r="C19" s="9"/>
      <c r="D19" s="10"/>
      <c r="E19" s="10"/>
      <c r="F19" s="10"/>
      <c r="G19" s="17"/>
      <c r="H19" s="17"/>
      <c r="I19" s="17"/>
      <c r="J19" s="17">
        <f t="shared" si="0"/>
        <v>0</v>
      </c>
      <c r="K19" s="18">
        <v>0.6</v>
      </c>
    </row>
    <row r="20" spans="1:11" x14ac:dyDescent="0.25">
      <c r="A20" s="10"/>
      <c r="B20" s="10"/>
      <c r="C20" s="9"/>
      <c r="D20" s="10"/>
      <c r="E20" s="10"/>
      <c r="F20" s="11"/>
      <c r="G20" s="17"/>
      <c r="H20" s="17"/>
      <c r="I20" s="17"/>
      <c r="J20" s="17">
        <f t="shared" si="0"/>
        <v>0</v>
      </c>
      <c r="K20" s="18">
        <v>0.6</v>
      </c>
    </row>
    <row r="21" spans="1:11" x14ac:dyDescent="0.25">
      <c r="A21" s="10"/>
      <c r="B21" s="10"/>
      <c r="C21" s="9"/>
      <c r="D21" s="10"/>
      <c r="E21" s="10"/>
      <c r="F21" s="11"/>
      <c r="G21" s="17"/>
      <c r="H21" s="17"/>
      <c r="I21" s="17"/>
      <c r="J21" s="17">
        <f t="shared" si="0"/>
        <v>0</v>
      </c>
      <c r="K21" s="18">
        <v>0.6</v>
      </c>
    </row>
    <row r="22" spans="1:11" x14ac:dyDescent="0.25">
      <c r="A22" s="10"/>
      <c r="B22" s="10"/>
      <c r="C22" s="9"/>
      <c r="D22" s="10"/>
      <c r="E22" s="10"/>
      <c r="F22" s="11"/>
      <c r="G22" s="17"/>
      <c r="H22" s="17"/>
      <c r="I22" s="17"/>
      <c r="J22" s="17">
        <f t="shared" si="0"/>
        <v>0</v>
      </c>
      <c r="K22" s="18"/>
    </row>
    <row r="23" spans="1:11" x14ac:dyDescent="0.25">
      <c r="A23" s="10"/>
      <c r="B23" s="10"/>
      <c r="C23" s="9"/>
      <c r="D23" s="10"/>
      <c r="E23" s="10"/>
      <c r="F23" s="11"/>
      <c r="G23" s="17"/>
      <c r="H23" s="17"/>
      <c r="I23" s="17"/>
      <c r="J23" s="17">
        <f t="shared" si="0"/>
        <v>0</v>
      </c>
      <c r="K23" s="18"/>
    </row>
    <row r="24" spans="1:11" x14ac:dyDescent="0.25">
      <c r="A24" s="10"/>
      <c r="B24" s="10"/>
      <c r="C24" s="9"/>
      <c r="D24" s="10"/>
      <c r="E24" s="10"/>
      <c r="F24" s="11"/>
      <c r="G24" s="17"/>
      <c r="H24" s="17"/>
      <c r="I24" s="17"/>
      <c r="J24" s="17">
        <f t="shared" si="0"/>
        <v>0</v>
      </c>
      <c r="K24" s="18"/>
    </row>
    <row r="25" spans="1:11" x14ac:dyDescent="0.25">
      <c r="A25" s="10"/>
      <c r="B25" s="10"/>
      <c r="C25" s="9"/>
      <c r="D25" s="10"/>
      <c r="E25" s="10"/>
      <c r="F25" s="6" t="s">
        <v>13</v>
      </c>
      <c r="G25" s="8">
        <f>G4+G5+G6+G7+G8+G9+G10+G11+G14</f>
        <v>132955.9</v>
      </c>
      <c r="H25" s="8">
        <f>SUM(H4:H21)</f>
        <v>195404.09</v>
      </c>
      <c r="I25" s="8">
        <f>SUM(I4:I21)</f>
        <v>28828.949999999997</v>
      </c>
      <c r="J25" s="8">
        <f>SUM(J4:J21)</f>
        <v>17297.37</v>
      </c>
      <c r="K25" s="6"/>
    </row>
    <row r="26" spans="1:11" x14ac:dyDescent="0.25">
      <c r="A26" s="10"/>
      <c r="B26" s="10"/>
      <c r="C26" s="9"/>
      <c r="D26" s="10"/>
      <c r="E26" s="10"/>
      <c r="F26" s="13" t="s">
        <v>14</v>
      </c>
      <c r="G26" s="21">
        <f>G12+G13+G15+G16</f>
        <v>44386.2</v>
      </c>
      <c r="H26" s="17"/>
      <c r="I26" s="17"/>
      <c r="J26" s="17"/>
      <c r="K26" s="10"/>
    </row>
    <row r="27" spans="1:11" x14ac:dyDescent="0.25">
      <c r="A27" s="10"/>
      <c r="B27" s="10"/>
      <c r="C27" s="9"/>
      <c r="D27" s="10"/>
      <c r="E27" s="45"/>
      <c r="F27" s="46" t="s">
        <v>15</v>
      </c>
      <c r="G27" s="47">
        <f>G26/6</f>
        <v>7397.7</v>
      </c>
      <c r="H27" s="17"/>
      <c r="I27" s="17"/>
      <c r="J27" s="17"/>
      <c r="K27" s="10"/>
    </row>
    <row r="28" spans="1:11" x14ac:dyDescent="0.25">
      <c r="A28" s="10"/>
      <c r="B28" s="10"/>
      <c r="C28" s="9"/>
      <c r="D28" s="10"/>
      <c r="E28" s="10"/>
      <c r="F28" s="10"/>
      <c r="G28" s="17"/>
      <c r="H28" s="17"/>
      <c r="I28" s="17"/>
      <c r="J28" s="17"/>
      <c r="K28" s="10"/>
    </row>
    <row r="29" spans="1:11" x14ac:dyDescent="0.25">
      <c r="A29" s="10" t="s">
        <v>16</v>
      </c>
      <c r="B29" s="10"/>
      <c r="C29" s="9"/>
      <c r="D29" s="10"/>
      <c r="E29" s="10"/>
      <c r="F29" s="10"/>
      <c r="G29" s="17"/>
      <c r="H29" s="17"/>
      <c r="I29" s="17"/>
      <c r="J29" s="17"/>
      <c r="K29" s="10"/>
    </row>
    <row r="30" spans="1:11" x14ac:dyDescent="0.25">
      <c r="A30" s="10" t="s">
        <v>53</v>
      </c>
      <c r="B30" s="20">
        <v>538028522</v>
      </c>
      <c r="C30" s="12">
        <v>45662</v>
      </c>
      <c r="D30" s="11" t="s">
        <v>54</v>
      </c>
      <c r="E30" s="11" t="s">
        <v>41</v>
      </c>
      <c r="F30" s="11" t="s">
        <v>12</v>
      </c>
      <c r="G30" s="16">
        <v>13552.53</v>
      </c>
      <c r="H30" s="16">
        <v>12369.39</v>
      </c>
      <c r="I30" s="17">
        <v>1236.95</v>
      </c>
      <c r="J30" s="17">
        <f t="shared" ref="J30:J55" si="1">I30*K30</f>
        <v>742.17</v>
      </c>
      <c r="K30" s="18">
        <v>0.6</v>
      </c>
    </row>
    <row r="31" spans="1:11" x14ac:dyDescent="0.25">
      <c r="A31" s="10" t="s">
        <v>55</v>
      </c>
      <c r="B31" s="11">
        <v>538060519</v>
      </c>
      <c r="C31" s="12">
        <v>45662</v>
      </c>
      <c r="D31" s="11" t="s">
        <v>56</v>
      </c>
      <c r="E31" s="11" t="s">
        <v>41</v>
      </c>
      <c r="F31" s="11" t="s">
        <v>12</v>
      </c>
      <c r="G31" s="16">
        <v>21457.71</v>
      </c>
      <c r="H31" s="16">
        <v>19584.400000000001</v>
      </c>
      <c r="I31" s="17">
        <v>1958.45</v>
      </c>
      <c r="J31" s="17">
        <f t="shared" si="1"/>
        <v>1175.07</v>
      </c>
      <c r="K31" s="18">
        <v>0.6</v>
      </c>
    </row>
    <row r="32" spans="1:11" x14ac:dyDescent="0.25">
      <c r="A32" s="10" t="s">
        <v>49</v>
      </c>
      <c r="B32" s="11">
        <v>540727465</v>
      </c>
      <c r="C32" s="12">
        <v>45673</v>
      </c>
      <c r="D32" s="11" t="s">
        <v>50</v>
      </c>
      <c r="E32" s="11" t="s">
        <v>38</v>
      </c>
      <c r="F32" s="11" t="s">
        <v>57</v>
      </c>
      <c r="G32" s="16">
        <v>5759.02</v>
      </c>
      <c r="H32" s="16">
        <v>5141.99</v>
      </c>
      <c r="I32" s="17">
        <v>514.19000000000005</v>
      </c>
      <c r="J32" s="17">
        <f t="shared" si="1"/>
        <v>308.51400000000001</v>
      </c>
      <c r="K32" s="18">
        <v>0.6</v>
      </c>
    </row>
    <row r="33" spans="1:11" x14ac:dyDescent="0.25">
      <c r="A33" s="10" t="s">
        <v>42</v>
      </c>
      <c r="B33" s="20">
        <v>540449773</v>
      </c>
      <c r="C33" s="12">
        <v>45659</v>
      </c>
      <c r="D33" s="11" t="s">
        <v>43</v>
      </c>
      <c r="E33" s="11" t="s">
        <v>38</v>
      </c>
      <c r="F33" s="11" t="s">
        <v>57</v>
      </c>
      <c r="G33" s="16">
        <v>11519.05</v>
      </c>
      <c r="H33" s="16">
        <v>10284.879999999999</v>
      </c>
      <c r="I33" s="17">
        <v>1028.5</v>
      </c>
      <c r="J33" s="17">
        <f t="shared" si="1"/>
        <v>617.1</v>
      </c>
      <c r="K33" s="18">
        <v>0.6</v>
      </c>
    </row>
    <row r="34" spans="1:11" x14ac:dyDescent="0.25">
      <c r="A34" s="10" t="s">
        <v>58</v>
      </c>
      <c r="B34" s="11">
        <v>537713950</v>
      </c>
      <c r="C34" s="12">
        <v>45659</v>
      </c>
      <c r="D34" s="11" t="s">
        <v>59</v>
      </c>
      <c r="E34" s="11" t="s">
        <v>38</v>
      </c>
      <c r="F34" s="11" t="s">
        <v>60</v>
      </c>
      <c r="G34" s="16">
        <v>10366.49</v>
      </c>
      <c r="H34" s="16">
        <v>9461.5</v>
      </c>
      <c r="I34" s="17">
        <v>946.17</v>
      </c>
      <c r="J34" s="17">
        <f t="shared" si="1"/>
        <v>567.702</v>
      </c>
      <c r="K34" s="18">
        <v>0.6</v>
      </c>
    </row>
    <row r="35" spans="1:11" x14ac:dyDescent="0.25">
      <c r="A35" s="10" t="s">
        <v>61</v>
      </c>
      <c r="B35" s="11">
        <v>539994902</v>
      </c>
      <c r="C35" s="12">
        <v>45660</v>
      </c>
      <c r="D35" s="11" t="s">
        <v>62</v>
      </c>
      <c r="E35" s="11" t="s">
        <v>38</v>
      </c>
      <c r="F35" s="11" t="s">
        <v>57</v>
      </c>
      <c r="G35" s="16">
        <v>14225.9</v>
      </c>
      <c r="H35" s="16">
        <v>12897.13</v>
      </c>
      <c r="I35" s="17">
        <v>1289.72</v>
      </c>
      <c r="J35" s="17">
        <f t="shared" si="1"/>
        <v>773.83199999999999</v>
      </c>
      <c r="K35" s="18">
        <v>0.6</v>
      </c>
    </row>
    <row r="36" spans="1:11" x14ac:dyDescent="0.25">
      <c r="A36" s="10" t="s">
        <v>63</v>
      </c>
      <c r="B36" s="11">
        <v>538024114</v>
      </c>
      <c r="C36" s="12">
        <v>45662</v>
      </c>
      <c r="D36" s="11" t="s">
        <v>64</v>
      </c>
      <c r="E36" s="11" t="s">
        <v>38</v>
      </c>
      <c r="F36" s="11" t="s">
        <v>63</v>
      </c>
      <c r="G36" s="16">
        <v>7823.95</v>
      </c>
      <c r="H36" s="16">
        <v>7140.9</v>
      </c>
      <c r="I36" s="17">
        <v>714.1</v>
      </c>
      <c r="J36" s="17">
        <f t="shared" si="1"/>
        <v>428.46</v>
      </c>
      <c r="K36" s="18">
        <v>0.6</v>
      </c>
    </row>
    <row r="37" spans="1:11" x14ac:dyDescent="0.25">
      <c r="A37" s="10" t="s">
        <v>65</v>
      </c>
      <c r="B37" s="11">
        <v>537713076</v>
      </c>
      <c r="C37" s="12">
        <v>45659</v>
      </c>
      <c r="D37" s="11" t="s">
        <v>66</v>
      </c>
      <c r="E37" s="11" t="s">
        <v>38</v>
      </c>
      <c r="F37" s="11" t="s">
        <v>65</v>
      </c>
      <c r="G37" s="16">
        <v>10366.540000000001</v>
      </c>
      <c r="H37" s="16">
        <v>9461.5300000000007</v>
      </c>
      <c r="I37" s="17">
        <v>946.17</v>
      </c>
      <c r="J37" s="17">
        <f t="shared" si="1"/>
        <v>567.702</v>
      </c>
      <c r="K37" s="18">
        <v>0.6</v>
      </c>
    </row>
    <row r="38" spans="1:11" x14ac:dyDescent="0.25">
      <c r="A38" s="10" t="s">
        <v>67</v>
      </c>
      <c r="B38" s="11">
        <v>540207239</v>
      </c>
      <c r="C38" s="12">
        <v>45666</v>
      </c>
      <c r="D38" s="11" t="s">
        <v>68</v>
      </c>
      <c r="E38" s="11" t="s">
        <v>41</v>
      </c>
      <c r="F38" s="11" t="s">
        <v>12</v>
      </c>
      <c r="G38" s="16">
        <v>12657.1</v>
      </c>
      <c r="H38" s="16">
        <v>11552.13</v>
      </c>
      <c r="I38" s="17">
        <v>1155.22</v>
      </c>
      <c r="J38" s="17">
        <f t="shared" si="1"/>
        <v>693.13199999999995</v>
      </c>
      <c r="K38" s="18">
        <v>0.6</v>
      </c>
    </row>
    <row r="39" spans="1:11" x14ac:dyDescent="0.25">
      <c r="A39" s="10" t="s">
        <v>71</v>
      </c>
      <c r="B39" s="11">
        <v>540219421</v>
      </c>
      <c r="C39" s="12">
        <v>45670</v>
      </c>
      <c r="D39" s="11" t="s">
        <v>72</v>
      </c>
      <c r="E39" s="11" t="s">
        <v>38</v>
      </c>
      <c r="F39" s="11" t="s">
        <v>57</v>
      </c>
      <c r="G39" s="16">
        <v>8984.32</v>
      </c>
      <c r="H39" s="16">
        <v>8145.13</v>
      </c>
      <c r="I39" s="17">
        <v>814.53</v>
      </c>
      <c r="J39" s="17">
        <f t="shared" si="1"/>
        <v>488.71799999999996</v>
      </c>
      <c r="K39" s="18">
        <v>0.6</v>
      </c>
    </row>
    <row r="40" spans="1:11" x14ac:dyDescent="0.25">
      <c r="A40" s="10" t="s">
        <v>78</v>
      </c>
      <c r="B40" s="11">
        <v>542917672</v>
      </c>
      <c r="C40" s="12">
        <v>45672</v>
      </c>
      <c r="D40" s="11" t="s">
        <v>79</v>
      </c>
      <c r="E40" s="11" t="s">
        <v>38</v>
      </c>
      <c r="F40" s="11" t="s">
        <v>57</v>
      </c>
      <c r="G40" s="16">
        <v>17854.54</v>
      </c>
      <c r="H40" s="16">
        <v>16318.68</v>
      </c>
      <c r="I40" s="17">
        <v>1631.87</v>
      </c>
      <c r="J40" s="17">
        <f t="shared" si="1"/>
        <v>979.12199999999984</v>
      </c>
      <c r="K40" s="18">
        <v>0.6</v>
      </c>
    </row>
    <row r="41" spans="1:11" x14ac:dyDescent="0.25">
      <c r="A41" s="10" t="s">
        <v>80</v>
      </c>
      <c r="B41" s="11">
        <v>540234779</v>
      </c>
      <c r="C41" s="12">
        <v>45673</v>
      </c>
      <c r="D41" s="11" t="s">
        <v>81</v>
      </c>
      <c r="E41" s="11" t="s">
        <v>38</v>
      </c>
      <c r="F41" s="11" t="s">
        <v>57</v>
      </c>
      <c r="G41" s="16">
        <v>15188.52</v>
      </c>
      <c r="H41" s="16">
        <v>13962.99</v>
      </c>
      <c r="I41" s="17">
        <v>1396.3</v>
      </c>
      <c r="J41" s="17">
        <f t="shared" si="1"/>
        <v>837.78</v>
      </c>
      <c r="K41" s="18">
        <v>0.6</v>
      </c>
    </row>
    <row r="42" spans="1:11" x14ac:dyDescent="0.25">
      <c r="A42" s="10" t="s">
        <v>76</v>
      </c>
      <c r="B42" s="11">
        <v>543043198</v>
      </c>
      <c r="C42" s="12">
        <v>45673</v>
      </c>
      <c r="D42" s="11" t="s">
        <v>77</v>
      </c>
      <c r="E42" s="11" t="s">
        <v>38</v>
      </c>
      <c r="F42" s="11" t="s">
        <v>57</v>
      </c>
      <c r="G42" s="16">
        <v>9214.99</v>
      </c>
      <c r="H42" s="16">
        <v>8227.65</v>
      </c>
      <c r="I42" s="17">
        <v>822.77</v>
      </c>
      <c r="J42" s="17">
        <f t="shared" si="1"/>
        <v>493.66199999999998</v>
      </c>
      <c r="K42" s="18">
        <v>0.6</v>
      </c>
    </row>
    <row r="43" spans="1:11" x14ac:dyDescent="0.25">
      <c r="A43" s="10" t="s">
        <v>82</v>
      </c>
      <c r="B43" s="11">
        <v>540807971</v>
      </c>
      <c r="C43" s="12">
        <v>45675</v>
      </c>
      <c r="D43" s="11" t="s">
        <v>83</v>
      </c>
      <c r="E43" s="11" t="s">
        <v>38</v>
      </c>
      <c r="F43" s="11" t="s">
        <v>82</v>
      </c>
      <c r="G43" s="16">
        <v>10366.530000000001</v>
      </c>
      <c r="H43" s="16">
        <v>9461.52</v>
      </c>
      <c r="I43" s="17">
        <v>946.17</v>
      </c>
      <c r="J43" s="17">
        <f t="shared" si="1"/>
        <v>567.702</v>
      </c>
      <c r="K43" s="18">
        <v>0.6</v>
      </c>
    </row>
    <row r="44" spans="1:11" x14ac:dyDescent="0.25">
      <c r="A44" s="10" t="s">
        <v>84</v>
      </c>
      <c r="B44" s="11">
        <v>540803469</v>
      </c>
      <c r="C44" s="12">
        <v>45674</v>
      </c>
      <c r="D44" s="11" t="s">
        <v>85</v>
      </c>
      <c r="E44" s="11" t="s">
        <v>38</v>
      </c>
      <c r="F44" s="11" t="s">
        <v>84</v>
      </c>
      <c r="G44" s="16">
        <v>9584.98</v>
      </c>
      <c r="H44" s="16">
        <v>8748.18</v>
      </c>
      <c r="I44" s="17">
        <v>874.83</v>
      </c>
      <c r="J44" s="17">
        <f t="shared" si="1"/>
        <v>524.89800000000002</v>
      </c>
      <c r="K44" s="18">
        <v>0.6</v>
      </c>
    </row>
    <row r="45" spans="1:11" x14ac:dyDescent="0.25">
      <c r="A45" s="10" t="s">
        <v>86</v>
      </c>
      <c r="B45" s="11">
        <v>543375099</v>
      </c>
      <c r="C45" s="12">
        <v>45676</v>
      </c>
      <c r="D45" s="11" t="s">
        <v>87</v>
      </c>
      <c r="E45" s="11" t="s">
        <v>41</v>
      </c>
      <c r="F45" s="11" t="s">
        <v>12</v>
      </c>
      <c r="G45" s="16">
        <v>11058</v>
      </c>
      <c r="H45" s="16">
        <v>9873.2099999999991</v>
      </c>
      <c r="I45" s="17">
        <v>987.33</v>
      </c>
      <c r="J45" s="17">
        <f t="shared" si="1"/>
        <v>592.39800000000002</v>
      </c>
      <c r="K45" s="18">
        <v>0.6</v>
      </c>
    </row>
    <row r="46" spans="1:11" x14ac:dyDescent="0.25">
      <c r="A46" s="10" t="s">
        <v>90</v>
      </c>
      <c r="B46" s="11">
        <v>543747200</v>
      </c>
      <c r="C46" s="12">
        <v>45681</v>
      </c>
      <c r="D46" s="11" t="s">
        <v>89</v>
      </c>
      <c r="E46" s="11" t="s">
        <v>38</v>
      </c>
      <c r="F46" s="11" t="s">
        <v>90</v>
      </c>
      <c r="G46" s="16">
        <v>7529</v>
      </c>
      <c r="H46" s="16">
        <v>6722.32</v>
      </c>
      <c r="I46" s="17">
        <v>672.23</v>
      </c>
      <c r="J46" s="17">
        <f t="shared" si="1"/>
        <v>403.33800000000002</v>
      </c>
      <c r="K46" s="18">
        <v>0.6</v>
      </c>
    </row>
    <row r="47" spans="1:11" x14ac:dyDescent="0.25">
      <c r="A47" s="165" t="s">
        <v>110</v>
      </c>
      <c r="B47" s="147">
        <v>454905630</v>
      </c>
      <c r="C47" s="148">
        <v>45297</v>
      </c>
      <c r="D47" s="147" t="s">
        <v>111</v>
      </c>
      <c r="E47" s="165" t="s">
        <v>38</v>
      </c>
      <c r="F47" s="158" t="s">
        <v>112</v>
      </c>
      <c r="G47" s="159">
        <v>1163.46</v>
      </c>
      <c r="H47" s="159">
        <v>1108.06</v>
      </c>
      <c r="I47" s="159">
        <v>-164.03</v>
      </c>
      <c r="J47" s="159">
        <f>I47*K47</f>
        <v>-98.417999999999992</v>
      </c>
      <c r="K47" s="18">
        <v>0.6</v>
      </c>
    </row>
    <row r="48" spans="1:11" x14ac:dyDescent="0.25">
      <c r="A48" s="144" t="s">
        <v>113</v>
      </c>
      <c r="B48" s="147">
        <v>532886939</v>
      </c>
      <c r="C48" s="148">
        <v>45678</v>
      </c>
      <c r="D48" s="147" t="s">
        <v>114</v>
      </c>
      <c r="E48" s="147" t="s">
        <v>38</v>
      </c>
      <c r="F48" s="158" t="s">
        <v>112</v>
      </c>
      <c r="G48" s="149">
        <v>4832.41</v>
      </c>
      <c r="H48" s="149">
        <v>4314.66</v>
      </c>
      <c r="I48" s="159">
        <v>-166.07</v>
      </c>
      <c r="J48" s="159">
        <f>I48*K48</f>
        <v>-99.641999999999996</v>
      </c>
      <c r="K48" s="18">
        <v>0.6</v>
      </c>
    </row>
    <row r="49" spans="1:11" x14ac:dyDescent="0.25">
      <c r="A49" s="144" t="s">
        <v>115</v>
      </c>
      <c r="B49" s="147">
        <v>456606844</v>
      </c>
      <c r="C49" s="148">
        <v>45666</v>
      </c>
      <c r="D49" s="147" t="s">
        <v>116</v>
      </c>
      <c r="E49" s="147" t="s">
        <v>38</v>
      </c>
      <c r="F49" s="158" t="s">
        <v>112</v>
      </c>
      <c r="G49" s="149">
        <v>701.03</v>
      </c>
      <c r="H49" s="149">
        <v>625.9</v>
      </c>
      <c r="I49" s="159">
        <v>-62.59</v>
      </c>
      <c r="J49" s="159">
        <f>I49*K49</f>
        <v>-37.554000000000002</v>
      </c>
      <c r="K49" s="18">
        <v>0.6</v>
      </c>
    </row>
    <row r="50" spans="1:11" x14ac:dyDescent="0.25">
      <c r="A50" s="144" t="s">
        <v>117</v>
      </c>
      <c r="B50" s="147">
        <v>518467555</v>
      </c>
      <c r="C50" s="148">
        <v>45670</v>
      </c>
      <c r="D50" s="147" t="s">
        <v>118</v>
      </c>
      <c r="E50" s="147" t="s">
        <v>41</v>
      </c>
      <c r="F50" s="158" t="s">
        <v>112</v>
      </c>
      <c r="G50" s="149">
        <v>7505.03</v>
      </c>
      <c r="H50" s="149">
        <v>6859.4</v>
      </c>
      <c r="I50" s="159">
        <v>-567.85</v>
      </c>
      <c r="J50" s="159">
        <f t="shared" ref="J50:J51" si="2">I50*K50</f>
        <v>-340.71</v>
      </c>
      <c r="K50" s="18">
        <v>0.6</v>
      </c>
    </row>
    <row r="51" spans="1:11" x14ac:dyDescent="0.25">
      <c r="A51" s="144" t="s">
        <v>119</v>
      </c>
      <c r="B51" s="147">
        <v>518483951</v>
      </c>
      <c r="C51" s="148">
        <v>45688</v>
      </c>
      <c r="D51" s="147" t="s">
        <v>120</v>
      </c>
      <c r="E51" s="147" t="s">
        <v>41</v>
      </c>
      <c r="F51" s="158" t="s">
        <v>112</v>
      </c>
      <c r="G51" s="149">
        <v>9294.57</v>
      </c>
      <c r="H51" s="149">
        <v>8409.36</v>
      </c>
      <c r="I51" s="159">
        <v>-833.93</v>
      </c>
      <c r="J51" s="159">
        <f t="shared" si="2"/>
        <v>-500.35799999999995</v>
      </c>
      <c r="K51" s="18">
        <v>0.6</v>
      </c>
    </row>
    <row r="52" spans="1:11" x14ac:dyDescent="0.25">
      <c r="A52" s="144"/>
      <c r="B52" s="147"/>
      <c r="C52" s="148"/>
      <c r="D52" s="147"/>
      <c r="E52" s="147"/>
      <c r="F52" s="147"/>
      <c r="G52" s="149"/>
      <c r="H52" s="149"/>
      <c r="I52" s="146"/>
      <c r="J52" s="146"/>
      <c r="K52" s="18">
        <v>0.6</v>
      </c>
    </row>
    <row r="53" spans="1:11" x14ac:dyDescent="0.25">
      <c r="A53" s="11"/>
      <c r="B53" s="11"/>
      <c r="C53" s="12"/>
      <c r="D53" s="11"/>
      <c r="E53" s="11"/>
      <c r="F53" s="11"/>
      <c r="G53" s="16"/>
      <c r="H53" s="16"/>
      <c r="I53" s="17"/>
      <c r="J53" s="17">
        <f t="shared" si="1"/>
        <v>0</v>
      </c>
      <c r="K53" s="18">
        <v>0.6</v>
      </c>
    </row>
    <row r="54" spans="1:11" x14ac:dyDescent="0.25">
      <c r="A54" s="11"/>
      <c r="B54" s="11"/>
      <c r="C54" s="12"/>
      <c r="D54" s="11"/>
      <c r="E54" s="11"/>
      <c r="F54" s="10"/>
      <c r="G54" s="16"/>
      <c r="H54" s="16"/>
      <c r="I54" s="16"/>
      <c r="J54" s="17">
        <f t="shared" si="1"/>
        <v>0</v>
      </c>
      <c r="K54" s="18">
        <v>0.6</v>
      </c>
    </row>
    <row r="55" spans="1:11" x14ac:dyDescent="0.25">
      <c r="A55" s="11"/>
      <c r="B55" s="11"/>
      <c r="C55" s="12"/>
      <c r="D55" s="11"/>
      <c r="E55" s="11"/>
      <c r="F55" s="10"/>
      <c r="G55" s="16"/>
      <c r="H55" s="16"/>
      <c r="I55" s="16"/>
      <c r="J55" s="17">
        <f t="shared" si="1"/>
        <v>0</v>
      </c>
      <c r="K55" s="18">
        <v>0.6</v>
      </c>
    </row>
    <row r="56" spans="1:11" x14ac:dyDescent="0.25">
      <c r="A56" s="10"/>
      <c r="B56" s="10"/>
      <c r="C56" s="9"/>
      <c r="D56" s="10"/>
      <c r="E56" s="10"/>
      <c r="F56" s="6" t="s">
        <v>13</v>
      </c>
      <c r="G56" s="8">
        <f>G32+G33+G34+G35+G36+G37+G39+G40+G41+G42+G43+G44+G46</f>
        <v>138783.83000000002</v>
      </c>
      <c r="H56" s="8">
        <f>SUM(H30:H55)</f>
        <v>200670.90999999997</v>
      </c>
      <c r="I56" s="8">
        <f>SUM(I30:I55)</f>
        <v>16141.030000000002</v>
      </c>
      <c r="J56" s="8">
        <f>SUM(J30:J55)</f>
        <v>9684.6179999999968</v>
      </c>
      <c r="K56" s="6"/>
    </row>
    <row r="57" spans="1:11" x14ac:dyDescent="0.25">
      <c r="A57" s="10"/>
      <c r="B57" s="10"/>
      <c r="C57" s="9"/>
      <c r="D57" s="10"/>
      <c r="E57" s="10"/>
      <c r="F57" s="13" t="s">
        <v>14</v>
      </c>
      <c r="G57" s="21">
        <f>G30+G31+G38+G45</f>
        <v>58725.34</v>
      </c>
      <c r="H57" s="17"/>
      <c r="I57" s="17"/>
      <c r="J57" s="17"/>
      <c r="K57" s="10"/>
    </row>
    <row r="58" spans="1:11" x14ac:dyDescent="0.25">
      <c r="A58" s="15"/>
      <c r="B58" s="15"/>
      <c r="C58" s="15"/>
      <c r="D58" s="15"/>
      <c r="E58" s="15"/>
      <c r="F58" s="22"/>
      <c r="G58" s="15"/>
      <c r="H58" s="15"/>
      <c r="I58" s="15"/>
      <c r="J58" s="15"/>
      <c r="K58" s="15"/>
    </row>
    <row r="59" spans="1:11" x14ac:dyDescent="0.25">
      <c r="A59" s="10" t="s">
        <v>17</v>
      </c>
      <c r="B59" s="10"/>
      <c r="C59" s="9"/>
      <c r="D59" s="10"/>
      <c r="E59" s="10"/>
      <c r="F59" s="10"/>
      <c r="G59" s="17"/>
      <c r="H59" s="17"/>
      <c r="I59" s="17"/>
      <c r="J59" s="17"/>
      <c r="K59" s="10"/>
    </row>
    <row r="60" spans="1:11" x14ac:dyDescent="0.25">
      <c r="A60" s="10" t="s">
        <v>37</v>
      </c>
      <c r="B60" s="10">
        <v>7339481</v>
      </c>
      <c r="C60" s="9">
        <v>45665</v>
      </c>
      <c r="D60" s="10" t="s">
        <v>12</v>
      </c>
      <c r="E60" s="10" t="s">
        <v>38</v>
      </c>
      <c r="F60" s="14" t="s">
        <v>37</v>
      </c>
      <c r="G60" s="48">
        <v>36221.19</v>
      </c>
      <c r="H60" s="48">
        <v>36221.19</v>
      </c>
      <c r="I60" s="48">
        <v>5433.15</v>
      </c>
      <c r="J60" s="48">
        <f>I60*K60</f>
        <v>3259.89</v>
      </c>
      <c r="K60" s="18">
        <v>0.6</v>
      </c>
    </row>
    <row r="61" spans="1:11" x14ac:dyDescent="0.25">
      <c r="A61" s="10" t="s">
        <v>73</v>
      </c>
      <c r="B61" s="10">
        <v>537018966</v>
      </c>
      <c r="C61" s="9">
        <v>45668</v>
      </c>
      <c r="D61" s="10" t="s">
        <v>12</v>
      </c>
      <c r="E61" s="10" t="s">
        <v>38</v>
      </c>
      <c r="F61" s="14" t="s">
        <v>103</v>
      </c>
      <c r="G61" s="48">
        <v>29859.08</v>
      </c>
      <c r="H61" s="48">
        <v>28324.62</v>
      </c>
      <c r="I61" s="48">
        <v>4248.6000000000004</v>
      </c>
      <c r="J61" s="48">
        <f t="shared" ref="J61:J67" si="3">I61*K61</f>
        <v>2549.1600000000003</v>
      </c>
      <c r="K61" s="18">
        <v>0.6</v>
      </c>
    </row>
    <row r="62" spans="1:11" x14ac:dyDescent="0.25">
      <c r="A62" s="10" t="s">
        <v>91</v>
      </c>
      <c r="B62" s="10">
        <v>5543051</v>
      </c>
      <c r="C62" s="9">
        <v>45682</v>
      </c>
      <c r="D62" s="10" t="s">
        <v>12</v>
      </c>
      <c r="E62" s="11" t="s">
        <v>38</v>
      </c>
      <c r="F62" s="14" t="s">
        <v>91</v>
      </c>
      <c r="G62" s="48" t="s">
        <v>92</v>
      </c>
      <c r="H62" s="48">
        <v>45161.04</v>
      </c>
      <c r="I62" s="48">
        <v>6774.15</v>
      </c>
      <c r="J62" s="48">
        <f t="shared" si="3"/>
        <v>4064.49</v>
      </c>
      <c r="K62" s="18">
        <v>0.6</v>
      </c>
    </row>
    <row r="63" spans="1:11" x14ac:dyDescent="0.25">
      <c r="A63" s="10" t="s">
        <v>93</v>
      </c>
      <c r="B63" s="10">
        <v>537019968</v>
      </c>
      <c r="C63" s="9">
        <v>45685</v>
      </c>
      <c r="D63" s="10" t="s">
        <v>12</v>
      </c>
      <c r="E63" s="10" t="s">
        <v>38</v>
      </c>
      <c r="F63" s="14" t="s">
        <v>103</v>
      </c>
      <c r="G63" s="48">
        <v>10197.36</v>
      </c>
      <c r="H63" s="48">
        <v>9673.0400000000009</v>
      </c>
      <c r="I63" s="48">
        <v>1450.95</v>
      </c>
      <c r="J63" s="48">
        <f t="shared" si="3"/>
        <v>870.57</v>
      </c>
      <c r="K63" s="18">
        <v>0.6</v>
      </c>
    </row>
    <row r="64" spans="1:11" x14ac:dyDescent="0.25">
      <c r="A64" s="10" t="s">
        <v>102</v>
      </c>
      <c r="B64" s="10">
        <v>546212728</v>
      </c>
      <c r="C64" s="9">
        <v>45688</v>
      </c>
      <c r="D64" s="10" t="s">
        <v>12</v>
      </c>
      <c r="E64" s="10" t="s">
        <v>38</v>
      </c>
      <c r="F64" s="14" t="s">
        <v>102</v>
      </c>
      <c r="G64" s="48">
        <v>4068.14</v>
      </c>
      <c r="H64" s="48">
        <v>3868.21</v>
      </c>
      <c r="I64" s="48">
        <v>580.20000000000005</v>
      </c>
      <c r="J64" s="48">
        <f t="shared" si="3"/>
        <v>348.12</v>
      </c>
      <c r="K64" s="18">
        <v>0.6</v>
      </c>
    </row>
    <row r="65" spans="1:11" x14ac:dyDescent="0.25">
      <c r="A65" s="10" t="s">
        <v>125</v>
      </c>
      <c r="B65" s="10">
        <v>518725520</v>
      </c>
      <c r="C65" s="9">
        <v>45679</v>
      </c>
      <c r="D65" s="10" t="s">
        <v>12</v>
      </c>
      <c r="E65" s="10" t="s">
        <v>41</v>
      </c>
      <c r="F65" s="71" t="s">
        <v>126</v>
      </c>
      <c r="G65" s="48">
        <v>260.58</v>
      </c>
      <c r="H65" s="48">
        <v>248.17</v>
      </c>
      <c r="I65" s="48">
        <v>37.200000000000003</v>
      </c>
      <c r="J65" s="48">
        <f t="shared" si="3"/>
        <v>22.32</v>
      </c>
      <c r="K65" s="18">
        <v>0.6</v>
      </c>
    </row>
    <row r="66" spans="1:11" x14ac:dyDescent="0.25">
      <c r="A66" s="10" t="s">
        <v>297</v>
      </c>
      <c r="B66" s="10">
        <v>526607535</v>
      </c>
      <c r="C66" s="9">
        <v>45695</v>
      </c>
      <c r="D66" s="10" t="s">
        <v>12</v>
      </c>
      <c r="E66" s="10" t="s">
        <v>38</v>
      </c>
      <c r="F66" s="71" t="s">
        <v>298</v>
      </c>
      <c r="G66" s="48">
        <v>5296</v>
      </c>
      <c r="H66" s="48">
        <v>5021</v>
      </c>
      <c r="I66" s="48">
        <v>75.3</v>
      </c>
      <c r="J66" s="48">
        <f t="shared" si="3"/>
        <v>45.18</v>
      </c>
      <c r="K66" s="18">
        <v>0.6</v>
      </c>
    </row>
    <row r="67" spans="1:11" x14ac:dyDescent="0.25">
      <c r="A67" s="10"/>
      <c r="B67" s="10"/>
      <c r="C67" s="9"/>
      <c r="D67" s="10"/>
      <c r="E67" s="10"/>
      <c r="F67" s="11"/>
      <c r="G67" s="49"/>
      <c r="H67" s="49"/>
      <c r="I67" s="48"/>
      <c r="J67" s="48">
        <f t="shared" si="3"/>
        <v>0</v>
      </c>
      <c r="K67" s="18">
        <v>0.6</v>
      </c>
    </row>
    <row r="68" spans="1:11" x14ac:dyDescent="0.25">
      <c r="A68" s="10"/>
      <c r="B68" s="10"/>
      <c r="C68" s="9"/>
      <c r="D68" s="10"/>
      <c r="E68" s="10"/>
      <c r="F68" s="6" t="s">
        <v>13</v>
      </c>
      <c r="G68" s="8">
        <f>SUM(G60:G67)</f>
        <v>85902.35</v>
      </c>
      <c r="H68" s="8">
        <f>SUM(H60:H67)</f>
        <v>128517.27000000002</v>
      </c>
      <c r="I68" s="8">
        <f>SUM(I60:I67)</f>
        <v>18599.550000000003</v>
      </c>
      <c r="J68" s="8">
        <f>SUM(J60:J67)</f>
        <v>11159.730000000001</v>
      </c>
      <c r="K68" s="6"/>
    </row>
    <row r="69" spans="1:11" x14ac:dyDescent="0.25">
      <c r="A69" s="10"/>
      <c r="B69" s="10"/>
      <c r="C69" s="9"/>
      <c r="D69" s="10"/>
      <c r="E69" s="10"/>
      <c r="F69" s="13" t="s">
        <v>14</v>
      </c>
      <c r="G69" s="21">
        <f>G65</f>
        <v>260.58</v>
      </c>
      <c r="H69" s="17"/>
      <c r="I69" s="17"/>
      <c r="J69" s="17"/>
      <c r="K69" s="10"/>
    </row>
    <row r="70" spans="1:11" x14ac:dyDescent="0.25">
      <c r="A70" s="10"/>
      <c r="B70" s="10"/>
      <c r="C70" s="9"/>
      <c r="D70" s="13"/>
      <c r="E70" s="13" t="s">
        <v>18</v>
      </c>
      <c r="F70" s="13"/>
      <c r="G70" s="21">
        <f>G69/6</f>
        <v>43.43</v>
      </c>
      <c r="H70" s="17"/>
      <c r="I70" s="17"/>
      <c r="J70" s="17"/>
      <c r="K70" s="10"/>
    </row>
    <row r="71" spans="1:11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</row>
    <row r="72" spans="1:11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</row>
    <row r="73" spans="1:11" x14ac:dyDescent="0.25">
      <c r="A73" s="23"/>
      <c r="B73" s="23"/>
      <c r="C73" s="23"/>
      <c r="D73" s="24"/>
      <c r="E73" s="23"/>
      <c r="F73" s="23"/>
      <c r="G73" s="23"/>
      <c r="H73" s="24"/>
      <c r="I73" s="24"/>
      <c r="J73" s="24"/>
      <c r="K73" s="24"/>
    </row>
    <row r="74" spans="1:11" x14ac:dyDescent="0.25">
      <c r="A74" s="25" t="s">
        <v>19</v>
      </c>
      <c r="B74" s="26"/>
      <c r="C74" s="27">
        <f>G26</f>
        <v>44386.2</v>
      </c>
      <c r="D74" s="43"/>
      <c r="E74" s="25" t="s">
        <v>20</v>
      </c>
      <c r="F74" s="25"/>
      <c r="G74" s="27">
        <f>G58</f>
        <v>0</v>
      </c>
      <c r="H74" s="43"/>
      <c r="I74" s="25" t="s">
        <v>21</v>
      </c>
      <c r="J74" s="25"/>
      <c r="K74" s="28">
        <f>G69</f>
        <v>260.58</v>
      </c>
    </row>
    <row r="75" spans="1:11" x14ac:dyDescent="0.25">
      <c r="A75" s="26" t="s">
        <v>22</v>
      </c>
      <c r="B75" s="26"/>
      <c r="C75" s="27">
        <f>G27</f>
        <v>7397.7</v>
      </c>
      <c r="D75" s="24"/>
      <c r="E75" s="26"/>
      <c r="F75" s="26"/>
      <c r="G75" s="26" t="s">
        <v>12</v>
      </c>
      <c r="H75" s="24"/>
      <c r="I75" s="26" t="s">
        <v>23</v>
      </c>
      <c r="J75" s="26"/>
      <c r="K75" s="29">
        <f>G70</f>
        <v>43.43</v>
      </c>
    </row>
    <row r="76" spans="1:11" x14ac:dyDescent="0.25">
      <c r="A76" s="26" t="s">
        <v>24</v>
      </c>
      <c r="B76" s="26"/>
      <c r="C76" s="27">
        <f>J25</f>
        <v>17297.37</v>
      </c>
      <c r="D76" s="24"/>
      <c r="E76" s="26" t="s">
        <v>25</v>
      </c>
      <c r="F76" s="26"/>
      <c r="G76" s="27">
        <f>J56</f>
        <v>9684.6179999999968</v>
      </c>
      <c r="H76" s="24"/>
      <c r="I76" s="26" t="s">
        <v>26</v>
      </c>
      <c r="J76" s="26"/>
      <c r="K76" s="29">
        <f>J68</f>
        <v>11159.730000000001</v>
      </c>
    </row>
    <row r="77" spans="1:11" x14ac:dyDescent="0.25">
      <c r="A77" s="26"/>
      <c r="B77" s="26"/>
      <c r="C77" s="27"/>
      <c r="D77" s="24"/>
      <c r="E77" s="26"/>
      <c r="F77" s="26"/>
      <c r="G77" s="27"/>
      <c r="H77" s="24"/>
      <c r="I77" s="26"/>
      <c r="J77" s="26"/>
      <c r="K77" s="30"/>
    </row>
    <row r="78" spans="1:11" x14ac:dyDescent="0.25">
      <c r="A78" s="26"/>
      <c r="B78" s="26"/>
      <c r="C78" s="26"/>
      <c r="D78" s="24"/>
      <c r="E78" s="26"/>
      <c r="F78" s="26"/>
      <c r="G78" s="26"/>
      <c r="H78" s="24"/>
      <c r="I78" s="31"/>
      <c r="J78" s="31"/>
      <c r="K78" s="30"/>
    </row>
    <row r="79" spans="1:11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</row>
    <row r="80" spans="1:11" x14ac:dyDescent="0.25">
      <c r="A80" s="42" t="s">
        <v>27</v>
      </c>
      <c r="B80" s="32"/>
      <c r="C80" s="32"/>
      <c r="D80" s="32"/>
      <c r="E80" s="32" t="s">
        <v>28</v>
      </c>
      <c r="F80" s="32"/>
      <c r="G80" s="32"/>
      <c r="H80" s="15"/>
      <c r="I80" s="15"/>
      <c r="J80" s="15"/>
      <c r="K80" s="15"/>
    </row>
    <row r="81" spans="1:11" x14ac:dyDescent="0.25">
      <c r="A81" s="33"/>
      <c r="B81" s="33"/>
      <c r="C81" s="34"/>
      <c r="D81" s="15"/>
      <c r="E81" s="10"/>
      <c r="F81" s="10"/>
      <c r="G81" s="10"/>
      <c r="H81" s="17"/>
      <c r="I81" s="15"/>
      <c r="J81" s="15"/>
      <c r="K81" s="15"/>
    </row>
    <row r="82" spans="1:11" x14ac:dyDescent="0.25">
      <c r="A82" s="62" t="s">
        <v>29</v>
      </c>
      <c r="B82" s="62"/>
      <c r="C82" s="34">
        <f>J2</f>
        <v>174457.97</v>
      </c>
      <c r="D82" s="53"/>
      <c r="E82" s="54" t="s">
        <v>30</v>
      </c>
      <c r="F82" s="54"/>
      <c r="G82" s="54" t="s">
        <v>12</v>
      </c>
      <c r="H82" s="17"/>
      <c r="I82" s="58" t="s">
        <v>104</v>
      </c>
      <c r="J82" s="59"/>
      <c r="K82" s="59"/>
    </row>
    <row r="83" spans="1:11" x14ac:dyDescent="0.25">
      <c r="A83" s="62" t="s">
        <v>31</v>
      </c>
      <c r="B83" s="62"/>
      <c r="C83" s="52">
        <f>C76+G76+K76</f>
        <v>38141.718000000001</v>
      </c>
      <c r="D83" s="53"/>
      <c r="E83" s="54" t="s">
        <v>32</v>
      </c>
      <c r="F83" s="54"/>
      <c r="G83" s="55">
        <f>G26</f>
        <v>44386.2</v>
      </c>
      <c r="H83" s="35"/>
      <c r="I83" s="59"/>
      <c r="J83" s="59"/>
      <c r="K83" s="59"/>
    </row>
    <row r="84" spans="1:11" x14ac:dyDescent="0.25">
      <c r="A84" s="63" t="s">
        <v>109</v>
      </c>
      <c r="B84" s="52"/>
      <c r="C84" s="52">
        <f>J97</f>
        <v>75970</v>
      </c>
      <c r="D84" s="53"/>
      <c r="E84" s="54" t="s">
        <v>443</v>
      </c>
      <c r="F84" s="54"/>
      <c r="G84" s="55">
        <f>G18</f>
        <v>26322.33</v>
      </c>
      <c r="H84" s="36"/>
      <c r="I84" s="60" t="s">
        <v>105</v>
      </c>
      <c r="J84" s="60">
        <v>1780</v>
      </c>
      <c r="K84" s="61">
        <v>45691</v>
      </c>
    </row>
    <row r="85" spans="1:11" x14ac:dyDescent="0.25">
      <c r="A85" s="60" t="s">
        <v>440</v>
      </c>
      <c r="B85" s="60"/>
      <c r="C85" s="64">
        <f>G17+G50+G51</f>
        <v>18341.07</v>
      </c>
      <c r="D85" s="53"/>
      <c r="E85" s="54" t="s">
        <v>34</v>
      </c>
      <c r="F85" s="54"/>
      <c r="G85" s="167" t="s">
        <v>12</v>
      </c>
      <c r="H85" s="36"/>
      <c r="I85" s="60" t="s">
        <v>106</v>
      </c>
      <c r="J85" s="60">
        <v>12610</v>
      </c>
      <c r="K85" s="61">
        <v>45693</v>
      </c>
    </row>
    <row r="86" spans="1:11" x14ac:dyDescent="0.25">
      <c r="A86" s="60" t="s">
        <v>13</v>
      </c>
      <c r="B86" s="60"/>
      <c r="C86" s="64">
        <f>C82+C83+C84+C85</f>
        <v>306910.75799999997</v>
      </c>
      <c r="D86" s="53"/>
      <c r="E86" s="54" t="s">
        <v>33</v>
      </c>
      <c r="F86" s="54"/>
      <c r="G86" s="55">
        <f>G57</f>
        <v>58725.34</v>
      </c>
      <c r="H86" s="17"/>
      <c r="I86" s="60" t="s">
        <v>107</v>
      </c>
      <c r="J86" s="60">
        <v>1220</v>
      </c>
      <c r="K86" s="61">
        <v>45694</v>
      </c>
    </row>
    <row r="87" spans="1:11" x14ac:dyDescent="0.25">
      <c r="A87" s="163"/>
      <c r="B87" s="163"/>
      <c r="C87" s="164"/>
      <c r="D87" s="53"/>
      <c r="E87" s="50" t="s">
        <v>94</v>
      </c>
      <c r="F87" s="51"/>
      <c r="G87" s="51">
        <v>14531.51</v>
      </c>
      <c r="H87" s="17"/>
      <c r="I87" s="60" t="s">
        <v>108</v>
      </c>
      <c r="J87" s="60">
        <v>20860</v>
      </c>
      <c r="K87" s="61">
        <v>45702</v>
      </c>
    </row>
    <row r="88" spans="1:11" x14ac:dyDescent="0.25">
      <c r="A88" s="15"/>
      <c r="B88" s="15"/>
      <c r="C88" s="15"/>
      <c r="D88" s="53"/>
      <c r="E88" s="50" t="s">
        <v>95</v>
      </c>
      <c r="F88" s="51"/>
      <c r="G88" s="51">
        <v>1640.15</v>
      </c>
      <c r="H88" s="17"/>
      <c r="I88" s="58" t="s">
        <v>291</v>
      </c>
      <c r="J88" s="58">
        <v>8100</v>
      </c>
      <c r="K88" s="141">
        <v>45710</v>
      </c>
    </row>
    <row r="89" spans="1:11" x14ac:dyDescent="0.25">
      <c r="A89" s="15"/>
      <c r="B89" s="15"/>
      <c r="C89" s="15"/>
      <c r="D89" s="53"/>
      <c r="E89" s="50" t="s">
        <v>96</v>
      </c>
      <c r="F89" s="51"/>
      <c r="G89" s="51">
        <v>6293.7</v>
      </c>
      <c r="H89" s="17"/>
      <c r="I89" s="58" t="s">
        <v>292</v>
      </c>
      <c r="J89" s="58">
        <v>31400</v>
      </c>
      <c r="K89" s="141">
        <v>45710</v>
      </c>
    </row>
    <row r="90" spans="1:11" x14ac:dyDescent="0.25">
      <c r="A90" s="15"/>
      <c r="B90" s="15"/>
      <c r="C90" s="15"/>
      <c r="D90" s="53"/>
      <c r="E90" s="50" t="s">
        <v>97</v>
      </c>
      <c r="F90" s="51"/>
      <c r="G90" s="51">
        <v>814.2</v>
      </c>
      <c r="H90" s="17"/>
      <c r="I90" s="59"/>
      <c r="J90" s="59"/>
      <c r="K90" s="59"/>
    </row>
    <row r="91" spans="1:11" x14ac:dyDescent="0.25">
      <c r="A91" s="15"/>
      <c r="B91" s="15"/>
      <c r="C91" s="15"/>
      <c r="D91" s="53"/>
      <c r="E91" s="50" t="s">
        <v>98</v>
      </c>
      <c r="F91" s="51"/>
      <c r="G91" s="51">
        <v>1578.29</v>
      </c>
      <c r="H91" s="17"/>
      <c r="I91" s="59"/>
      <c r="J91" s="59"/>
      <c r="K91" s="59"/>
    </row>
    <row r="92" spans="1:11" x14ac:dyDescent="0.25">
      <c r="A92" s="15"/>
      <c r="B92" s="15"/>
      <c r="C92" s="15"/>
      <c r="D92" s="53"/>
      <c r="E92" s="50" t="s">
        <v>99</v>
      </c>
      <c r="F92" s="51"/>
      <c r="G92" s="51">
        <v>2097.2399999999998</v>
      </c>
      <c r="H92" s="17"/>
      <c r="I92" s="59"/>
      <c r="J92" s="59"/>
      <c r="K92" s="59"/>
    </row>
    <row r="93" spans="1:11" x14ac:dyDescent="0.25">
      <c r="A93" s="15"/>
      <c r="B93" s="15"/>
      <c r="C93" s="15"/>
      <c r="D93" s="166"/>
      <c r="E93" s="118" t="s">
        <v>454</v>
      </c>
      <c r="F93" s="119"/>
      <c r="G93" s="119">
        <v>2151.1799999999998</v>
      </c>
      <c r="H93" s="17"/>
      <c r="I93" s="59"/>
      <c r="J93" s="59"/>
      <c r="K93" s="59"/>
    </row>
    <row r="94" spans="1:11" x14ac:dyDescent="0.25">
      <c r="A94" s="15"/>
      <c r="B94" s="15"/>
      <c r="C94" s="15"/>
      <c r="D94" s="166"/>
      <c r="E94" s="118" t="s">
        <v>453</v>
      </c>
      <c r="F94" s="119"/>
      <c r="G94" s="119">
        <v>1848.76</v>
      </c>
      <c r="H94" s="17"/>
      <c r="I94" s="59"/>
      <c r="J94" s="59"/>
      <c r="K94" s="59"/>
    </row>
    <row r="95" spans="1:11" x14ac:dyDescent="0.25">
      <c r="A95" s="15"/>
      <c r="B95" s="15"/>
      <c r="C95" s="15"/>
      <c r="D95" s="166"/>
      <c r="E95" s="118" t="s">
        <v>455</v>
      </c>
      <c r="F95" s="119"/>
      <c r="G95" s="119">
        <v>1402.42</v>
      </c>
      <c r="H95" s="17"/>
      <c r="I95" s="59"/>
      <c r="J95" s="59"/>
      <c r="K95" s="59"/>
    </row>
    <row r="96" spans="1:11" x14ac:dyDescent="0.25">
      <c r="A96" s="15"/>
      <c r="B96" s="15"/>
      <c r="C96" s="15"/>
      <c r="D96" s="166"/>
      <c r="E96" s="118" t="s">
        <v>100</v>
      </c>
      <c r="F96" s="51"/>
      <c r="G96" s="55">
        <f>G27</f>
        <v>7397.7</v>
      </c>
      <c r="H96" s="17"/>
      <c r="I96" s="59"/>
      <c r="J96" s="59"/>
      <c r="K96" s="59"/>
    </row>
    <row r="97" spans="1:11" x14ac:dyDescent="0.25">
      <c r="A97" s="15"/>
      <c r="B97" s="15"/>
      <c r="C97" s="15"/>
      <c r="D97" s="53"/>
      <c r="E97" s="118" t="s">
        <v>452</v>
      </c>
      <c r="F97" s="56"/>
      <c r="G97" s="57">
        <f>G70</f>
        <v>43.43</v>
      </c>
      <c r="H97" s="38"/>
      <c r="I97" s="58" t="s">
        <v>13</v>
      </c>
      <c r="J97" s="58">
        <f>J84+J85+J86+J87+J88+J89+J90+J91+J92+J93+J94+J95+J96</f>
        <v>75970</v>
      </c>
      <c r="K97" s="58"/>
    </row>
    <row r="98" spans="1:11" x14ac:dyDescent="0.25">
      <c r="A98" s="15"/>
      <c r="B98" s="15"/>
      <c r="C98" s="15"/>
      <c r="D98" s="15"/>
      <c r="E98" s="44" t="s">
        <v>13</v>
      </c>
      <c r="F98" s="56"/>
      <c r="G98" s="57">
        <f>SUM(G84:G97)</f>
        <v>124846.24999999996</v>
      </c>
      <c r="H98" s="15"/>
      <c r="I98" s="15"/>
      <c r="J98" s="15"/>
      <c r="K98" s="15"/>
    </row>
    <row r="99" spans="1:11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</row>
    <row r="100" spans="1:11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</row>
    <row r="101" spans="1:11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</row>
    <row r="102" spans="1:1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</row>
    <row r="103" spans="1:11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</row>
    <row r="104" spans="1:11" x14ac:dyDescent="0.25">
      <c r="A104" s="15"/>
      <c r="B104" s="15"/>
      <c r="C104" s="39" t="s">
        <v>35</v>
      </c>
      <c r="D104" s="39"/>
      <c r="E104" s="40">
        <f>C86-G98</f>
        <v>182064.50800000003</v>
      </c>
      <c r="F104" s="15"/>
      <c r="G104" s="15"/>
      <c r="H104" s="15"/>
      <c r="I104" s="15"/>
      <c r="J104" s="15"/>
      <c r="K104" s="15"/>
    </row>
    <row r="105" spans="1:11" x14ac:dyDescent="0.25">
      <c r="A105" s="15"/>
      <c r="B105" s="15"/>
      <c r="C105" s="37"/>
      <c r="D105" s="37"/>
      <c r="E105" s="37"/>
      <c r="F105" s="15"/>
      <c r="G105" s="15"/>
      <c r="H105" s="15"/>
      <c r="I105" s="15"/>
      <c r="J105" s="15"/>
      <c r="K105" s="15"/>
    </row>
  </sheetData>
  <conditionalFormatting sqref="E1 E3:E57">
    <cfRule type="cellIs" dxfId="59" priority="5" operator="equal">
      <formula>"K.KART"</formula>
    </cfRule>
    <cfRule type="cellIs" dxfId="58" priority="6" operator="equal">
      <formula>"AÇIK"</formula>
    </cfRule>
  </conditionalFormatting>
  <conditionalFormatting sqref="E59:E70">
    <cfRule type="cellIs" dxfId="57" priority="3" operator="equal">
      <formula>"K.KART"</formula>
    </cfRule>
    <cfRule type="cellIs" dxfId="56" priority="4" operator="equal">
      <formula>"AÇIK"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134C-4902-4D13-AC2B-4E2E0D72FCC6}">
  <dimension ref="A1:K109"/>
  <sheetViews>
    <sheetView workbookViewId="0">
      <selection activeCell="E109" sqref="E109"/>
    </sheetView>
  </sheetViews>
  <sheetFormatPr defaultRowHeight="15" x14ac:dyDescent="0.25"/>
  <cols>
    <col min="1" max="1" width="21.85546875" customWidth="1"/>
    <col min="2" max="2" width="11.140625" customWidth="1"/>
    <col min="3" max="3" width="11.28515625" customWidth="1"/>
    <col min="4" max="4" width="12" customWidth="1"/>
    <col min="5" max="5" width="12.140625" customWidth="1"/>
    <col min="6" max="6" width="20.140625" customWidth="1"/>
    <col min="7" max="7" width="12" customWidth="1"/>
    <col min="8" max="8" width="12.28515625" customWidth="1"/>
    <col min="9" max="9" width="14.140625" customWidth="1"/>
    <col min="10" max="10" width="18.7109375" customWidth="1"/>
    <col min="11" max="11" width="10.140625" bestFit="1" customWidth="1"/>
  </cols>
  <sheetData>
    <row r="1" spans="1:11" x14ac:dyDescent="0.25">
      <c r="A1" s="41" t="s">
        <v>241</v>
      </c>
      <c r="B1" s="2"/>
      <c r="C1" s="1"/>
      <c r="D1" s="2"/>
      <c r="E1" s="3"/>
      <c r="F1" s="3"/>
      <c r="G1" s="4"/>
      <c r="H1" s="4"/>
      <c r="I1" s="4"/>
      <c r="J1" s="4"/>
      <c r="K1" s="2"/>
    </row>
    <row r="2" spans="1:11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40">
        <v>182064.51</v>
      </c>
      <c r="K2" s="5"/>
    </row>
    <row r="3" spans="1:11" x14ac:dyDescent="0.25">
      <c r="A3" s="6" t="s">
        <v>1</v>
      </c>
      <c r="B3" s="6" t="s">
        <v>2</v>
      </c>
      <c r="C3" s="7" t="s">
        <v>3</v>
      </c>
      <c r="D3" s="6" t="s">
        <v>4</v>
      </c>
      <c r="E3" s="6" t="s">
        <v>5</v>
      </c>
      <c r="F3" s="6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6" t="s">
        <v>11</v>
      </c>
    </row>
    <row r="4" spans="1:11" x14ac:dyDescent="0.25">
      <c r="A4" s="10" t="s">
        <v>242</v>
      </c>
      <c r="B4" s="10">
        <v>545103688</v>
      </c>
      <c r="C4" s="9">
        <v>45691</v>
      </c>
      <c r="D4" s="10" t="s">
        <v>243</v>
      </c>
      <c r="E4" s="10" t="s">
        <v>41</v>
      </c>
      <c r="F4" s="10" t="s">
        <v>12</v>
      </c>
      <c r="G4" s="16">
        <v>15258.26</v>
      </c>
      <c r="H4" s="17">
        <v>14531.67</v>
      </c>
      <c r="I4" s="17">
        <v>2179.65</v>
      </c>
      <c r="J4" s="17">
        <f>I4*K4</f>
        <v>1307.79</v>
      </c>
      <c r="K4" s="18">
        <v>0.6</v>
      </c>
    </row>
    <row r="5" spans="1:11" x14ac:dyDescent="0.25">
      <c r="A5" s="10" t="s">
        <v>244</v>
      </c>
      <c r="B5" s="10">
        <v>547143477</v>
      </c>
      <c r="C5" s="9">
        <v>45693</v>
      </c>
      <c r="D5" s="10" t="s">
        <v>245</v>
      </c>
      <c r="E5" s="10" t="s">
        <v>38</v>
      </c>
      <c r="F5" s="10" t="s">
        <v>244</v>
      </c>
      <c r="G5" s="17">
        <v>21648.7</v>
      </c>
      <c r="H5" s="17">
        <v>20617.8</v>
      </c>
      <c r="I5" s="17">
        <v>3092.55</v>
      </c>
      <c r="J5" s="17">
        <f t="shared" ref="J5:J27" si="0">I5*K5</f>
        <v>1855.53</v>
      </c>
      <c r="K5" s="18">
        <v>0.6</v>
      </c>
    </row>
    <row r="6" spans="1:11" x14ac:dyDescent="0.25">
      <c r="A6" s="10" t="s">
        <v>246</v>
      </c>
      <c r="B6" s="10">
        <v>547402003</v>
      </c>
      <c r="C6" s="9">
        <v>45695</v>
      </c>
      <c r="D6" s="10" t="s">
        <v>247</v>
      </c>
      <c r="E6" s="10" t="s">
        <v>38</v>
      </c>
      <c r="F6" s="10" t="s">
        <v>337</v>
      </c>
      <c r="G6" s="17">
        <v>9150.74</v>
      </c>
      <c r="H6" s="17">
        <v>8714.9699999999993</v>
      </c>
      <c r="I6" s="17">
        <v>1307.0999999999999</v>
      </c>
      <c r="J6" s="17">
        <f t="shared" si="0"/>
        <v>784.25999999999988</v>
      </c>
      <c r="K6" s="18">
        <v>0.6</v>
      </c>
    </row>
    <row r="7" spans="1:11" x14ac:dyDescent="0.25">
      <c r="A7" s="10" t="s">
        <v>248</v>
      </c>
      <c r="B7" s="10">
        <v>545383874</v>
      </c>
      <c r="C7" s="9">
        <v>45696</v>
      </c>
      <c r="D7" s="19" t="s">
        <v>249</v>
      </c>
      <c r="E7" s="10" t="s">
        <v>41</v>
      </c>
      <c r="F7" s="10" t="s">
        <v>12</v>
      </c>
      <c r="G7" s="17">
        <v>9093.69</v>
      </c>
      <c r="H7" s="17">
        <v>8660.64</v>
      </c>
      <c r="I7" s="17">
        <v>1299</v>
      </c>
      <c r="J7" s="17">
        <f t="shared" si="0"/>
        <v>779.4</v>
      </c>
      <c r="K7" s="18">
        <v>0.6</v>
      </c>
    </row>
    <row r="8" spans="1:11" x14ac:dyDescent="0.25">
      <c r="A8" s="10" t="s">
        <v>250</v>
      </c>
      <c r="B8" s="10">
        <v>547173701</v>
      </c>
      <c r="C8" s="9">
        <v>45702</v>
      </c>
      <c r="D8" s="19" t="s">
        <v>251</v>
      </c>
      <c r="E8" s="10" t="s">
        <v>38</v>
      </c>
      <c r="F8" s="10" t="s">
        <v>250</v>
      </c>
      <c r="G8" s="17">
        <v>12981.64</v>
      </c>
      <c r="H8" s="17">
        <v>12363.46</v>
      </c>
      <c r="I8" s="17">
        <v>1854.45</v>
      </c>
      <c r="J8" s="17">
        <f t="shared" si="0"/>
        <v>1112.67</v>
      </c>
      <c r="K8" s="18">
        <v>0.6</v>
      </c>
    </row>
    <row r="9" spans="1:11" x14ac:dyDescent="0.25">
      <c r="A9" s="10" t="s">
        <v>252</v>
      </c>
      <c r="B9" s="10">
        <v>547182272</v>
      </c>
      <c r="C9" s="9">
        <v>45704</v>
      </c>
      <c r="D9" s="10" t="s">
        <v>253</v>
      </c>
      <c r="E9" s="10" t="s">
        <v>41</v>
      </c>
      <c r="F9" s="10" t="s">
        <v>12</v>
      </c>
      <c r="G9" s="17">
        <v>9817.9699999999993</v>
      </c>
      <c r="H9" s="17">
        <v>9350.44</v>
      </c>
      <c r="I9" s="17">
        <v>1402.5</v>
      </c>
      <c r="J9" s="17">
        <f t="shared" si="0"/>
        <v>841.5</v>
      </c>
      <c r="K9" s="18">
        <v>0.6</v>
      </c>
    </row>
    <row r="10" spans="1:11" x14ac:dyDescent="0.25">
      <c r="A10" s="10" t="s">
        <v>254</v>
      </c>
      <c r="B10" s="10">
        <v>548873419</v>
      </c>
      <c r="C10" s="9">
        <v>45702</v>
      </c>
      <c r="D10" s="10" t="s">
        <v>255</v>
      </c>
      <c r="E10" s="10" t="s">
        <v>38</v>
      </c>
      <c r="F10" s="10" t="s">
        <v>322</v>
      </c>
      <c r="G10" s="17">
        <v>20458.84</v>
      </c>
      <c r="H10" s="17">
        <v>19484.61</v>
      </c>
      <c r="I10" s="17">
        <v>2922.6</v>
      </c>
      <c r="J10" s="17">
        <f t="shared" si="0"/>
        <v>1753.56</v>
      </c>
      <c r="K10" s="18">
        <v>0.6</v>
      </c>
    </row>
    <row r="11" spans="1:11" x14ac:dyDescent="0.25">
      <c r="A11" s="10" t="s">
        <v>256</v>
      </c>
      <c r="B11" s="10">
        <v>547186387</v>
      </c>
      <c r="C11" s="9">
        <v>45704</v>
      </c>
      <c r="D11" s="10" t="s">
        <v>257</v>
      </c>
      <c r="E11" s="10" t="s">
        <v>38</v>
      </c>
      <c r="F11" s="10" t="s">
        <v>256</v>
      </c>
      <c r="G11" s="17">
        <v>12827</v>
      </c>
      <c r="H11" s="17">
        <v>12216.18</v>
      </c>
      <c r="I11" s="17">
        <v>1832.4</v>
      </c>
      <c r="J11" s="17">
        <f t="shared" si="0"/>
        <v>1099.44</v>
      </c>
      <c r="K11" s="18">
        <v>0.6</v>
      </c>
    </row>
    <row r="12" spans="1:11" x14ac:dyDescent="0.25">
      <c r="A12" s="10" t="s">
        <v>258</v>
      </c>
      <c r="B12" s="10">
        <v>7418112</v>
      </c>
      <c r="C12" s="9">
        <v>45705</v>
      </c>
      <c r="D12" s="10" t="s">
        <v>12</v>
      </c>
      <c r="E12" s="10" t="s">
        <v>38</v>
      </c>
      <c r="F12" s="10" t="s">
        <v>258</v>
      </c>
      <c r="G12" s="17">
        <v>23330.41</v>
      </c>
      <c r="H12" s="17">
        <v>23330.41</v>
      </c>
      <c r="I12" s="17">
        <v>3499.5</v>
      </c>
      <c r="J12" s="17">
        <f t="shared" si="0"/>
        <v>2099.6999999999998</v>
      </c>
      <c r="K12" s="18">
        <v>0.6</v>
      </c>
    </row>
    <row r="13" spans="1:11" x14ac:dyDescent="0.25">
      <c r="A13" s="10" t="s">
        <v>259</v>
      </c>
      <c r="B13" s="10">
        <v>550192698</v>
      </c>
      <c r="C13" s="9">
        <v>45714</v>
      </c>
      <c r="D13" s="10" t="s">
        <v>260</v>
      </c>
      <c r="E13" s="10" t="s">
        <v>38</v>
      </c>
      <c r="F13" s="10" t="s">
        <v>315</v>
      </c>
      <c r="G13" s="17">
        <v>14731.43</v>
      </c>
      <c r="H13" s="17">
        <v>14029.93</v>
      </c>
      <c r="I13" s="17">
        <v>2104.35</v>
      </c>
      <c r="J13" s="17">
        <f t="shared" si="0"/>
        <v>1262.6099999999999</v>
      </c>
      <c r="K13" s="18">
        <v>0.6</v>
      </c>
    </row>
    <row r="14" spans="1:11" x14ac:dyDescent="0.25">
      <c r="A14" s="10" t="s">
        <v>261</v>
      </c>
      <c r="B14" s="10">
        <v>549025655</v>
      </c>
      <c r="C14" s="9">
        <v>45714</v>
      </c>
      <c r="D14" s="10" t="s">
        <v>262</v>
      </c>
      <c r="E14" s="10" t="s">
        <v>38</v>
      </c>
      <c r="F14" s="10" t="s">
        <v>261</v>
      </c>
      <c r="G14" s="17">
        <v>7798.09</v>
      </c>
      <c r="H14" s="17">
        <v>7426.75</v>
      </c>
      <c r="I14" s="17">
        <v>1113.9000000000001</v>
      </c>
      <c r="J14" s="17">
        <f t="shared" si="0"/>
        <v>668.34</v>
      </c>
      <c r="K14" s="18">
        <v>0.6</v>
      </c>
    </row>
    <row r="15" spans="1:11" x14ac:dyDescent="0.25">
      <c r="A15" s="10" t="s">
        <v>65</v>
      </c>
      <c r="B15" s="10">
        <v>549747424</v>
      </c>
      <c r="C15" s="9">
        <v>45716</v>
      </c>
      <c r="D15" s="10" t="s">
        <v>338</v>
      </c>
      <c r="E15" s="10" t="s">
        <v>38</v>
      </c>
      <c r="F15" s="10" t="s">
        <v>65</v>
      </c>
      <c r="G15" s="17">
        <v>16626.86</v>
      </c>
      <c r="H15" s="17">
        <v>15835.1</v>
      </c>
      <c r="I15" s="17">
        <v>2375.2800000000002</v>
      </c>
      <c r="J15" s="17">
        <f t="shared" si="0"/>
        <v>1425.1680000000001</v>
      </c>
      <c r="K15" s="18">
        <v>0.6</v>
      </c>
    </row>
    <row r="16" spans="1:11" x14ac:dyDescent="0.25">
      <c r="A16" s="10" t="s">
        <v>339</v>
      </c>
      <c r="B16" s="10">
        <v>550635173</v>
      </c>
      <c r="C16" s="9">
        <v>45716</v>
      </c>
      <c r="D16" s="10" t="s">
        <v>340</v>
      </c>
      <c r="E16" s="10" t="s">
        <v>38</v>
      </c>
      <c r="F16" s="10" t="s">
        <v>339</v>
      </c>
      <c r="G16" s="17">
        <v>9633.23</v>
      </c>
      <c r="H16" s="17">
        <v>9174.5</v>
      </c>
      <c r="I16" s="17">
        <v>1376.19</v>
      </c>
      <c r="J16" s="17">
        <f t="shared" si="0"/>
        <v>825.71400000000006</v>
      </c>
      <c r="K16" s="18">
        <v>0.6</v>
      </c>
    </row>
    <row r="17" spans="1:11" x14ac:dyDescent="0.25">
      <c r="A17" s="144" t="s">
        <v>117</v>
      </c>
      <c r="B17" s="144">
        <v>526510477</v>
      </c>
      <c r="C17" s="145">
        <v>45713</v>
      </c>
      <c r="D17" s="144" t="s">
        <v>245</v>
      </c>
      <c r="E17" s="144" t="s">
        <v>41</v>
      </c>
      <c r="F17" s="144" t="s">
        <v>419</v>
      </c>
      <c r="G17" s="146">
        <v>12527.2</v>
      </c>
      <c r="H17" s="146">
        <v>11930.65</v>
      </c>
      <c r="I17" s="159">
        <v>-1789.5</v>
      </c>
      <c r="J17" s="159">
        <f>I17*K17</f>
        <v>-1073.7</v>
      </c>
      <c r="K17" s="18">
        <v>0.6</v>
      </c>
    </row>
    <row r="18" spans="1:11" x14ac:dyDescent="0.25">
      <c r="A18" s="144" t="s">
        <v>420</v>
      </c>
      <c r="B18" s="144">
        <v>489300061</v>
      </c>
      <c r="C18" s="145">
        <v>45706</v>
      </c>
      <c r="D18" s="144" t="s">
        <v>421</v>
      </c>
      <c r="E18" s="144" t="s">
        <v>38</v>
      </c>
      <c r="F18" s="144" t="s">
        <v>419</v>
      </c>
      <c r="G18" s="146">
        <v>3102.79</v>
      </c>
      <c r="H18" s="146">
        <v>2955.04</v>
      </c>
      <c r="I18" s="159">
        <v>-443.25</v>
      </c>
      <c r="J18" s="159">
        <f>I18*K18</f>
        <v>-265.95</v>
      </c>
      <c r="K18" s="18">
        <v>0.6</v>
      </c>
    </row>
    <row r="19" spans="1:11" x14ac:dyDescent="0.25">
      <c r="A19" s="10"/>
      <c r="B19" s="10"/>
      <c r="C19" s="9"/>
      <c r="D19" s="10"/>
      <c r="E19" s="10"/>
      <c r="F19" s="10"/>
      <c r="G19" s="17"/>
      <c r="H19" s="17"/>
      <c r="I19" s="17"/>
      <c r="J19" s="17">
        <f t="shared" si="0"/>
        <v>0</v>
      </c>
      <c r="K19" s="18">
        <v>0.6</v>
      </c>
    </row>
    <row r="20" spans="1:11" x14ac:dyDescent="0.25">
      <c r="A20" s="10"/>
      <c r="B20" s="10"/>
      <c r="C20" s="9"/>
      <c r="D20" s="10"/>
      <c r="E20" s="10"/>
      <c r="F20" s="10"/>
      <c r="G20" s="17"/>
      <c r="H20" s="17"/>
      <c r="I20" s="17"/>
      <c r="J20" s="17">
        <f t="shared" si="0"/>
        <v>0</v>
      </c>
      <c r="K20" s="18">
        <v>0.6</v>
      </c>
    </row>
    <row r="21" spans="1:11" x14ac:dyDescent="0.25">
      <c r="A21" s="10"/>
      <c r="B21" s="10"/>
      <c r="C21" s="9"/>
      <c r="D21" s="10"/>
      <c r="E21" s="10"/>
      <c r="F21" s="10"/>
      <c r="G21" s="17"/>
      <c r="H21" s="17"/>
      <c r="I21" s="17"/>
      <c r="J21" s="17">
        <f t="shared" si="0"/>
        <v>0</v>
      </c>
      <c r="K21" s="18">
        <v>0.6</v>
      </c>
    </row>
    <row r="22" spans="1:11" x14ac:dyDescent="0.25">
      <c r="A22" s="10"/>
      <c r="B22" s="10"/>
      <c r="C22" s="9"/>
      <c r="D22" s="10"/>
      <c r="E22" s="10"/>
      <c r="F22" s="10"/>
      <c r="G22" s="17"/>
      <c r="H22" s="17"/>
      <c r="I22" s="17"/>
      <c r="J22" s="17">
        <f t="shared" si="0"/>
        <v>0</v>
      </c>
      <c r="K22" s="18">
        <v>0.6</v>
      </c>
    </row>
    <row r="23" spans="1:11" x14ac:dyDescent="0.25">
      <c r="A23" s="10"/>
      <c r="B23" s="10"/>
      <c r="C23" s="9"/>
      <c r="D23" s="10"/>
      <c r="E23" s="10"/>
      <c r="F23" s="11"/>
      <c r="G23" s="17"/>
      <c r="H23" s="17"/>
      <c r="I23" s="17"/>
      <c r="J23" s="17">
        <f t="shared" si="0"/>
        <v>0</v>
      </c>
      <c r="K23" s="18">
        <v>0.6</v>
      </c>
    </row>
    <row r="24" spans="1:11" x14ac:dyDescent="0.25">
      <c r="A24" s="10"/>
      <c r="B24" s="10"/>
      <c r="C24" s="9"/>
      <c r="D24" s="10"/>
      <c r="E24" s="10"/>
      <c r="F24" s="11"/>
      <c r="G24" s="17"/>
      <c r="H24" s="17"/>
      <c r="I24" s="17"/>
      <c r="J24" s="17">
        <f t="shared" si="0"/>
        <v>0</v>
      </c>
      <c r="K24" s="18">
        <v>0.6</v>
      </c>
    </row>
    <row r="25" spans="1:11" x14ac:dyDescent="0.25">
      <c r="A25" s="10"/>
      <c r="B25" s="10"/>
      <c r="C25" s="9"/>
      <c r="D25" s="10"/>
      <c r="E25" s="10"/>
      <c r="F25" s="11"/>
      <c r="G25" s="17"/>
      <c r="H25" s="17"/>
      <c r="I25" s="17"/>
      <c r="J25" s="17">
        <f t="shared" si="0"/>
        <v>0</v>
      </c>
      <c r="K25" s="18"/>
    </row>
    <row r="26" spans="1:11" x14ac:dyDescent="0.25">
      <c r="A26" s="10"/>
      <c r="B26" s="10"/>
      <c r="C26" s="9"/>
      <c r="D26" s="10"/>
      <c r="E26" s="10"/>
      <c r="F26" s="11"/>
      <c r="G26" s="17"/>
      <c r="H26" s="17"/>
      <c r="I26" s="17"/>
      <c r="J26" s="17">
        <f t="shared" si="0"/>
        <v>0</v>
      </c>
      <c r="K26" s="18"/>
    </row>
    <row r="27" spans="1:11" x14ac:dyDescent="0.25">
      <c r="A27" s="10"/>
      <c r="B27" s="10"/>
      <c r="C27" s="9"/>
      <c r="D27" s="10"/>
      <c r="E27" s="10"/>
      <c r="F27" s="11"/>
      <c r="G27" s="17"/>
      <c r="H27" s="17"/>
      <c r="I27" s="17"/>
      <c r="J27" s="17">
        <f t="shared" si="0"/>
        <v>0</v>
      </c>
      <c r="K27" s="18"/>
    </row>
    <row r="28" spans="1:11" x14ac:dyDescent="0.25">
      <c r="A28" s="10"/>
      <c r="B28" s="10"/>
      <c r="C28" s="9"/>
      <c r="D28" s="10"/>
      <c r="E28" s="10"/>
      <c r="F28" s="6" t="s">
        <v>13</v>
      </c>
      <c r="G28" s="8">
        <f>SUM(G4:G24)</f>
        <v>198986.85000000003</v>
      </c>
      <c r="H28" s="8">
        <f>SUM(H4:H24)</f>
        <v>190622.15</v>
      </c>
      <c r="I28" s="8">
        <f>SUM(I4:I24)</f>
        <v>24126.719999999998</v>
      </c>
      <c r="J28" s="8">
        <f>SUM(J4:J24)</f>
        <v>14476.031999999997</v>
      </c>
      <c r="K28" s="6"/>
    </row>
    <row r="29" spans="1:11" x14ac:dyDescent="0.25">
      <c r="A29" s="10"/>
      <c r="B29" s="10"/>
      <c r="C29" s="9"/>
      <c r="D29" s="10"/>
      <c r="E29" s="10"/>
      <c r="F29" s="13" t="s">
        <v>14</v>
      </c>
      <c r="G29" s="21">
        <f>G4+G7+G9</f>
        <v>34169.919999999998</v>
      </c>
      <c r="H29" s="17"/>
      <c r="I29" s="17"/>
      <c r="J29" s="17"/>
      <c r="K29" s="10"/>
    </row>
    <row r="30" spans="1:11" x14ac:dyDescent="0.25">
      <c r="A30" s="10"/>
      <c r="B30" s="10"/>
      <c r="C30" s="9"/>
      <c r="D30" s="10"/>
      <c r="E30" s="45"/>
      <c r="F30" s="46" t="s">
        <v>15</v>
      </c>
      <c r="G30" s="47">
        <f>G29/6</f>
        <v>5694.9866666666667</v>
      </c>
      <c r="H30" s="17"/>
      <c r="I30" s="17"/>
      <c r="J30" s="17"/>
      <c r="K30" s="10"/>
    </row>
    <row r="31" spans="1:11" x14ac:dyDescent="0.25">
      <c r="A31" s="10"/>
      <c r="B31" s="10"/>
      <c r="C31" s="9"/>
      <c r="D31" s="10"/>
      <c r="E31" s="10"/>
      <c r="F31" s="10"/>
      <c r="G31" s="17"/>
      <c r="H31" s="17"/>
      <c r="I31" s="17"/>
      <c r="J31" s="17"/>
      <c r="K31" s="10"/>
    </row>
    <row r="32" spans="1:11" x14ac:dyDescent="0.25">
      <c r="A32" s="10" t="s">
        <v>16</v>
      </c>
      <c r="B32" s="10"/>
      <c r="C32" s="9"/>
      <c r="D32" s="10"/>
      <c r="E32" s="10"/>
      <c r="F32" s="10"/>
      <c r="G32" s="17"/>
      <c r="H32" s="17"/>
      <c r="I32" s="17"/>
      <c r="J32" s="17"/>
      <c r="K32" s="10"/>
    </row>
    <row r="33" spans="1:11" x14ac:dyDescent="0.25">
      <c r="A33" s="10" t="s">
        <v>263</v>
      </c>
      <c r="B33" s="20">
        <v>546234778</v>
      </c>
      <c r="C33" s="12">
        <v>45693</v>
      </c>
      <c r="D33" s="11" t="s">
        <v>264</v>
      </c>
      <c r="E33" s="11" t="s">
        <v>38</v>
      </c>
      <c r="F33" s="11" t="s">
        <v>263</v>
      </c>
      <c r="G33" s="16">
        <v>6562.94</v>
      </c>
      <c r="H33" s="16">
        <v>5859.77</v>
      </c>
      <c r="I33" s="17">
        <v>585.98</v>
      </c>
      <c r="J33" s="17">
        <f>I33*K33</f>
        <v>351.58800000000002</v>
      </c>
      <c r="K33" s="18">
        <v>0.6</v>
      </c>
    </row>
    <row r="34" spans="1:11" x14ac:dyDescent="0.25">
      <c r="A34" s="10" t="s">
        <v>265</v>
      </c>
      <c r="B34" s="11">
        <v>549254794</v>
      </c>
      <c r="C34" s="12">
        <v>45702</v>
      </c>
      <c r="D34" s="11" t="s">
        <v>266</v>
      </c>
      <c r="E34" s="11" t="s">
        <v>38</v>
      </c>
      <c r="F34" s="11" t="s">
        <v>267</v>
      </c>
      <c r="G34" s="16">
        <v>22495.49</v>
      </c>
      <c r="H34" s="16">
        <v>20259.89</v>
      </c>
      <c r="I34" s="17">
        <v>2025.9</v>
      </c>
      <c r="J34" s="17">
        <f>I34*K34</f>
        <v>1215.54</v>
      </c>
      <c r="K34" s="18">
        <v>0.6</v>
      </c>
    </row>
    <row r="35" spans="1:11" x14ac:dyDescent="0.25">
      <c r="A35" s="10" t="s">
        <v>268</v>
      </c>
      <c r="B35" s="11">
        <v>550221479</v>
      </c>
      <c r="C35" s="12">
        <v>45713</v>
      </c>
      <c r="D35" s="11" t="s">
        <v>269</v>
      </c>
      <c r="E35" s="11" t="s">
        <v>38</v>
      </c>
      <c r="F35" s="11" t="s">
        <v>270</v>
      </c>
      <c r="G35" s="16">
        <v>9865.9</v>
      </c>
      <c r="H35" s="16">
        <v>8885.4500000000007</v>
      </c>
      <c r="I35" s="17">
        <v>888.5</v>
      </c>
      <c r="J35" s="17">
        <f t="shared" ref="J35:J58" si="1">I35*K35</f>
        <v>533.1</v>
      </c>
      <c r="K35" s="18">
        <v>0.6</v>
      </c>
    </row>
    <row r="36" spans="1:11" x14ac:dyDescent="0.25">
      <c r="A36" s="10" t="s">
        <v>261</v>
      </c>
      <c r="B36" s="20">
        <v>550981827</v>
      </c>
      <c r="C36" s="12">
        <v>45714</v>
      </c>
      <c r="D36" s="11" t="s">
        <v>262</v>
      </c>
      <c r="E36" s="11" t="s">
        <v>38</v>
      </c>
      <c r="F36" s="11" t="s">
        <v>261</v>
      </c>
      <c r="G36" s="16">
        <v>7874.96</v>
      </c>
      <c r="H36" s="16">
        <v>7031.22</v>
      </c>
      <c r="I36" s="17">
        <v>703.1</v>
      </c>
      <c r="J36" s="17">
        <f t="shared" si="1"/>
        <v>421.86</v>
      </c>
      <c r="K36" s="18">
        <v>0.6</v>
      </c>
    </row>
    <row r="37" spans="1:11" x14ac:dyDescent="0.25">
      <c r="A37" s="10" t="s">
        <v>271</v>
      </c>
      <c r="B37" s="11">
        <v>551312516</v>
      </c>
      <c r="C37" s="12">
        <v>45714</v>
      </c>
      <c r="D37" s="11" t="s">
        <v>272</v>
      </c>
      <c r="E37" s="11" t="s">
        <v>41</v>
      </c>
      <c r="F37" s="11" t="s">
        <v>12</v>
      </c>
      <c r="G37" s="16">
        <v>11839.3</v>
      </c>
      <c r="H37" s="16">
        <v>10662.7</v>
      </c>
      <c r="I37" s="17">
        <v>1066.2</v>
      </c>
      <c r="J37" s="17">
        <f t="shared" si="1"/>
        <v>639.72</v>
      </c>
      <c r="K37" s="18">
        <v>0.6</v>
      </c>
    </row>
    <row r="38" spans="1:11" x14ac:dyDescent="0.25">
      <c r="A38" s="10" t="s">
        <v>278</v>
      </c>
      <c r="B38" s="11">
        <v>552213349</v>
      </c>
      <c r="C38" s="12">
        <v>45716</v>
      </c>
      <c r="D38" s="11" t="s">
        <v>279</v>
      </c>
      <c r="E38" s="11" t="s">
        <v>38</v>
      </c>
      <c r="F38" s="11" t="s">
        <v>57</v>
      </c>
      <c r="G38" s="16">
        <v>16406.27</v>
      </c>
      <c r="H38" s="16">
        <v>14843.75</v>
      </c>
      <c r="I38" s="17">
        <v>1484.3</v>
      </c>
      <c r="J38" s="17">
        <f t="shared" si="1"/>
        <v>890.57999999999993</v>
      </c>
      <c r="K38" s="18">
        <v>0.6</v>
      </c>
    </row>
    <row r="39" spans="1:11" x14ac:dyDescent="0.25">
      <c r="A39" s="10" t="s">
        <v>280</v>
      </c>
      <c r="B39" s="11">
        <v>549676691</v>
      </c>
      <c r="C39" s="12">
        <v>45716</v>
      </c>
      <c r="D39" s="11" t="s">
        <v>281</v>
      </c>
      <c r="E39" s="11" t="s">
        <v>38</v>
      </c>
      <c r="F39" s="11" t="s">
        <v>282</v>
      </c>
      <c r="G39" s="16">
        <v>11654.99</v>
      </c>
      <c r="H39" s="16">
        <v>10544.99</v>
      </c>
      <c r="I39" s="17">
        <v>1054.4000000000001</v>
      </c>
      <c r="J39" s="17">
        <f t="shared" si="1"/>
        <v>632.64</v>
      </c>
      <c r="K39" s="18">
        <v>0.6</v>
      </c>
    </row>
    <row r="40" spans="1:11" x14ac:dyDescent="0.25">
      <c r="A40" s="10" t="s">
        <v>283</v>
      </c>
      <c r="B40" s="11">
        <v>552463655</v>
      </c>
      <c r="C40" s="12">
        <v>45716</v>
      </c>
      <c r="D40" s="11" t="s">
        <v>284</v>
      </c>
      <c r="E40" s="11" t="s">
        <v>38</v>
      </c>
      <c r="F40" s="11" t="s">
        <v>283</v>
      </c>
      <c r="G40" s="16">
        <v>6562.98</v>
      </c>
      <c r="H40" s="16">
        <v>5859.78</v>
      </c>
      <c r="I40" s="17">
        <v>585.9</v>
      </c>
      <c r="J40" s="17">
        <f t="shared" si="1"/>
        <v>351.53999999999996</v>
      </c>
      <c r="K40" s="18">
        <v>0.6</v>
      </c>
    </row>
    <row r="41" spans="1:11" x14ac:dyDescent="0.25">
      <c r="A41" s="10" t="s">
        <v>339</v>
      </c>
      <c r="B41" s="11">
        <v>551947231</v>
      </c>
      <c r="C41" s="12">
        <v>45716</v>
      </c>
      <c r="D41" s="11" t="s">
        <v>340</v>
      </c>
      <c r="E41" s="11" t="s">
        <v>38</v>
      </c>
      <c r="F41" s="11" t="s">
        <v>339</v>
      </c>
      <c r="G41" s="16">
        <v>6562.95</v>
      </c>
      <c r="H41" s="16">
        <v>5859.77</v>
      </c>
      <c r="I41" s="17">
        <v>585.99</v>
      </c>
      <c r="J41" s="17">
        <f t="shared" si="1"/>
        <v>351.59399999999999</v>
      </c>
      <c r="K41" s="18">
        <v>0.6</v>
      </c>
    </row>
    <row r="42" spans="1:11" x14ac:dyDescent="0.25">
      <c r="A42" s="144" t="s">
        <v>117</v>
      </c>
      <c r="B42" s="147">
        <v>527589059</v>
      </c>
      <c r="C42" s="148">
        <v>45693</v>
      </c>
      <c r="D42" s="147" t="s">
        <v>245</v>
      </c>
      <c r="E42" s="147" t="s">
        <v>41</v>
      </c>
      <c r="F42" s="147" t="s">
        <v>419</v>
      </c>
      <c r="G42" s="149">
        <v>5244.78</v>
      </c>
      <c r="H42" s="149">
        <v>4682.8100000000004</v>
      </c>
      <c r="I42" s="159">
        <v>-468.2</v>
      </c>
      <c r="J42" s="159">
        <f>I42*K42</f>
        <v>-280.91999999999996</v>
      </c>
      <c r="K42" s="18">
        <v>0.6</v>
      </c>
    </row>
    <row r="43" spans="1:11" x14ac:dyDescent="0.25">
      <c r="A43" s="144" t="s">
        <v>420</v>
      </c>
      <c r="B43" s="147">
        <v>476847738</v>
      </c>
      <c r="C43" s="148">
        <v>45706</v>
      </c>
      <c r="D43" s="147" t="s">
        <v>421</v>
      </c>
      <c r="E43" s="147" t="s">
        <v>38</v>
      </c>
      <c r="F43" s="147" t="s">
        <v>419</v>
      </c>
      <c r="G43" s="149">
        <v>1622.69</v>
      </c>
      <c r="H43" s="149">
        <v>1476.44</v>
      </c>
      <c r="I43" s="159">
        <v>-147.6</v>
      </c>
      <c r="J43" s="159">
        <f>I43*K43</f>
        <v>-88.559999999999988</v>
      </c>
      <c r="K43" s="18">
        <v>0.6</v>
      </c>
    </row>
    <row r="44" spans="1:11" x14ac:dyDescent="0.25">
      <c r="A44" s="10"/>
      <c r="B44" s="11"/>
      <c r="C44" s="12"/>
      <c r="D44" s="11"/>
      <c r="E44" s="11"/>
      <c r="F44" s="11"/>
      <c r="G44" s="16"/>
      <c r="H44" s="16"/>
      <c r="I44" s="17"/>
      <c r="J44" s="17">
        <f t="shared" ref="J44" si="2">I44*K44</f>
        <v>0</v>
      </c>
      <c r="K44" s="18">
        <v>0.6</v>
      </c>
    </row>
    <row r="45" spans="1:11" x14ac:dyDescent="0.25">
      <c r="A45" s="10"/>
      <c r="B45" s="11"/>
      <c r="C45" s="12"/>
      <c r="D45" s="11"/>
      <c r="E45" s="11"/>
      <c r="F45" s="11"/>
      <c r="G45" s="16"/>
      <c r="H45" s="16"/>
      <c r="I45" s="17"/>
      <c r="J45" s="17">
        <f t="shared" si="1"/>
        <v>0</v>
      </c>
      <c r="K45" s="18">
        <v>0.6</v>
      </c>
    </row>
    <row r="46" spans="1:11" x14ac:dyDescent="0.25">
      <c r="A46" s="10"/>
      <c r="B46" s="11"/>
      <c r="C46" s="12"/>
      <c r="D46" s="11"/>
      <c r="E46" s="11"/>
      <c r="F46" s="11"/>
      <c r="G46" s="16"/>
      <c r="H46" s="16"/>
      <c r="I46" s="17"/>
      <c r="J46" s="17">
        <f t="shared" si="1"/>
        <v>0</v>
      </c>
      <c r="K46" s="18">
        <v>0.6</v>
      </c>
    </row>
    <row r="47" spans="1:11" x14ac:dyDescent="0.25">
      <c r="A47" s="10"/>
      <c r="B47" s="11"/>
      <c r="C47" s="12"/>
      <c r="D47" s="11"/>
      <c r="E47" s="11"/>
      <c r="F47" s="11"/>
      <c r="G47" s="16"/>
      <c r="H47" s="16"/>
      <c r="I47" s="17"/>
      <c r="J47" s="17">
        <f t="shared" si="1"/>
        <v>0</v>
      </c>
      <c r="K47" s="18">
        <v>0.6</v>
      </c>
    </row>
    <row r="48" spans="1:11" x14ac:dyDescent="0.25">
      <c r="A48" s="10"/>
      <c r="B48" s="11"/>
      <c r="C48" s="12"/>
      <c r="D48" s="11"/>
      <c r="E48" s="11"/>
      <c r="F48" s="11"/>
      <c r="G48" s="16"/>
      <c r="H48" s="16"/>
      <c r="I48" s="17"/>
      <c r="J48" s="17">
        <f t="shared" si="1"/>
        <v>0</v>
      </c>
      <c r="K48" s="18">
        <v>0.6</v>
      </c>
    </row>
    <row r="49" spans="1:11" x14ac:dyDescent="0.25">
      <c r="A49" s="10"/>
      <c r="B49" s="11"/>
      <c r="C49" s="12"/>
      <c r="D49" s="11"/>
      <c r="E49" s="11"/>
      <c r="F49" s="11"/>
      <c r="G49" s="16"/>
      <c r="H49" s="16"/>
      <c r="I49" s="17"/>
      <c r="J49" s="17">
        <f t="shared" si="1"/>
        <v>0</v>
      </c>
      <c r="K49" s="18">
        <v>0.6</v>
      </c>
    </row>
    <row r="50" spans="1:11" x14ac:dyDescent="0.25">
      <c r="A50" s="10"/>
      <c r="B50" s="11"/>
      <c r="C50" s="12"/>
      <c r="D50" s="11"/>
      <c r="E50" s="11"/>
      <c r="F50" s="11"/>
      <c r="G50" s="16"/>
      <c r="H50" s="16"/>
      <c r="I50" s="17"/>
      <c r="J50" s="17">
        <f t="shared" si="1"/>
        <v>0</v>
      </c>
      <c r="K50" s="18">
        <v>0.6</v>
      </c>
    </row>
    <row r="51" spans="1:11" x14ac:dyDescent="0.25">
      <c r="A51" s="10"/>
      <c r="B51" s="11"/>
      <c r="C51" s="12"/>
      <c r="D51" s="11"/>
      <c r="E51" s="11"/>
      <c r="F51" s="11"/>
      <c r="G51" s="16"/>
      <c r="H51" s="16"/>
      <c r="I51" s="17"/>
      <c r="J51" s="17">
        <f t="shared" si="1"/>
        <v>0</v>
      </c>
      <c r="K51" s="18">
        <v>0.6</v>
      </c>
    </row>
    <row r="52" spans="1:11" x14ac:dyDescent="0.25">
      <c r="A52" s="10"/>
      <c r="B52" s="11"/>
      <c r="C52" s="12"/>
      <c r="D52" s="11"/>
      <c r="E52" s="11"/>
      <c r="F52" s="11"/>
      <c r="G52" s="16"/>
      <c r="H52" s="16"/>
      <c r="I52" s="17"/>
      <c r="J52" s="17">
        <f t="shared" si="1"/>
        <v>0</v>
      </c>
      <c r="K52" s="18">
        <v>0.6</v>
      </c>
    </row>
    <row r="53" spans="1:11" x14ac:dyDescent="0.25">
      <c r="A53" s="10"/>
      <c r="B53" s="11"/>
      <c r="C53" s="12"/>
      <c r="D53" s="11"/>
      <c r="E53" s="11"/>
      <c r="F53" s="11"/>
      <c r="G53" s="16"/>
      <c r="H53" s="16"/>
      <c r="I53" s="17"/>
      <c r="J53" s="17">
        <f t="shared" si="1"/>
        <v>0</v>
      </c>
      <c r="K53" s="18">
        <v>0.6</v>
      </c>
    </row>
    <row r="54" spans="1:11" x14ac:dyDescent="0.25">
      <c r="A54" s="10"/>
      <c r="B54" s="11"/>
      <c r="C54" s="12"/>
      <c r="D54" s="11"/>
      <c r="E54" s="11"/>
      <c r="F54" s="11"/>
      <c r="G54" s="16"/>
      <c r="H54" s="16"/>
      <c r="I54" s="17"/>
      <c r="J54" s="17">
        <f t="shared" si="1"/>
        <v>0</v>
      </c>
      <c r="K54" s="18">
        <v>0.6</v>
      </c>
    </row>
    <row r="55" spans="1:11" x14ac:dyDescent="0.25">
      <c r="A55" s="10"/>
      <c r="B55" s="11"/>
      <c r="C55" s="12"/>
      <c r="D55" s="11"/>
      <c r="E55" s="11"/>
      <c r="F55" s="11"/>
      <c r="G55" s="16"/>
      <c r="H55" s="16"/>
      <c r="I55" s="17"/>
      <c r="J55" s="17">
        <f t="shared" si="1"/>
        <v>0</v>
      </c>
      <c r="K55" s="18">
        <v>0.6</v>
      </c>
    </row>
    <row r="56" spans="1:11" x14ac:dyDescent="0.25">
      <c r="A56" s="11"/>
      <c r="B56" s="11"/>
      <c r="C56" s="12"/>
      <c r="D56" s="11"/>
      <c r="E56" s="11"/>
      <c r="F56" s="11"/>
      <c r="G56" s="16"/>
      <c r="H56" s="16"/>
      <c r="I56" s="17"/>
      <c r="J56" s="17">
        <f t="shared" si="1"/>
        <v>0</v>
      </c>
      <c r="K56" s="18">
        <v>0.6</v>
      </c>
    </row>
    <row r="57" spans="1:11" x14ac:dyDescent="0.25">
      <c r="A57" s="11"/>
      <c r="B57" s="11"/>
      <c r="C57" s="12"/>
      <c r="D57" s="11"/>
      <c r="E57" s="11"/>
      <c r="F57" s="10"/>
      <c r="G57" s="16"/>
      <c r="H57" s="16"/>
      <c r="I57" s="16"/>
      <c r="J57" s="17">
        <f t="shared" si="1"/>
        <v>0</v>
      </c>
      <c r="K57" s="18">
        <v>0.6</v>
      </c>
    </row>
    <row r="58" spans="1:11" x14ac:dyDescent="0.25">
      <c r="A58" s="11"/>
      <c r="B58" s="11"/>
      <c r="C58" s="12"/>
      <c r="D58" s="11"/>
      <c r="E58" s="11"/>
      <c r="F58" s="10"/>
      <c r="G58" s="16"/>
      <c r="H58" s="16"/>
      <c r="I58" s="16"/>
      <c r="J58" s="17">
        <f t="shared" si="1"/>
        <v>0</v>
      </c>
      <c r="K58" s="18">
        <v>0.6</v>
      </c>
    </row>
    <row r="59" spans="1:11" x14ac:dyDescent="0.25">
      <c r="A59" s="10"/>
      <c r="B59" s="10"/>
      <c r="C59" s="9"/>
      <c r="D59" s="10"/>
      <c r="E59" s="10"/>
      <c r="F59" s="6" t="s">
        <v>13</v>
      </c>
      <c r="G59" s="8">
        <f>SUM(G33:G58)</f>
        <v>106693.25</v>
      </c>
      <c r="H59" s="8">
        <f>SUM(H33:H58)</f>
        <v>95966.57</v>
      </c>
      <c r="I59" s="8">
        <f>SUM(I33:I58)</f>
        <v>8364.4699999999993</v>
      </c>
      <c r="J59" s="8">
        <f>SUM(J33:J58)</f>
        <v>5018.6819999999998</v>
      </c>
      <c r="K59" s="6"/>
    </row>
    <row r="60" spans="1:11" x14ac:dyDescent="0.25">
      <c r="A60" s="10"/>
      <c r="B60" s="10"/>
      <c r="C60" s="9"/>
      <c r="D60" s="10"/>
      <c r="E60" s="10"/>
      <c r="F60" s="13" t="s">
        <v>14</v>
      </c>
      <c r="G60" s="21">
        <f>G37</f>
        <v>11839.3</v>
      </c>
      <c r="H60" s="17"/>
      <c r="I60" s="17"/>
      <c r="J60" s="17"/>
      <c r="K60" s="10"/>
    </row>
    <row r="61" spans="1:11" x14ac:dyDescent="0.25">
      <c r="A61" s="15"/>
      <c r="B61" s="15"/>
      <c r="C61" s="15"/>
      <c r="D61" s="15"/>
      <c r="E61" s="15"/>
      <c r="F61" s="22"/>
      <c r="G61" s="15"/>
      <c r="H61" s="15"/>
      <c r="I61" s="15"/>
      <c r="J61" s="15"/>
      <c r="K61" s="15"/>
    </row>
    <row r="62" spans="1:11" x14ac:dyDescent="0.25">
      <c r="A62" s="10" t="s">
        <v>17</v>
      </c>
      <c r="B62" s="10"/>
      <c r="C62" s="9"/>
      <c r="D62" s="10"/>
      <c r="E62" s="10"/>
      <c r="F62" s="10"/>
      <c r="G62" s="17"/>
      <c r="H62" s="17"/>
      <c r="I62" s="17"/>
      <c r="J62" s="17"/>
      <c r="K62" s="10"/>
    </row>
    <row r="63" spans="1:11" x14ac:dyDescent="0.25">
      <c r="A63" s="10" t="s">
        <v>93</v>
      </c>
      <c r="B63" s="10">
        <v>546842851</v>
      </c>
      <c r="C63" s="9">
        <v>45692</v>
      </c>
      <c r="D63" s="10" t="s">
        <v>12</v>
      </c>
      <c r="E63" s="10" t="s">
        <v>41</v>
      </c>
      <c r="F63" s="14" t="s">
        <v>12</v>
      </c>
      <c r="G63" s="48">
        <v>5623.46</v>
      </c>
      <c r="H63" s="48">
        <v>5347.41</v>
      </c>
      <c r="I63" s="48">
        <v>802.05</v>
      </c>
      <c r="J63" s="48">
        <f t="shared" ref="J63:J70" si="3">I63*K63</f>
        <v>481.22999999999996</v>
      </c>
      <c r="K63" s="18">
        <v>0.6</v>
      </c>
    </row>
    <row r="64" spans="1:11" x14ac:dyDescent="0.25">
      <c r="A64" s="10" t="s">
        <v>273</v>
      </c>
      <c r="B64" s="10">
        <v>547864121</v>
      </c>
      <c r="C64" s="9">
        <v>45698</v>
      </c>
      <c r="D64" s="10" t="s">
        <v>12</v>
      </c>
      <c r="E64" s="10" t="s">
        <v>38</v>
      </c>
      <c r="F64" s="14" t="s">
        <v>57</v>
      </c>
      <c r="G64" s="48">
        <v>1130</v>
      </c>
      <c r="H64" s="48">
        <v>1130</v>
      </c>
      <c r="I64" s="48">
        <v>101.7</v>
      </c>
      <c r="J64" s="48">
        <f t="shared" si="3"/>
        <v>61.019999999999996</v>
      </c>
      <c r="K64" s="18">
        <v>0.6</v>
      </c>
    </row>
    <row r="65" spans="1:11" x14ac:dyDescent="0.25">
      <c r="A65" s="10" t="s">
        <v>274</v>
      </c>
      <c r="B65" s="10">
        <v>547863378</v>
      </c>
      <c r="C65" s="9">
        <v>45696</v>
      </c>
      <c r="D65" s="10" t="s">
        <v>12</v>
      </c>
      <c r="E65" s="11" t="s">
        <v>38</v>
      </c>
      <c r="F65" s="14" t="s">
        <v>57</v>
      </c>
      <c r="G65" s="48">
        <v>1792.21</v>
      </c>
      <c r="H65" s="48">
        <v>1792.21</v>
      </c>
      <c r="I65" s="48">
        <v>215.07</v>
      </c>
      <c r="J65" s="48">
        <f t="shared" si="3"/>
        <v>129.042</v>
      </c>
      <c r="K65" s="18">
        <v>0.6</v>
      </c>
    </row>
    <row r="66" spans="1:11" x14ac:dyDescent="0.25">
      <c r="A66" s="10" t="s">
        <v>275</v>
      </c>
      <c r="B66" s="10">
        <v>547862049</v>
      </c>
      <c r="C66" s="9">
        <v>45696</v>
      </c>
      <c r="D66" s="10" t="s">
        <v>12</v>
      </c>
      <c r="E66" s="10" t="s">
        <v>38</v>
      </c>
      <c r="F66" s="14" t="s">
        <v>57</v>
      </c>
      <c r="G66" s="48">
        <v>2082.83</v>
      </c>
      <c r="H66" s="48">
        <v>2082.83</v>
      </c>
      <c r="I66" s="48">
        <v>249.94</v>
      </c>
      <c r="J66" s="48">
        <f t="shared" si="3"/>
        <v>149.964</v>
      </c>
      <c r="K66" s="18">
        <v>0.6</v>
      </c>
    </row>
    <row r="67" spans="1:11" x14ac:dyDescent="0.25">
      <c r="A67" s="10" t="s">
        <v>276</v>
      </c>
      <c r="B67" s="10">
        <v>544238809</v>
      </c>
      <c r="C67" s="9">
        <v>45704</v>
      </c>
      <c r="D67" s="10" t="s">
        <v>12</v>
      </c>
      <c r="E67" s="10" t="s">
        <v>41</v>
      </c>
      <c r="F67" s="14" t="s">
        <v>12</v>
      </c>
      <c r="G67" s="48">
        <v>21525.93</v>
      </c>
      <c r="H67" s="48">
        <v>20461</v>
      </c>
      <c r="I67" s="48">
        <v>3069.15</v>
      </c>
      <c r="J67" s="48">
        <f t="shared" si="3"/>
        <v>1841.49</v>
      </c>
      <c r="K67" s="18">
        <v>0.6</v>
      </c>
    </row>
    <row r="68" spans="1:11" x14ac:dyDescent="0.25">
      <c r="A68" s="10" t="s">
        <v>277</v>
      </c>
      <c r="B68" s="10">
        <v>550198146</v>
      </c>
      <c r="C68" s="9">
        <v>45707</v>
      </c>
      <c r="D68" s="10" t="s">
        <v>12</v>
      </c>
      <c r="E68" s="10" t="s">
        <v>38</v>
      </c>
      <c r="F68" s="14" t="s">
        <v>408</v>
      </c>
      <c r="G68" s="48">
        <v>3918.08</v>
      </c>
      <c r="H68" s="48">
        <v>3719.76</v>
      </c>
      <c r="I68" s="48">
        <v>557.85</v>
      </c>
      <c r="J68" s="48">
        <f>I68*K68</f>
        <v>334.71</v>
      </c>
      <c r="K68" s="18">
        <v>0.6</v>
      </c>
    </row>
    <row r="69" spans="1:11" x14ac:dyDescent="0.25">
      <c r="A69" s="10" t="s">
        <v>290</v>
      </c>
      <c r="B69" s="10">
        <v>6827532</v>
      </c>
      <c r="C69" s="9">
        <v>45695</v>
      </c>
      <c r="D69" s="10" t="s">
        <v>12</v>
      </c>
      <c r="E69" s="10" t="s">
        <v>38</v>
      </c>
      <c r="F69" s="14" t="s">
        <v>290</v>
      </c>
      <c r="G69" s="48">
        <v>16065.32</v>
      </c>
      <c r="H69" s="48">
        <v>16065.32</v>
      </c>
      <c r="I69" s="48">
        <v>2409.75</v>
      </c>
      <c r="J69" s="48">
        <f t="shared" si="3"/>
        <v>1445.85</v>
      </c>
      <c r="K69" s="18">
        <v>0.6</v>
      </c>
    </row>
    <row r="70" spans="1:11" x14ac:dyDescent="0.25">
      <c r="A70" s="10" t="s">
        <v>341</v>
      </c>
      <c r="B70" s="10">
        <v>7418112</v>
      </c>
      <c r="C70" s="9">
        <v>45705</v>
      </c>
      <c r="D70" s="10" t="s">
        <v>12</v>
      </c>
      <c r="E70" s="10" t="s">
        <v>38</v>
      </c>
      <c r="F70" s="11" t="s">
        <v>258</v>
      </c>
      <c r="G70" s="49">
        <v>23330.41</v>
      </c>
      <c r="H70" s="49">
        <v>23330.41</v>
      </c>
      <c r="I70" s="48">
        <v>3499.5</v>
      </c>
      <c r="J70" s="48">
        <f t="shared" si="3"/>
        <v>2099.6999999999998</v>
      </c>
      <c r="K70" s="18">
        <v>0.6</v>
      </c>
    </row>
    <row r="71" spans="1:11" x14ac:dyDescent="0.25">
      <c r="A71" s="10"/>
      <c r="B71" s="10"/>
      <c r="C71" s="9"/>
      <c r="D71" s="10"/>
      <c r="E71" s="10"/>
      <c r="F71" s="6" t="s">
        <v>13</v>
      </c>
      <c r="G71" s="8">
        <f>SUM(G63:G70)</f>
        <v>75468.240000000005</v>
      </c>
      <c r="H71" s="8">
        <f>SUM(H63:H70)</f>
        <v>73928.94</v>
      </c>
      <c r="I71" s="8">
        <f>SUM(I63:I70)</f>
        <v>10905.01</v>
      </c>
      <c r="J71" s="8">
        <f>SUM(J63:J70)</f>
        <v>6543.0060000000003</v>
      </c>
      <c r="K71" s="6"/>
    </row>
    <row r="72" spans="1:11" x14ac:dyDescent="0.25">
      <c r="A72" s="10"/>
      <c r="B72" s="10"/>
      <c r="C72" s="9"/>
      <c r="D72" s="10"/>
      <c r="E72" s="10"/>
      <c r="F72" s="10"/>
      <c r="G72" s="17"/>
      <c r="H72" s="17"/>
      <c r="I72" s="17"/>
      <c r="J72" s="17"/>
      <c r="K72" s="10"/>
    </row>
    <row r="73" spans="1:11" x14ac:dyDescent="0.25">
      <c r="A73" s="10"/>
      <c r="B73" s="10"/>
      <c r="C73" s="9"/>
      <c r="D73" s="10"/>
      <c r="E73" s="10"/>
      <c r="F73" s="13" t="s">
        <v>14</v>
      </c>
      <c r="G73" s="21">
        <f>G63+G67</f>
        <v>27149.39</v>
      </c>
      <c r="H73" s="17"/>
      <c r="I73" s="17"/>
      <c r="J73" s="17"/>
      <c r="K73" s="10"/>
    </row>
    <row r="74" spans="1:11" x14ac:dyDescent="0.25">
      <c r="A74" s="10"/>
      <c r="B74" s="10"/>
      <c r="C74" s="9"/>
      <c r="D74" s="151"/>
      <c r="E74" s="152" t="s">
        <v>18</v>
      </c>
      <c r="F74" s="152"/>
      <c r="G74" s="21">
        <f>G73/6</f>
        <v>4524.8983333333335</v>
      </c>
      <c r="H74" s="17"/>
      <c r="I74" s="17"/>
      <c r="J74" s="17"/>
      <c r="K74" s="10"/>
    </row>
    <row r="75" spans="1:11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</row>
    <row r="76" spans="1:11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</row>
    <row r="77" spans="1:11" x14ac:dyDescent="0.25">
      <c r="A77" s="23"/>
      <c r="B77" s="23"/>
      <c r="C77" s="23"/>
      <c r="D77" s="24"/>
      <c r="E77" s="23"/>
      <c r="F77" s="23"/>
      <c r="G77" s="23"/>
      <c r="H77" s="24"/>
      <c r="I77" s="24"/>
      <c r="J77" s="24"/>
      <c r="K77" s="24"/>
    </row>
    <row r="78" spans="1:11" x14ac:dyDescent="0.25">
      <c r="A78" s="25" t="s">
        <v>19</v>
      </c>
      <c r="B78" s="26"/>
      <c r="C78" s="27">
        <f>G29</f>
        <v>34169.919999999998</v>
      </c>
      <c r="D78" s="24"/>
      <c r="E78" s="135" t="s">
        <v>20</v>
      </c>
      <c r="F78" s="25"/>
      <c r="G78" s="27">
        <f>G61</f>
        <v>0</v>
      </c>
      <c r="H78" s="43"/>
      <c r="I78" s="25" t="s">
        <v>21</v>
      </c>
      <c r="J78" s="25"/>
      <c r="K78" s="28">
        <f>G73</f>
        <v>27149.39</v>
      </c>
    </row>
    <row r="79" spans="1:11" x14ac:dyDescent="0.25">
      <c r="A79" s="26" t="s">
        <v>22</v>
      </c>
      <c r="B79" s="26"/>
      <c r="C79" s="27">
        <f>G30</f>
        <v>5694.9866666666667</v>
      </c>
      <c r="D79" s="136"/>
      <c r="E79" s="137"/>
      <c r="F79" s="137"/>
      <c r="G79" s="26" t="s">
        <v>12</v>
      </c>
      <c r="H79" s="24"/>
      <c r="I79" s="26" t="s">
        <v>23</v>
      </c>
      <c r="J79" s="26"/>
      <c r="K79" s="29">
        <f>G74</f>
        <v>4524.8983333333335</v>
      </c>
    </row>
    <row r="80" spans="1:11" x14ac:dyDescent="0.25">
      <c r="A80" s="26" t="s">
        <v>24</v>
      </c>
      <c r="B80" s="26"/>
      <c r="C80" s="27">
        <f>J28</f>
        <v>14476.031999999997</v>
      </c>
      <c r="D80" s="136"/>
      <c r="E80" s="137" t="s">
        <v>25</v>
      </c>
      <c r="F80" s="137"/>
      <c r="G80" s="27">
        <f>J59</f>
        <v>5018.6819999999998</v>
      </c>
      <c r="H80" s="24"/>
      <c r="I80" s="26" t="s">
        <v>26</v>
      </c>
      <c r="J80" s="26"/>
      <c r="K80" s="29">
        <f>J71</f>
        <v>6543.0060000000003</v>
      </c>
    </row>
    <row r="81" spans="1:11" x14ac:dyDescent="0.25">
      <c r="A81" s="26"/>
      <c r="B81" s="26"/>
      <c r="C81" s="27"/>
      <c r="D81" s="136"/>
      <c r="E81" s="137"/>
      <c r="F81" s="137"/>
      <c r="G81" s="27"/>
      <c r="H81" s="24"/>
      <c r="I81" s="26"/>
      <c r="J81" s="26"/>
      <c r="K81" s="30"/>
    </row>
    <row r="82" spans="1:11" x14ac:dyDescent="0.25">
      <c r="A82" s="26"/>
      <c r="B82" s="26"/>
      <c r="C82" s="26"/>
      <c r="D82" s="24"/>
      <c r="E82" s="26"/>
      <c r="F82" s="26"/>
      <c r="G82" s="26"/>
      <c r="H82" s="24"/>
      <c r="I82" s="31"/>
      <c r="J82" s="31"/>
      <c r="K82" s="30"/>
    </row>
    <row r="83" spans="1:11" x14ac:dyDescent="0.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</row>
    <row r="84" spans="1:11" x14ac:dyDescent="0.25">
      <c r="A84" s="42" t="s">
        <v>27</v>
      </c>
      <c r="B84" s="32"/>
      <c r="C84" s="32"/>
      <c r="D84" s="15"/>
      <c r="E84" s="42" t="s">
        <v>28</v>
      </c>
      <c r="F84" s="32"/>
      <c r="G84" s="32"/>
      <c r="H84" s="15"/>
      <c r="I84" s="58" t="s">
        <v>104</v>
      </c>
      <c r="J84" s="59"/>
      <c r="K84" s="59"/>
    </row>
    <row r="85" spans="1:11" x14ac:dyDescent="0.25">
      <c r="A85" s="33"/>
      <c r="B85" s="33"/>
      <c r="C85" s="34"/>
      <c r="D85" s="15"/>
      <c r="E85" s="10"/>
      <c r="F85" s="10"/>
      <c r="G85" s="10"/>
      <c r="H85" s="17"/>
      <c r="I85" s="59"/>
      <c r="J85" s="59"/>
      <c r="K85" s="59"/>
    </row>
    <row r="86" spans="1:11" x14ac:dyDescent="0.25">
      <c r="A86" s="44" t="s">
        <v>29</v>
      </c>
      <c r="B86" s="44"/>
      <c r="C86" s="34">
        <f>J2</f>
        <v>182064.51</v>
      </c>
      <c r="D86" s="53"/>
      <c r="E86" s="54" t="s">
        <v>30</v>
      </c>
      <c r="F86" s="54"/>
      <c r="G86" s="54"/>
      <c r="H86" s="17"/>
      <c r="I86" s="60" t="s">
        <v>409</v>
      </c>
      <c r="J86" s="60">
        <v>14850</v>
      </c>
      <c r="K86" s="61">
        <v>45742</v>
      </c>
    </row>
    <row r="87" spans="1:11" x14ac:dyDescent="0.25">
      <c r="A87" s="44" t="s">
        <v>31</v>
      </c>
      <c r="B87" s="44"/>
      <c r="C87" s="52">
        <f>C80+G80+K80</f>
        <v>26037.719999999998</v>
      </c>
      <c r="D87" s="53"/>
      <c r="E87" s="54" t="s">
        <v>32</v>
      </c>
      <c r="F87" s="54"/>
      <c r="G87" s="55">
        <f>G30</f>
        <v>5694.9866666666667</v>
      </c>
      <c r="H87" s="35"/>
      <c r="I87" s="60" t="s">
        <v>410</v>
      </c>
      <c r="J87" s="60">
        <v>8023</v>
      </c>
      <c r="K87" s="61">
        <v>45741</v>
      </c>
    </row>
    <row r="88" spans="1:11" x14ac:dyDescent="0.25">
      <c r="A88" s="138" t="s">
        <v>445</v>
      </c>
      <c r="B88" s="139"/>
      <c r="C88" s="139">
        <f>G17+G42</f>
        <v>17771.98</v>
      </c>
      <c r="D88" s="53"/>
      <c r="E88" s="54" t="s">
        <v>33</v>
      </c>
      <c r="F88" s="54"/>
      <c r="G88" s="55">
        <f>G60</f>
        <v>11839.3</v>
      </c>
      <c r="H88" s="36"/>
      <c r="I88" s="60" t="s">
        <v>360</v>
      </c>
      <c r="J88" s="60">
        <v>2830</v>
      </c>
      <c r="K88" s="61">
        <v>45741</v>
      </c>
    </row>
    <row r="89" spans="1:11" x14ac:dyDescent="0.25">
      <c r="A89" s="63" t="s">
        <v>109</v>
      </c>
      <c r="B89" s="63"/>
      <c r="C89" s="63">
        <f>J99</f>
        <v>50799.44</v>
      </c>
      <c r="D89" s="53"/>
      <c r="E89" s="50" t="s">
        <v>446</v>
      </c>
      <c r="F89" s="51"/>
      <c r="G89" s="51">
        <v>6293.7</v>
      </c>
      <c r="H89" s="36"/>
      <c r="I89" s="60" t="s">
        <v>411</v>
      </c>
      <c r="J89" s="60">
        <v>11080</v>
      </c>
      <c r="K89" s="61">
        <v>45729</v>
      </c>
    </row>
    <row r="90" spans="1:11" x14ac:dyDescent="0.25">
      <c r="A90" s="37" t="s">
        <v>13</v>
      </c>
      <c r="B90" s="37"/>
      <c r="C90" s="35">
        <f>C86+C87+C88+C89</f>
        <v>276673.65000000002</v>
      </c>
      <c r="D90" s="53"/>
      <c r="E90" s="50" t="s">
        <v>447</v>
      </c>
      <c r="F90" s="51"/>
      <c r="G90" s="51">
        <v>814.2</v>
      </c>
      <c r="H90" s="17"/>
      <c r="I90" s="60" t="s">
        <v>412</v>
      </c>
      <c r="J90" s="60">
        <v>8960</v>
      </c>
      <c r="K90" s="61">
        <v>45728</v>
      </c>
    </row>
    <row r="91" spans="1:11" x14ac:dyDescent="0.25">
      <c r="A91" s="15"/>
      <c r="B91" s="15"/>
      <c r="C91" s="15"/>
      <c r="D91" s="53"/>
      <c r="E91" s="50" t="s">
        <v>448</v>
      </c>
      <c r="F91" s="51"/>
      <c r="G91" s="51">
        <v>1578.29</v>
      </c>
      <c r="H91" s="17"/>
      <c r="I91" s="60" t="s">
        <v>413</v>
      </c>
      <c r="J91" s="60">
        <v>2100</v>
      </c>
      <c r="K91" s="61">
        <v>45726</v>
      </c>
    </row>
    <row r="92" spans="1:11" x14ac:dyDescent="0.25">
      <c r="A92" s="15"/>
      <c r="B92" s="15"/>
      <c r="C92" s="15"/>
      <c r="D92" s="53"/>
      <c r="E92" s="50" t="s">
        <v>449</v>
      </c>
      <c r="F92" s="51"/>
      <c r="G92" s="51">
        <v>2097.2399999999998</v>
      </c>
      <c r="H92" s="17"/>
      <c r="I92" s="60" t="s">
        <v>414</v>
      </c>
      <c r="J92" s="60">
        <v>1550</v>
      </c>
      <c r="K92" s="61">
        <v>45723</v>
      </c>
    </row>
    <row r="93" spans="1:11" x14ac:dyDescent="0.25">
      <c r="A93" s="15"/>
      <c r="B93" s="15"/>
      <c r="C93" s="15"/>
      <c r="D93" s="53"/>
      <c r="E93" s="50" t="s">
        <v>450</v>
      </c>
      <c r="F93" s="51"/>
      <c r="G93" s="51">
        <v>2151.1799999999998</v>
      </c>
      <c r="H93" s="17"/>
      <c r="I93" s="60" t="s">
        <v>415</v>
      </c>
      <c r="J93" s="60">
        <v>1250</v>
      </c>
      <c r="K93" s="61">
        <v>45722</v>
      </c>
    </row>
    <row r="94" spans="1:11" x14ac:dyDescent="0.25">
      <c r="A94" s="15"/>
      <c r="B94" s="15"/>
      <c r="C94" s="15"/>
      <c r="D94" s="53"/>
      <c r="E94" s="50" t="s">
        <v>451</v>
      </c>
      <c r="F94" s="51"/>
      <c r="G94" s="55">
        <v>1848.76</v>
      </c>
      <c r="H94" s="17"/>
      <c r="I94" s="60" t="s">
        <v>210</v>
      </c>
      <c r="J94" s="60">
        <v>156.44</v>
      </c>
      <c r="K94" s="61">
        <v>45721</v>
      </c>
    </row>
    <row r="95" spans="1:11" x14ac:dyDescent="0.25">
      <c r="A95" s="15"/>
      <c r="B95" s="15"/>
      <c r="C95" s="15"/>
      <c r="D95" s="53"/>
      <c r="E95" s="50" t="s">
        <v>461</v>
      </c>
      <c r="F95" s="51"/>
      <c r="G95" s="51">
        <v>1402.42</v>
      </c>
      <c r="H95" s="17"/>
      <c r="I95" s="59"/>
      <c r="J95" s="59"/>
      <c r="K95" s="59"/>
    </row>
    <row r="96" spans="1:11" x14ac:dyDescent="0.25">
      <c r="A96" s="15"/>
      <c r="B96" s="15"/>
      <c r="C96" s="15"/>
      <c r="D96" s="53"/>
      <c r="E96" s="50" t="s">
        <v>456</v>
      </c>
      <c r="F96" s="51"/>
      <c r="G96" s="55">
        <v>7397.7</v>
      </c>
      <c r="H96" s="17"/>
      <c r="I96" s="59"/>
      <c r="J96" s="59"/>
      <c r="K96" s="59"/>
    </row>
    <row r="97" spans="1:11" x14ac:dyDescent="0.25">
      <c r="A97" s="15"/>
      <c r="B97" s="15"/>
      <c r="C97" s="15"/>
      <c r="D97" s="140"/>
      <c r="E97" s="50" t="s">
        <v>460</v>
      </c>
      <c r="F97" s="56"/>
      <c r="G97" s="57">
        <v>43.43</v>
      </c>
      <c r="H97" s="17"/>
      <c r="I97" s="59"/>
      <c r="J97" s="59"/>
      <c r="K97" s="59"/>
    </row>
    <row r="98" spans="1:11" x14ac:dyDescent="0.25">
      <c r="A98" s="15"/>
      <c r="B98" s="15"/>
      <c r="C98" s="15"/>
      <c r="D98" s="140"/>
      <c r="E98" s="50" t="s">
        <v>458</v>
      </c>
      <c r="F98" s="51"/>
      <c r="G98" s="55">
        <f>G30</f>
        <v>5694.9866666666667</v>
      </c>
      <c r="H98" s="17"/>
      <c r="I98" s="59"/>
      <c r="J98" s="59"/>
      <c r="K98" s="59"/>
    </row>
    <row r="99" spans="1:11" x14ac:dyDescent="0.25">
      <c r="A99" s="15"/>
      <c r="B99" s="15"/>
      <c r="C99" s="15"/>
      <c r="D99" s="140"/>
      <c r="E99" s="50" t="s">
        <v>459</v>
      </c>
      <c r="F99" s="56"/>
      <c r="G99" s="51">
        <f>G74</f>
        <v>4524.8983333333335</v>
      </c>
      <c r="H99" s="17"/>
      <c r="I99" s="58" t="s">
        <v>13</v>
      </c>
      <c r="J99" s="58">
        <f>J86+J87+J88+J89+J90+J91+J92+J93+J94+J95+J96+J97+J98</f>
        <v>50799.44</v>
      </c>
      <c r="K99" s="58"/>
    </row>
    <row r="100" spans="1:11" x14ac:dyDescent="0.25">
      <c r="A100" s="15"/>
      <c r="B100" s="15"/>
      <c r="C100" s="15"/>
      <c r="D100" s="140"/>
      <c r="E100" s="51"/>
      <c r="F100" s="51"/>
      <c r="G100" s="55"/>
      <c r="H100" s="17"/>
      <c r="I100" s="15"/>
      <c r="J100" s="15"/>
      <c r="K100" s="15"/>
    </row>
    <row r="101" spans="1:11" x14ac:dyDescent="0.25">
      <c r="A101" s="15"/>
      <c r="B101" s="15"/>
      <c r="C101" s="15"/>
      <c r="D101" s="53"/>
      <c r="E101" s="44" t="s">
        <v>13</v>
      </c>
      <c r="F101" s="56"/>
      <c r="G101" s="57">
        <f>SUM(G87:G99)</f>
        <v>51381.09166666666</v>
      </c>
      <c r="H101" s="38"/>
      <c r="I101" s="15"/>
      <c r="J101" s="15"/>
      <c r="K101" s="15"/>
    </row>
    <row r="102" spans="1:1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</row>
    <row r="103" spans="1:11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</row>
    <row r="104" spans="1:11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</row>
    <row r="105" spans="1:11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</row>
    <row r="106" spans="1:11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</row>
    <row r="107" spans="1:11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</row>
    <row r="108" spans="1:11" x14ac:dyDescent="0.25">
      <c r="A108" s="15"/>
      <c r="B108" s="15"/>
      <c r="C108" s="39" t="s">
        <v>35</v>
      </c>
      <c r="D108" s="39"/>
      <c r="E108" s="40">
        <f>C90-G101</f>
        <v>225292.55833333335</v>
      </c>
      <c r="F108" s="15"/>
      <c r="G108" s="15"/>
      <c r="H108" s="15"/>
      <c r="I108" s="15"/>
      <c r="J108" s="15"/>
      <c r="K108" s="15"/>
    </row>
    <row r="109" spans="1:11" x14ac:dyDescent="0.25">
      <c r="A109" s="15"/>
      <c r="B109" s="15"/>
      <c r="C109" s="37"/>
      <c r="D109" s="37"/>
      <c r="E109" s="37"/>
      <c r="F109" s="15"/>
      <c r="G109" s="15"/>
      <c r="H109" s="15"/>
      <c r="I109" s="15"/>
      <c r="J109" s="15"/>
      <c r="K109" s="15"/>
    </row>
  </sheetData>
  <conditionalFormatting sqref="E1 E3:E60">
    <cfRule type="cellIs" dxfId="55" priority="3" operator="equal">
      <formula>"K.KART"</formula>
    </cfRule>
    <cfRule type="cellIs" dxfId="54" priority="4" operator="equal">
      <formula>"AÇIK"</formula>
    </cfRule>
  </conditionalFormatting>
  <conditionalFormatting sqref="E62:E74">
    <cfRule type="cellIs" dxfId="53" priority="1" operator="equal">
      <formula>"K.KART"</formula>
    </cfRule>
    <cfRule type="cellIs" dxfId="52" priority="2" operator="equal">
      <formula>"AÇIK"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00718-B0CC-40A6-BB28-3C9FEE30816D}">
  <dimension ref="A1:K108"/>
  <sheetViews>
    <sheetView workbookViewId="0">
      <selection activeCell="E108" sqref="E108"/>
    </sheetView>
  </sheetViews>
  <sheetFormatPr defaultRowHeight="15" x14ac:dyDescent="0.25"/>
  <cols>
    <col min="1" max="1" width="22.7109375" customWidth="1"/>
    <col min="2" max="2" width="13.140625" customWidth="1"/>
    <col min="3" max="3" width="12.140625" customWidth="1"/>
    <col min="4" max="4" width="10.7109375" customWidth="1"/>
    <col min="5" max="5" width="12.5703125" customWidth="1"/>
    <col min="6" max="6" width="26.140625" customWidth="1"/>
    <col min="7" max="7" width="12.5703125" customWidth="1"/>
    <col min="8" max="8" width="10.7109375" customWidth="1"/>
    <col min="9" max="9" width="14.42578125" customWidth="1"/>
    <col min="10" max="10" width="17.42578125" customWidth="1"/>
    <col min="11" max="11" width="10.140625" bestFit="1" customWidth="1"/>
  </cols>
  <sheetData>
    <row r="1" spans="1:11" x14ac:dyDescent="0.25">
      <c r="A1" s="41" t="s">
        <v>285</v>
      </c>
      <c r="B1" s="2"/>
      <c r="C1" s="1"/>
      <c r="D1" s="2"/>
      <c r="E1" s="3"/>
      <c r="F1" s="3"/>
      <c r="G1" s="4"/>
      <c r="H1" s="4"/>
      <c r="I1" s="4"/>
      <c r="J1" s="4"/>
      <c r="K1" s="2"/>
    </row>
    <row r="2" spans="1:11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40">
        <v>225292.56</v>
      </c>
      <c r="K2" s="5"/>
    </row>
    <row r="3" spans="1:11" x14ac:dyDescent="0.25">
      <c r="A3" s="6" t="s">
        <v>1</v>
      </c>
      <c r="B3" s="6" t="s">
        <v>2</v>
      </c>
      <c r="C3" s="7" t="s">
        <v>3</v>
      </c>
      <c r="D3" s="6" t="s">
        <v>4</v>
      </c>
      <c r="E3" s="6" t="s">
        <v>5</v>
      </c>
      <c r="F3" s="6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6" t="s">
        <v>11</v>
      </c>
    </row>
    <row r="4" spans="1:11" x14ac:dyDescent="0.25">
      <c r="A4" s="10" t="s">
        <v>283</v>
      </c>
      <c r="B4" s="10">
        <v>551458659</v>
      </c>
      <c r="C4" s="9">
        <v>45717</v>
      </c>
      <c r="D4" s="10" t="s">
        <v>284</v>
      </c>
      <c r="E4" s="10" t="s">
        <v>38</v>
      </c>
      <c r="F4" s="10" t="s">
        <v>283</v>
      </c>
      <c r="G4" s="16">
        <v>6781.07</v>
      </c>
      <c r="H4" s="17">
        <v>6458.16</v>
      </c>
      <c r="I4" s="17">
        <v>968.7</v>
      </c>
      <c r="J4" s="17">
        <f>I4*K4</f>
        <v>581.22</v>
      </c>
      <c r="K4" s="18">
        <v>0.6</v>
      </c>
    </row>
    <row r="5" spans="1:11" x14ac:dyDescent="0.25">
      <c r="A5" s="10" t="s">
        <v>290</v>
      </c>
      <c r="B5" s="10">
        <v>551486812</v>
      </c>
      <c r="C5" s="9">
        <v>45724</v>
      </c>
      <c r="D5" s="10" t="s">
        <v>299</v>
      </c>
      <c r="E5" s="10" t="s">
        <v>38</v>
      </c>
      <c r="F5" s="10" t="s">
        <v>290</v>
      </c>
      <c r="G5" s="17">
        <v>21768.32</v>
      </c>
      <c r="H5" s="17">
        <v>21768.32</v>
      </c>
      <c r="I5" s="17">
        <v>3109.76</v>
      </c>
      <c r="J5" s="17">
        <f t="shared" ref="J5:J13" si="0">I5*K5</f>
        <v>1865.856</v>
      </c>
      <c r="K5" s="18">
        <v>0.6</v>
      </c>
    </row>
    <row r="6" spans="1:11" x14ac:dyDescent="0.25">
      <c r="A6" s="10" t="s">
        <v>300</v>
      </c>
      <c r="B6" s="10">
        <v>551482083</v>
      </c>
      <c r="C6" s="9">
        <v>45734</v>
      </c>
      <c r="D6" s="10" t="s">
        <v>301</v>
      </c>
      <c r="E6" s="10" t="s">
        <v>41</v>
      </c>
      <c r="F6" s="10" t="s">
        <v>12</v>
      </c>
      <c r="G6" s="17">
        <v>6149.95</v>
      </c>
      <c r="H6" s="17">
        <v>5857.1</v>
      </c>
      <c r="I6" s="17">
        <v>878.57</v>
      </c>
      <c r="J6" s="17">
        <f t="shared" si="0"/>
        <v>527.14200000000005</v>
      </c>
      <c r="K6" s="18">
        <v>0.6</v>
      </c>
    </row>
    <row r="7" spans="1:11" x14ac:dyDescent="0.25">
      <c r="A7" s="10" t="s">
        <v>302</v>
      </c>
      <c r="B7" s="10">
        <v>553898799</v>
      </c>
      <c r="C7" s="9">
        <v>45734</v>
      </c>
      <c r="D7" s="19" t="s">
        <v>303</v>
      </c>
      <c r="E7" s="10" t="s">
        <v>38</v>
      </c>
      <c r="F7" s="10" t="s">
        <v>57</v>
      </c>
      <c r="G7" s="17">
        <v>17123.86</v>
      </c>
      <c r="H7" s="17">
        <v>16308.43</v>
      </c>
      <c r="I7" s="17">
        <v>2446.27</v>
      </c>
      <c r="J7" s="17">
        <f t="shared" si="0"/>
        <v>1467.7619999999999</v>
      </c>
      <c r="K7" s="18">
        <v>0.6</v>
      </c>
    </row>
    <row r="8" spans="1:11" x14ac:dyDescent="0.25">
      <c r="A8" s="10" t="s">
        <v>308</v>
      </c>
      <c r="B8" s="10">
        <v>551507092</v>
      </c>
      <c r="C8" s="9">
        <v>45726</v>
      </c>
      <c r="D8" s="19" t="s">
        <v>309</v>
      </c>
      <c r="E8" s="10" t="s">
        <v>38</v>
      </c>
      <c r="F8" s="10" t="s">
        <v>369</v>
      </c>
      <c r="G8" s="17">
        <v>9248.74</v>
      </c>
      <c r="H8" s="17">
        <v>8808.33</v>
      </c>
      <c r="I8" s="17">
        <v>1321.25</v>
      </c>
      <c r="J8" s="17">
        <f t="shared" si="0"/>
        <v>792.75</v>
      </c>
      <c r="K8" s="18">
        <v>0.6</v>
      </c>
    </row>
    <row r="9" spans="1:11" x14ac:dyDescent="0.25">
      <c r="A9" s="10" t="s">
        <v>316</v>
      </c>
      <c r="B9" s="10">
        <v>551511933</v>
      </c>
      <c r="C9" s="9">
        <v>45728</v>
      </c>
      <c r="D9" s="10" t="s">
        <v>317</v>
      </c>
      <c r="E9" s="10" t="s">
        <v>38</v>
      </c>
      <c r="F9" s="10" t="s">
        <v>368</v>
      </c>
      <c r="G9" s="17">
        <v>22267.53</v>
      </c>
      <c r="H9" s="17">
        <v>21207.17</v>
      </c>
      <c r="I9" s="17">
        <v>3181.08</v>
      </c>
      <c r="J9" s="17">
        <f t="shared" si="0"/>
        <v>1908.6479999999999</v>
      </c>
      <c r="K9" s="18">
        <v>0.6</v>
      </c>
    </row>
    <row r="10" spans="1:11" x14ac:dyDescent="0.25">
      <c r="A10" s="10" t="s">
        <v>319</v>
      </c>
      <c r="B10" s="10">
        <v>553637756</v>
      </c>
      <c r="C10" s="9">
        <v>45730</v>
      </c>
      <c r="D10" s="10" t="s">
        <v>320</v>
      </c>
      <c r="E10" s="10" t="s">
        <v>38</v>
      </c>
      <c r="F10" s="10" t="s">
        <v>319</v>
      </c>
      <c r="G10" s="17">
        <v>13375.25</v>
      </c>
      <c r="H10" s="17">
        <v>12738.33</v>
      </c>
      <c r="I10" s="17">
        <v>1910.75</v>
      </c>
      <c r="J10" s="17">
        <f t="shared" si="0"/>
        <v>1146.45</v>
      </c>
      <c r="K10" s="18">
        <v>0.6</v>
      </c>
    </row>
    <row r="11" spans="1:11" x14ac:dyDescent="0.25">
      <c r="A11" s="10" t="s">
        <v>324</v>
      </c>
      <c r="B11" s="10">
        <v>555680862</v>
      </c>
      <c r="C11" s="9">
        <v>45729</v>
      </c>
      <c r="D11" s="10" t="s">
        <v>43</v>
      </c>
      <c r="E11" s="10" t="s">
        <v>38</v>
      </c>
      <c r="F11" s="10" t="s">
        <v>325</v>
      </c>
      <c r="G11" s="17">
        <v>13187</v>
      </c>
      <c r="H11" s="17">
        <v>12559.04</v>
      </c>
      <c r="I11" s="17">
        <v>1883.86</v>
      </c>
      <c r="J11" s="17">
        <f t="shared" si="0"/>
        <v>1130.3159999999998</v>
      </c>
      <c r="K11" s="18">
        <v>0.6</v>
      </c>
    </row>
    <row r="12" spans="1:11" x14ac:dyDescent="0.25">
      <c r="A12" s="10" t="s">
        <v>326</v>
      </c>
      <c r="B12" s="10">
        <v>553633191</v>
      </c>
      <c r="C12" s="9">
        <v>45729</v>
      </c>
      <c r="D12" s="10" t="s">
        <v>327</v>
      </c>
      <c r="E12" s="10" t="s">
        <v>38</v>
      </c>
      <c r="F12" s="10" t="s">
        <v>57</v>
      </c>
      <c r="G12" s="17">
        <v>11495.67</v>
      </c>
      <c r="H12" s="17">
        <v>10948.25</v>
      </c>
      <c r="I12" s="17">
        <v>1642.24</v>
      </c>
      <c r="J12" s="17">
        <f t="shared" si="0"/>
        <v>985.34399999999994</v>
      </c>
      <c r="K12" s="18">
        <v>0.6</v>
      </c>
    </row>
    <row r="13" spans="1:11" x14ac:dyDescent="0.25">
      <c r="A13" s="10" t="s">
        <v>328</v>
      </c>
      <c r="B13" s="10">
        <v>554214258</v>
      </c>
      <c r="C13" s="9">
        <v>45733</v>
      </c>
      <c r="D13" s="10" t="s">
        <v>329</v>
      </c>
      <c r="E13" s="10" t="s">
        <v>41</v>
      </c>
      <c r="F13" s="10" t="s">
        <v>12</v>
      </c>
      <c r="G13" s="17">
        <v>13619.88</v>
      </c>
      <c r="H13" s="17">
        <v>12971.31</v>
      </c>
      <c r="I13" s="17">
        <v>1945.7</v>
      </c>
      <c r="J13" s="17">
        <f t="shared" si="0"/>
        <v>1167.42</v>
      </c>
      <c r="K13" s="18">
        <v>0.6</v>
      </c>
    </row>
    <row r="14" spans="1:11" x14ac:dyDescent="0.25">
      <c r="A14" s="10" t="s">
        <v>342</v>
      </c>
      <c r="B14" s="10">
        <v>555966712</v>
      </c>
      <c r="C14" s="9">
        <v>45736</v>
      </c>
      <c r="D14" s="10" t="s">
        <v>343</v>
      </c>
      <c r="E14" s="10" t="s">
        <v>38</v>
      </c>
      <c r="F14" s="10" t="s">
        <v>48</v>
      </c>
      <c r="G14" s="17">
        <v>18134.310000000001</v>
      </c>
      <c r="H14" s="17">
        <v>17134.310000000001</v>
      </c>
      <c r="I14" s="17">
        <v>2590.63</v>
      </c>
      <c r="J14" s="17">
        <f t="shared" ref="J14:J25" si="1">I14*K14</f>
        <v>1554.3779999999999</v>
      </c>
      <c r="K14" s="18">
        <v>0.6</v>
      </c>
    </row>
    <row r="15" spans="1:11" x14ac:dyDescent="0.25">
      <c r="A15" s="10" t="s">
        <v>349</v>
      </c>
      <c r="B15" s="10">
        <v>555994154</v>
      </c>
      <c r="C15" s="9">
        <v>45740</v>
      </c>
      <c r="D15" s="10" t="s">
        <v>350</v>
      </c>
      <c r="E15" s="10" t="s">
        <v>38</v>
      </c>
      <c r="F15" s="10" t="s">
        <v>349</v>
      </c>
      <c r="G15" s="17">
        <v>16391.48</v>
      </c>
      <c r="H15" s="17">
        <v>15610.92</v>
      </c>
      <c r="I15" s="17">
        <v>2341.65</v>
      </c>
      <c r="J15" s="17">
        <f t="shared" si="1"/>
        <v>1404.99</v>
      </c>
      <c r="K15" s="18">
        <v>0.6</v>
      </c>
    </row>
    <row r="16" spans="1:11" x14ac:dyDescent="0.25">
      <c r="A16" s="10" t="s">
        <v>361</v>
      </c>
      <c r="B16" s="10">
        <v>557171671</v>
      </c>
      <c r="C16" s="9">
        <v>45743</v>
      </c>
      <c r="D16" s="10" t="s">
        <v>362</v>
      </c>
      <c r="E16" s="10" t="s">
        <v>38</v>
      </c>
      <c r="F16" s="10" t="s">
        <v>361</v>
      </c>
      <c r="G16" s="17">
        <v>10804.55</v>
      </c>
      <c r="H16" s="17">
        <v>10290.040000000001</v>
      </c>
      <c r="I16" s="17">
        <v>1543.51</v>
      </c>
      <c r="J16" s="17">
        <f t="shared" si="1"/>
        <v>926.10599999999999</v>
      </c>
      <c r="K16" s="18">
        <v>0.6</v>
      </c>
    </row>
    <row r="17" spans="1:11" x14ac:dyDescent="0.25">
      <c r="A17" s="10" t="s">
        <v>363</v>
      </c>
      <c r="B17" s="10">
        <v>557016492</v>
      </c>
      <c r="C17" s="9">
        <v>45742</v>
      </c>
      <c r="D17" s="10" t="s">
        <v>364</v>
      </c>
      <c r="E17" s="10" t="s">
        <v>38</v>
      </c>
      <c r="F17" s="10" t="s">
        <v>527</v>
      </c>
      <c r="G17" s="17">
        <v>27948.32</v>
      </c>
      <c r="H17" s="17">
        <v>26617.45</v>
      </c>
      <c r="I17" s="17">
        <v>3992.61</v>
      </c>
      <c r="J17" s="17">
        <f t="shared" si="1"/>
        <v>2395.5659999999998</v>
      </c>
      <c r="K17" s="18">
        <v>0.6</v>
      </c>
    </row>
    <row r="18" spans="1:11" x14ac:dyDescent="0.25">
      <c r="A18" s="10" t="s">
        <v>367</v>
      </c>
      <c r="B18" s="10">
        <v>557189215</v>
      </c>
      <c r="C18" s="9">
        <v>45745</v>
      </c>
      <c r="D18" s="10" t="s">
        <v>365</v>
      </c>
      <c r="E18" s="10" t="s">
        <v>38</v>
      </c>
      <c r="F18" s="10" t="s">
        <v>367</v>
      </c>
      <c r="G18" s="17">
        <v>13620.7</v>
      </c>
      <c r="H18" s="17">
        <v>12972.09</v>
      </c>
      <c r="I18" s="17">
        <v>1945.82</v>
      </c>
      <c r="J18" s="17">
        <f t="shared" si="1"/>
        <v>1167.492</v>
      </c>
      <c r="K18" s="18">
        <v>0.6</v>
      </c>
    </row>
    <row r="19" spans="1:11" x14ac:dyDescent="0.25">
      <c r="A19" s="10" t="s">
        <v>370</v>
      </c>
      <c r="B19" s="10">
        <v>559856710</v>
      </c>
      <c r="C19" s="9">
        <v>45747</v>
      </c>
      <c r="D19" s="10" t="s">
        <v>371</v>
      </c>
      <c r="E19" s="10" t="s">
        <v>41</v>
      </c>
      <c r="F19" s="10" t="s">
        <v>12</v>
      </c>
      <c r="G19" s="17">
        <v>15007.12</v>
      </c>
      <c r="H19" s="17">
        <v>14292.48</v>
      </c>
      <c r="I19" s="17">
        <v>2143.88</v>
      </c>
      <c r="J19" s="17">
        <f t="shared" si="1"/>
        <v>1286.328</v>
      </c>
      <c r="K19" s="18">
        <v>0.6</v>
      </c>
    </row>
    <row r="20" spans="1:11" x14ac:dyDescent="0.25">
      <c r="A20" s="10" t="s">
        <v>372</v>
      </c>
      <c r="B20" s="10">
        <v>557242031</v>
      </c>
      <c r="C20" s="9">
        <v>45746</v>
      </c>
      <c r="D20" s="10" t="s">
        <v>373</v>
      </c>
      <c r="E20" s="10" t="s">
        <v>38</v>
      </c>
      <c r="F20" s="10" t="s">
        <v>372</v>
      </c>
      <c r="G20" s="17">
        <v>16169.54</v>
      </c>
      <c r="H20" s="17">
        <v>15399.57</v>
      </c>
      <c r="I20" s="17">
        <v>2309.9299999999998</v>
      </c>
      <c r="J20" s="17">
        <f t="shared" si="1"/>
        <v>1385.9579999999999</v>
      </c>
      <c r="K20" s="18">
        <v>0.6</v>
      </c>
    </row>
    <row r="21" spans="1:11" x14ac:dyDescent="0.25">
      <c r="A21" s="10"/>
      <c r="B21" s="10"/>
      <c r="C21" s="9"/>
      <c r="D21" s="10"/>
      <c r="E21" s="10"/>
      <c r="F21" s="11"/>
      <c r="G21" s="17"/>
      <c r="H21" s="17"/>
      <c r="I21" s="17"/>
      <c r="J21" s="17">
        <f t="shared" si="1"/>
        <v>0</v>
      </c>
      <c r="K21" s="18">
        <v>0.6</v>
      </c>
    </row>
    <row r="22" spans="1:11" x14ac:dyDescent="0.25">
      <c r="A22" s="10"/>
      <c r="B22" s="10"/>
      <c r="C22" s="9"/>
      <c r="D22" s="10"/>
      <c r="E22" s="10"/>
      <c r="F22" s="11"/>
      <c r="G22" s="17"/>
      <c r="H22" s="17"/>
      <c r="I22" s="17"/>
      <c r="J22" s="17">
        <f t="shared" si="1"/>
        <v>0</v>
      </c>
      <c r="K22" s="18">
        <v>0.6</v>
      </c>
    </row>
    <row r="23" spans="1:11" x14ac:dyDescent="0.25">
      <c r="A23" s="10"/>
      <c r="B23" s="10"/>
      <c r="C23" s="9"/>
      <c r="D23" s="10"/>
      <c r="E23" s="10"/>
      <c r="F23" s="11"/>
      <c r="G23" s="17"/>
      <c r="H23" s="17"/>
      <c r="I23" s="17"/>
      <c r="J23" s="17">
        <f t="shared" si="1"/>
        <v>0</v>
      </c>
      <c r="K23" s="18"/>
    </row>
    <row r="24" spans="1:11" x14ac:dyDescent="0.25">
      <c r="A24" s="10"/>
      <c r="B24" s="10"/>
      <c r="C24" s="9"/>
      <c r="D24" s="10"/>
      <c r="E24" s="10"/>
      <c r="F24" s="11"/>
      <c r="G24" s="17"/>
      <c r="H24" s="17"/>
      <c r="I24" s="17"/>
      <c r="J24" s="17">
        <f t="shared" si="1"/>
        <v>0</v>
      </c>
      <c r="K24" s="18"/>
    </row>
    <row r="25" spans="1:11" x14ac:dyDescent="0.25">
      <c r="A25" s="10"/>
      <c r="B25" s="10"/>
      <c r="C25" s="9"/>
      <c r="D25" s="10"/>
      <c r="E25" s="10"/>
      <c r="F25" s="11"/>
      <c r="G25" s="17"/>
      <c r="H25" s="17"/>
      <c r="I25" s="17"/>
      <c r="J25" s="17">
        <f t="shared" si="1"/>
        <v>0</v>
      </c>
      <c r="K25" s="18"/>
    </row>
    <row r="26" spans="1:11" x14ac:dyDescent="0.25">
      <c r="A26" s="10"/>
      <c r="B26" s="10"/>
      <c r="C26" s="9"/>
      <c r="D26" s="10"/>
      <c r="E26" s="10"/>
      <c r="F26" s="6" t="s">
        <v>13</v>
      </c>
      <c r="G26" s="8">
        <f>SUM(G4:G22)</f>
        <v>253093.29</v>
      </c>
      <c r="H26" s="8">
        <f>SUM(H4:H22)</f>
        <v>241941.30000000005</v>
      </c>
      <c r="I26" s="8">
        <f>SUM(I4:I22)</f>
        <v>36156.21</v>
      </c>
      <c r="J26" s="8">
        <f>SUM(J4:J22)</f>
        <v>21693.725999999999</v>
      </c>
      <c r="K26" s="6"/>
    </row>
    <row r="27" spans="1:11" x14ac:dyDescent="0.25">
      <c r="A27" s="10"/>
      <c r="B27" s="10"/>
      <c r="C27" s="9"/>
      <c r="D27" s="10"/>
      <c r="E27" s="10"/>
      <c r="F27" s="13" t="s">
        <v>14</v>
      </c>
      <c r="G27" s="21">
        <f>G6+G13+G19</f>
        <v>34776.949999999997</v>
      </c>
      <c r="H27" s="17"/>
      <c r="I27" s="17"/>
      <c r="J27" s="17"/>
      <c r="K27" s="10"/>
    </row>
    <row r="28" spans="1:11" x14ac:dyDescent="0.25">
      <c r="A28" s="10"/>
      <c r="B28" s="10"/>
      <c r="C28" s="9"/>
      <c r="D28" s="10"/>
      <c r="E28" s="45"/>
      <c r="F28" s="46" t="s">
        <v>15</v>
      </c>
      <c r="G28" s="47">
        <f>G27/6</f>
        <v>5796.1583333333328</v>
      </c>
      <c r="H28" s="17"/>
      <c r="I28" s="17"/>
      <c r="J28" s="17"/>
      <c r="K28" s="10"/>
    </row>
    <row r="29" spans="1:11" x14ac:dyDescent="0.25">
      <c r="A29" s="10"/>
      <c r="B29" s="10"/>
      <c r="C29" s="9"/>
      <c r="D29" s="10"/>
      <c r="E29" s="10"/>
      <c r="F29" s="10"/>
      <c r="G29" s="17"/>
      <c r="H29" s="17"/>
      <c r="I29" s="17"/>
      <c r="J29" s="17"/>
      <c r="K29" s="10"/>
    </row>
    <row r="30" spans="1:11" x14ac:dyDescent="0.25">
      <c r="A30" s="10" t="s">
        <v>16</v>
      </c>
      <c r="B30" s="10"/>
      <c r="C30" s="9"/>
      <c r="D30" s="10"/>
      <c r="E30" s="10"/>
      <c r="F30" s="10"/>
      <c r="G30" s="17"/>
      <c r="H30" s="17"/>
      <c r="I30" s="17"/>
      <c r="J30" s="17"/>
      <c r="K30" s="10"/>
    </row>
    <row r="31" spans="1:11" x14ac:dyDescent="0.25">
      <c r="A31" s="10" t="s">
        <v>286</v>
      </c>
      <c r="B31" s="20">
        <v>551471822</v>
      </c>
      <c r="C31" s="12">
        <v>45720</v>
      </c>
      <c r="D31" s="11" t="s">
        <v>287</v>
      </c>
      <c r="E31" s="11" t="s">
        <v>38</v>
      </c>
      <c r="F31" s="11" t="s">
        <v>57</v>
      </c>
      <c r="G31" s="16">
        <v>9176.2199999999993</v>
      </c>
      <c r="H31" s="16">
        <v>8302.2999999999993</v>
      </c>
      <c r="I31" s="17">
        <v>830.2</v>
      </c>
      <c r="J31" s="17">
        <f>I31*K31</f>
        <v>498.12</v>
      </c>
      <c r="K31" s="18">
        <v>0.6</v>
      </c>
    </row>
    <row r="32" spans="1:11" x14ac:dyDescent="0.25">
      <c r="A32" s="10" t="s">
        <v>288</v>
      </c>
      <c r="B32" s="11">
        <v>551457343</v>
      </c>
      <c r="C32" s="12">
        <v>45717</v>
      </c>
      <c r="D32" s="11" t="s">
        <v>289</v>
      </c>
      <c r="E32" s="11" t="s">
        <v>38</v>
      </c>
      <c r="F32" s="11" t="s">
        <v>288</v>
      </c>
      <c r="G32" s="16">
        <v>13110.04</v>
      </c>
      <c r="H32" s="16">
        <v>11861.46</v>
      </c>
      <c r="I32" s="17">
        <v>1186.0999999999999</v>
      </c>
      <c r="J32" s="17">
        <f>I32*K32</f>
        <v>711.66</v>
      </c>
      <c r="K32" s="18">
        <v>0.6</v>
      </c>
    </row>
    <row r="33" spans="1:11" x14ac:dyDescent="0.25">
      <c r="A33" s="10" t="s">
        <v>290</v>
      </c>
      <c r="B33" s="11">
        <v>553674008</v>
      </c>
      <c r="C33" s="12">
        <v>45723</v>
      </c>
      <c r="D33" s="11" t="s">
        <v>299</v>
      </c>
      <c r="E33" s="11" t="s">
        <v>38</v>
      </c>
      <c r="F33" s="11" t="s">
        <v>290</v>
      </c>
      <c r="G33" s="16">
        <v>6685.03</v>
      </c>
      <c r="H33" s="16">
        <v>5968.77</v>
      </c>
      <c r="I33" s="17">
        <v>596.88</v>
      </c>
      <c r="J33" s="17">
        <f t="shared" ref="J33:J59" si="2">I33*K33</f>
        <v>358.12799999999999</v>
      </c>
      <c r="K33" s="18">
        <v>0.6</v>
      </c>
    </row>
    <row r="34" spans="1:11" x14ac:dyDescent="0.25">
      <c r="A34" s="10" t="s">
        <v>304</v>
      </c>
      <c r="B34" s="20">
        <v>553730012</v>
      </c>
      <c r="C34" s="12">
        <v>45721</v>
      </c>
      <c r="D34" s="11" t="s">
        <v>305</v>
      </c>
      <c r="E34" s="11" t="s">
        <v>38</v>
      </c>
      <c r="F34" s="11" t="s">
        <v>57</v>
      </c>
      <c r="G34" s="16">
        <v>11891.09</v>
      </c>
      <c r="H34" s="16">
        <v>10709.37</v>
      </c>
      <c r="I34" s="17">
        <v>1070.94</v>
      </c>
      <c r="J34" s="17">
        <f t="shared" si="2"/>
        <v>642.56399999999996</v>
      </c>
      <c r="K34" s="18">
        <v>0.6</v>
      </c>
    </row>
    <row r="35" spans="1:11" x14ac:dyDescent="0.25">
      <c r="A35" s="10" t="s">
        <v>302</v>
      </c>
      <c r="B35" s="11">
        <v>554056645</v>
      </c>
      <c r="C35" s="12">
        <v>45734</v>
      </c>
      <c r="D35" s="11" t="s">
        <v>303</v>
      </c>
      <c r="E35" s="11" t="s">
        <v>38</v>
      </c>
      <c r="F35" s="11" t="s">
        <v>302</v>
      </c>
      <c r="G35" s="16">
        <v>10696.96</v>
      </c>
      <c r="H35" s="16">
        <v>9550.8799999999992</v>
      </c>
      <c r="I35" s="17">
        <v>955.1</v>
      </c>
      <c r="J35" s="17">
        <f t="shared" si="2"/>
        <v>573.05999999999995</v>
      </c>
      <c r="K35" s="18">
        <v>0.6</v>
      </c>
    </row>
    <row r="36" spans="1:11" x14ac:dyDescent="0.25">
      <c r="A36" s="10" t="s">
        <v>310</v>
      </c>
      <c r="B36" s="11">
        <v>551493448</v>
      </c>
      <c r="C36" s="12">
        <v>45724</v>
      </c>
      <c r="D36" s="11" t="s">
        <v>311</v>
      </c>
      <c r="E36" s="11" t="s">
        <v>38</v>
      </c>
      <c r="F36" s="11" t="s">
        <v>312</v>
      </c>
      <c r="G36" s="16">
        <v>16985.080000000002</v>
      </c>
      <c r="H36" s="16">
        <v>15367.45</v>
      </c>
      <c r="I36" s="17">
        <v>1536.74</v>
      </c>
      <c r="J36" s="17">
        <f t="shared" si="2"/>
        <v>922.04399999999998</v>
      </c>
      <c r="K36" s="18">
        <v>0.6</v>
      </c>
    </row>
    <row r="37" spans="1:11" x14ac:dyDescent="0.25">
      <c r="A37" s="10" t="s">
        <v>313</v>
      </c>
      <c r="B37" s="11">
        <v>551498494</v>
      </c>
      <c r="C37" s="12">
        <v>45724</v>
      </c>
      <c r="D37" s="11" t="s">
        <v>314</v>
      </c>
      <c r="E37" s="11" t="s">
        <v>38</v>
      </c>
      <c r="F37" s="11" t="s">
        <v>315</v>
      </c>
      <c r="G37" s="16">
        <v>10864.89</v>
      </c>
      <c r="H37" s="16">
        <v>9901.51</v>
      </c>
      <c r="I37" s="17">
        <v>990.16</v>
      </c>
      <c r="J37" s="17">
        <f t="shared" si="2"/>
        <v>594.096</v>
      </c>
      <c r="K37" s="18">
        <v>0.6</v>
      </c>
    </row>
    <row r="38" spans="1:11" x14ac:dyDescent="0.25">
      <c r="A38" s="10" t="s">
        <v>318</v>
      </c>
      <c r="B38" s="11">
        <v>554733370</v>
      </c>
      <c r="C38" s="12">
        <v>45727</v>
      </c>
      <c r="D38" s="11" t="s">
        <v>317</v>
      </c>
      <c r="E38" s="11" t="s">
        <v>38</v>
      </c>
      <c r="F38" s="11" t="s">
        <v>57</v>
      </c>
      <c r="G38" s="16">
        <v>8023.08</v>
      </c>
      <c r="H38" s="16">
        <v>7163.44</v>
      </c>
      <c r="I38" s="17">
        <v>716.35</v>
      </c>
      <c r="J38" s="17">
        <f t="shared" si="2"/>
        <v>429.81</v>
      </c>
      <c r="K38" s="18">
        <v>0.6</v>
      </c>
    </row>
    <row r="39" spans="1:11" x14ac:dyDescent="0.25">
      <c r="A39" s="10" t="s">
        <v>321</v>
      </c>
      <c r="B39" s="11">
        <v>554739421</v>
      </c>
      <c r="C39" s="12">
        <v>45727</v>
      </c>
      <c r="D39" s="11" t="s">
        <v>43</v>
      </c>
      <c r="E39" s="11" t="s">
        <v>38</v>
      </c>
      <c r="F39" s="11" t="s">
        <v>321</v>
      </c>
      <c r="G39" s="16">
        <v>9226.52</v>
      </c>
      <c r="H39" s="16">
        <v>8309.58</v>
      </c>
      <c r="I39" s="17">
        <v>830.95</v>
      </c>
      <c r="J39" s="17">
        <f t="shared" si="2"/>
        <v>498.57</v>
      </c>
      <c r="K39" s="18">
        <v>0.6</v>
      </c>
    </row>
    <row r="40" spans="1:11" x14ac:dyDescent="0.25">
      <c r="A40" s="10" t="s">
        <v>319</v>
      </c>
      <c r="B40" s="11">
        <v>555329932</v>
      </c>
      <c r="C40" s="12">
        <v>45731</v>
      </c>
      <c r="D40" s="11" t="s">
        <v>320</v>
      </c>
      <c r="E40" s="11" t="s">
        <v>38</v>
      </c>
      <c r="F40" s="11" t="s">
        <v>319</v>
      </c>
      <c r="G40" s="16">
        <v>8023.05</v>
      </c>
      <c r="H40" s="16">
        <v>7163.44</v>
      </c>
      <c r="I40" s="17">
        <v>716.35</v>
      </c>
      <c r="J40" s="17">
        <f t="shared" si="2"/>
        <v>429.81</v>
      </c>
      <c r="K40" s="18">
        <v>0.6</v>
      </c>
    </row>
    <row r="41" spans="1:11" x14ac:dyDescent="0.25">
      <c r="A41" s="10" t="s">
        <v>324</v>
      </c>
      <c r="B41" s="11">
        <v>555808512</v>
      </c>
      <c r="C41" s="12">
        <v>45729</v>
      </c>
      <c r="D41" s="11" t="s">
        <v>43</v>
      </c>
      <c r="E41" s="11" t="s">
        <v>38</v>
      </c>
      <c r="F41" s="11" t="s">
        <v>325</v>
      </c>
      <c r="G41" s="16">
        <v>13371.05</v>
      </c>
      <c r="H41" s="16">
        <v>11938.43</v>
      </c>
      <c r="I41" s="17">
        <v>1193.8499999999999</v>
      </c>
      <c r="J41" s="17">
        <f t="shared" si="2"/>
        <v>716.31</v>
      </c>
      <c r="K41" s="18">
        <v>0.6</v>
      </c>
    </row>
    <row r="42" spans="1:11" x14ac:dyDescent="0.25">
      <c r="A42" s="10" t="s">
        <v>326</v>
      </c>
      <c r="B42" s="11">
        <v>555924597</v>
      </c>
      <c r="C42" s="12">
        <v>45729</v>
      </c>
      <c r="D42" s="11" t="s">
        <v>327</v>
      </c>
      <c r="E42" s="11" t="s">
        <v>38</v>
      </c>
      <c r="F42" s="11" t="s">
        <v>57</v>
      </c>
      <c r="G42" s="16">
        <v>10696.99</v>
      </c>
      <c r="H42" s="16">
        <v>9550.8799999999992</v>
      </c>
      <c r="I42" s="17">
        <v>955.09</v>
      </c>
      <c r="J42" s="17">
        <f t="shared" si="2"/>
        <v>573.05399999999997</v>
      </c>
      <c r="K42" s="18">
        <v>0.6</v>
      </c>
    </row>
    <row r="43" spans="1:11" x14ac:dyDescent="0.25">
      <c r="A43" s="10" t="s">
        <v>328</v>
      </c>
      <c r="B43" s="11">
        <v>555987300</v>
      </c>
      <c r="C43" s="12">
        <v>45732</v>
      </c>
      <c r="D43" s="11" t="s">
        <v>329</v>
      </c>
      <c r="E43" s="11" t="s">
        <v>38</v>
      </c>
      <c r="F43" s="11" t="s">
        <v>57</v>
      </c>
      <c r="G43" s="16">
        <v>6685.01</v>
      </c>
      <c r="H43" s="16">
        <v>5968.77</v>
      </c>
      <c r="I43" s="17">
        <v>596.88</v>
      </c>
      <c r="J43" s="17">
        <f t="shared" si="2"/>
        <v>358.12799999999999</v>
      </c>
      <c r="K43" s="18">
        <v>0.6</v>
      </c>
    </row>
    <row r="44" spans="1:11" x14ac:dyDescent="0.25">
      <c r="A44" s="10" t="s">
        <v>330</v>
      </c>
      <c r="B44" s="11">
        <v>553657693</v>
      </c>
      <c r="C44" s="12">
        <v>45731</v>
      </c>
      <c r="D44" s="11" t="s">
        <v>331</v>
      </c>
      <c r="E44" s="11" t="s">
        <v>38</v>
      </c>
      <c r="F44" s="11" t="s">
        <v>332</v>
      </c>
      <c r="G44" s="16">
        <v>11633.41</v>
      </c>
      <c r="H44" s="16">
        <v>10601.88</v>
      </c>
      <c r="I44" s="17">
        <v>1060.18</v>
      </c>
      <c r="J44" s="17">
        <f t="shared" si="2"/>
        <v>636.10800000000006</v>
      </c>
      <c r="K44" s="18">
        <v>0.6</v>
      </c>
    </row>
    <row r="45" spans="1:11" x14ac:dyDescent="0.25">
      <c r="A45" s="10" t="s">
        <v>333</v>
      </c>
      <c r="B45" s="11">
        <v>553656817</v>
      </c>
      <c r="C45" s="12">
        <v>45731</v>
      </c>
      <c r="D45" s="11" t="s">
        <v>334</v>
      </c>
      <c r="E45" s="11" t="s">
        <v>38</v>
      </c>
      <c r="F45" s="11" t="s">
        <v>333</v>
      </c>
      <c r="G45" s="16">
        <v>16713.8</v>
      </c>
      <c r="H45" s="16">
        <v>15122.02</v>
      </c>
      <c r="I45" s="17">
        <v>1512.21</v>
      </c>
      <c r="J45" s="17">
        <f t="shared" si="2"/>
        <v>907.32600000000002</v>
      </c>
      <c r="K45" s="18">
        <v>0.6</v>
      </c>
    </row>
    <row r="46" spans="1:11" x14ac:dyDescent="0.25">
      <c r="A46" s="10" t="s">
        <v>335</v>
      </c>
      <c r="B46" s="11">
        <v>554217977</v>
      </c>
      <c r="C46" s="12">
        <v>45732</v>
      </c>
      <c r="D46" s="11" t="s">
        <v>336</v>
      </c>
      <c r="E46" s="11" t="s">
        <v>38</v>
      </c>
      <c r="F46" s="11" t="s">
        <v>57</v>
      </c>
      <c r="G46" s="16">
        <v>11633.44</v>
      </c>
      <c r="H46" s="16">
        <v>10601.88</v>
      </c>
      <c r="I46" s="17">
        <v>1060.18</v>
      </c>
      <c r="J46" s="17">
        <f t="shared" si="2"/>
        <v>636.10800000000006</v>
      </c>
      <c r="K46" s="18">
        <v>0.6</v>
      </c>
    </row>
    <row r="47" spans="1:11" x14ac:dyDescent="0.25">
      <c r="A47" s="10" t="s">
        <v>345</v>
      </c>
      <c r="B47" s="11">
        <v>555952550</v>
      </c>
      <c r="C47" s="12">
        <v>45734</v>
      </c>
      <c r="D47" s="11" t="s">
        <v>346</v>
      </c>
      <c r="E47" s="11" t="s">
        <v>38</v>
      </c>
      <c r="F47" s="11" t="s">
        <v>107</v>
      </c>
      <c r="G47" s="16">
        <v>12996.46</v>
      </c>
      <c r="H47" s="16">
        <v>11804.56</v>
      </c>
      <c r="I47" s="17">
        <v>1180.47</v>
      </c>
      <c r="J47" s="17">
        <f t="shared" si="2"/>
        <v>708.28200000000004</v>
      </c>
      <c r="K47" s="18">
        <v>0.6</v>
      </c>
    </row>
    <row r="48" spans="1:11" x14ac:dyDescent="0.25">
      <c r="A48" s="10" t="s">
        <v>252</v>
      </c>
      <c r="B48" s="11">
        <v>557383623</v>
      </c>
      <c r="C48" s="12">
        <v>45746</v>
      </c>
      <c r="D48" s="11" t="s">
        <v>253</v>
      </c>
      <c r="E48" s="11" t="s">
        <v>38</v>
      </c>
      <c r="F48" s="11" t="s">
        <v>252</v>
      </c>
      <c r="G48" s="16">
        <v>6685.01</v>
      </c>
      <c r="H48" s="16">
        <v>5968.77</v>
      </c>
      <c r="I48" s="17">
        <v>596.88</v>
      </c>
      <c r="J48" s="17">
        <f t="shared" si="2"/>
        <v>358.12799999999999</v>
      </c>
      <c r="K48" s="18">
        <v>0.6</v>
      </c>
    </row>
    <row r="49" spans="1:11" x14ac:dyDescent="0.25">
      <c r="A49" s="10" t="s">
        <v>347</v>
      </c>
      <c r="B49" s="11">
        <v>555567276</v>
      </c>
      <c r="C49" s="12">
        <v>45736</v>
      </c>
      <c r="D49" s="11" t="s">
        <v>348</v>
      </c>
      <c r="E49" s="11" t="s">
        <v>38</v>
      </c>
      <c r="F49" s="11" t="s">
        <v>57</v>
      </c>
      <c r="G49" s="16">
        <v>12003.69</v>
      </c>
      <c r="H49" s="16">
        <v>10751.59</v>
      </c>
      <c r="I49" s="17">
        <v>1075.1600000000001</v>
      </c>
      <c r="J49" s="17">
        <f t="shared" si="2"/>
        <v>645.096</v>
      </c>
      <c r="K49" s="18">
        <v>0.6</v>
      </c>
    </row>
    <row r="50" spans="1:11" x14ac:dyDescent="0.25">
      <c r="A50" s="10" t="s">
        <v>351</v>
      </c>
      <c r="B50" s="11">
        <v>555971508</v>
      </c>
      <c r="C50" s="12">
        <v>45737</v>
      </c>
      <c r="D50" s="11" t="s">
        <v>352</v>
      </c>
      <c r="E50" s="11" t="s">
        <v>38</v>
      </c>
      <c r="F50" s="11" t="s">
        <v>351</v>
      </c>
      <c r="G50" s="16">
        <v>13757.87</v>
      </c>
      <c r="H50" s="16">
        <v>12496.12</v>
      </c>
      <c r="I50" s="17">
        <v>1249.6099999999999</v>
      </c>
      <c r="J50" s="17">
        <f t="shared" si="2"/>
        <v>749.76599999999996</v>
      </c>
      <c r="K50" s="18">
        <v>0.6</v>
      </c>
    </row>
    <row r="51" spans="1:11" x14ac:dyDescent="0.25">
      <c r="A51" s="10" t="s">
        <v>349</v>
      </c>
      <c r="B51" s="11">
        <v>558254165</v>
      </c>
      <c r="C51" s="12">
        <v>45738</v>
      </c>
      <c r="D51" s="11" t="s">
        <v>350</v>
      </c>
      <c r="E51" s="11" t="s">
        <v>38</v>
      </c>
      <c r="F51" s="11" t="s">
        <v>349</v>
      </c>
      <c r="G51" s="16">
        <v>8023.07</v>
      </c>
      <c r="H51" s="16">
        <v>7163.44</v>
      </c>
      <c r="I51" s="17">
        <v>716.34</v>
      </c>
      <c r="J51" s="17">
        <f t="shared" si="2"/>
        <v>429.80400000000003</v>
      </c>
      <c r="K51" s="18">
        <v>0.6</v>
      </c>
    </row>
    <row r="52" spans="1:11" x14ac:dyDescent="0.25">
      <c r="A52" s="10" t="s">
        <v>353</v>
      </c>
      <c r="B52" s="11">
        <v>558069454</v>
      </c>
      <c r="C52" s="12">
        <v>45741</v>
      </c>
      <c r="D52" s="11" t="s">
        <v>354</v>
      </c>
      <c r="E52" s="11" t="s">
        <v>38</v>
      </c>
      <c r="F52" s="11" t="s">
        <v>355</v>
      </c>
      <c r="G52" s="16">
        <v>14828.8</v>
      </c>
      <c r="H52" s="16">
        <v>13416.51</v>
      </c>
      <c r="I52" s="17">
        <v>1341.65</v>
      </c>
      <c r="J52" s="17">
        <f t="shared" si="2"/>
        <v>804.99</v>
      </c>
      <c r="K52" s="18">
        <v>0.6</v>
      </c>
    </row>
    <row r="53" spans="1:11" x14ac:dyDescent="0.25">
      <c r="A53" s="10" t="s">
        <v>363</v>
      </c>
      <c r="B53" s="11">
        <v>559221182</v>
      </c>
      <c r="C53" s="12">
        <v>45742</v>
      </c>
      <c r="D53" s="11" t="s">
        <v>364</v>
      </c>
      <c r="E53" s="11" t="s">
        <v>41</v>
      </c>
      <c r="F53" s="11" t="s">
        <v>12</v>
      </c>
      <c r="G53" s="16">
        <v>19927.14</v>
      </c>
      <c r="H53" s="16">
        <v>17792.09</v>
      </c>
      <c r="I53" s="17">
        <v>1779.22</v>
      </c>
      <c r="J53" s="17">
        <f t="shared" si="2"/>
        <v>1067.5319999999999</v>
      </c>
      <c r="K53" s="18">
        <v>0.6</v>
      </c>
    </row>
    <row r="54" spans="1:11" x14ac:dyDescent="0.25">
      <c r="A54" s="11" t="s">
        <v>366</v>
      </c>
      <c r="B54" s="11">
        <v>559281934</v>
      </c>
      <c r="C54" s="12">
        <v>45745</v>
      </c>
      <c r="D54" s="11" t="s">
        <v>365</v>
      </c>
      <c r="E54" s="11" t="s">
        <v>38</v>
      </c>
      <c r="F54" s="11" t="s">
        <v>367</v>
      </c>
      <c r="G54" s="16">
        <v>12702.02</v>
      </c>
      <c r="H54" s="16">
        <v>11341.1</v>
      </c>
      <c r="I54" s="17">
        <v>1134.1099999999999</v>
      </c>
      <c r="J54" s="17">
        <f t="shared" si="2"/>
        <v>680.46599999999989</v>
      </c>
      <c r="K54" s="18">
        <v>0.6</v>
      </c>
    </row>
    <row r="55" spans="1:11" x14ac:dyDescent="0.25">
      <c r="A55" s="11" t="s">
        <v>372</v>
      </c>
      <c r="B55" s="11">
        <v>559746633</v>
      </c>
      <c r="C55" s="12">
        <v>45746</v>
      </c>
      <c r="D55" s="11" t="s">
        <v>373</v>
      </c>
      <c r="E55" s="11" t="s">
        <v>38</v>
      </c>
      <c r="F55" s="10" t="s">
        <v>372</v>
      </c>
      <c r="G55" s="16">
        <v>10488.03</v>
      </c>
      <c r="H55" s="16">
        <v>9364.32</v>
      </c>
      <c r="I55" s="16">
        <v>936.43</v>
      </c>
      <c r="J55" s="17">
        <f t="shared" si="2"/>
        <v>561.85799999999995</v>
      </c>
      <c r="K55" s="18">
        <v>0.6</v>
      </c>
    </row>
    <row r="56" spans="1:11" x14ac:dyDescent="0.25">
      <c r="A56" s="147" t="s">
        <v>422</v>
      </c>
      <c r="B56" s="147">
        <v>497471359</v>
      </c>
      <c r="C56" s="148">
        <v>45719</v>
      </c>
      <c r="D56" s="147" t="s">
        <v>423</v>
      </c>
      <c r="E56" s="147" t="s">
        <v>38</v>
      </c>
      <c r="F56" s="144" t="s">
        <v>419</v>
      </c>
      <c r="G56" s="149">
        <v>5508.98</v>
      </c>
      <c r="H56" s="149">
        <v>4994.38</v>
      </c>
      <c r="I56" s="159">
        <v>-499.44</v>
      </c>
      <c r="J56" s="146">
        <f t="shared" si="2"/>
        <v>-299.66399999999999</v>
      </c>
      <c r="K56" s="18">
        <v>0.6</v>
      </c>
    </row>
    <row r="57" spans="1:11" x14ac:dyDescent="0.25">
      <c r="A57" s="147" t="s">
        <v>424</v>
      </c>
      <c r="B57" s="147">
        <v>512091529</v>
      </c>
      <c r="C57" s="148">
        <v>45720</v>
      </c>
      <c r="D57" s="147" t="s">
        <v>425</v>
      </c>
      <c r="E57" s="147" t="s">
        <v>38</v>
      </c>
      <c r="F57" s="144" t="s">
        <v>419</v>
      </c>
      <c r="G57" s="149">
        <v>3387.02</v>
      </c>
      <c r="H57" s="149">
        <v>3064.45</v>
      </c>
      <c r="I57" s="159">
        <v>-153.69</v>
      </c>
      <c r="J57" s="146">
        <f t="shared" si="2"/>
        <v>-92.213999999999999</v>
      </c>
      <c r="K57" s="18">
        <v>0.6</v>
      </c>
    </row>
    <row r="58" spans="1:11" x14ac:dyDescent="0.25">
      <c r="A58" s="147" t="s">
        <v>426</v>
      </c>
      <c r="B58" s="169">
        <v>490221572</v>
      </c>
      <c r="C58" s="148">
        <v>45744</v>
      </c>
      <c r="D58" s="147" t="s">
        <v>172</v>
      </c>
      <c r="E58" s="147" t="s">
        <v>38</v>
      </c>
      <c r="F58" s="144" t="s">
        <v>419</v>
      </c>
      <c r="G58" s="149">
        <v>3850.16</v>
      </c>
      <c r="H58" s="149">
        <v>3503.15</v>
      </c>
      <c r="I58" s="159">
        <v>-402.68</v>
      </c>
      <c r="J58" s="146">
        <f>I58*K58</f>
        <v>-241.608</v>
      </c>
      <c r="K58" s="18">
        <v>0.6</v>
      </c>
    </row>
    <row r="59" spans="1:11" x14ac:dyDescent="0.25">
      <c r="A59" s="11"/>
      <c r="B59" s="11"/>
      <c r="C59" s="12"/>
      <c r="D59" s="11"/>
      <c r="E59" s="11"/>
      <c r="F59" s="10"/>
      <c r="G59" s="16"/>
      <c r="H59" s="16"/>
      <c r="I59" s="16"/>
      <c r="J59" s="17">
        <f t="shared" si="2"/>
        <v>0</v>
      </c>
      <c r="K59" s="18">
        <v>0.6</v>
      </c>
    </row>
    <row r="60" spans="1:11" x14ac:dyDescent="0.25">
      <c r="A60" s="10"/>
      <c r="B60" s="168"/>
      <c r="C60" s="9"/>
      <c r="D60" s="10"/>
      <c r="E60" s="10"/>
      <c r="F60" s="6" t="s">
        <v>13</v>
      </c>
      <c r="G60" s="8">
        <f>SUM(G31:G59)</f>
        <v>299573.91000000003</v>
      </c>
      <c r="H60" s="8">
        <f>SUM(H31:H59)</f>
        <v>269742.54000000004</v>
      </c>
      <c r="I60" s="8">
        <f>SUM(I31:I59)</f>
        <v>24762.220000000008</v>
      </c>
      <c r="J60" s="8">
        <f>SUM(J31:J59)</f>
        <v>14857.331999999999</v>
      </c>
      <c r="K60" s="6"/>
    </row>
    <row r="61" spans="1:11" x14ac:dyDescent="0.25">
      <c r="A61" s="10"/>
      <c r="B61" s="10"/>
      <c r="C61" s="9"/>
      <c r="D61" s="10"/>
      <c r="E61" s="10"/>
      <c r="F61" s="13" t="s">
        <v>14</v>
      </c>
      <c r="G61" s="21">
        <f>G53</f>
        <v>19927.14</v>
      </c>
      <c r="H61" s="17"/>
      <c r="I61" s="17"/>
      <c r="J61" s="17"/>
      <c r="K61" s="10"/>
    </row>
    <row r="62" spans="1:11" x14ac:dyDescent="0.25">
      <c r="A62" s="15"/>
      <c r="B62" s="15"/>
      <c r="C62" s="15"/>
      <c r="D62" s="15"/>
      <c r="E62" s="15"/>
      <c r="F62" s="22"/>
      <c r="G62" s="15"/>
      <c r="H62" s="15"/>
      <c r="I62" s="15"/>
      <c r="J62" s="15"/>
      <c r="K62" s="15"/>
    </row>
    <row r="63" spans="1:11" x14ac:dyDescent="0.25">
      <c r="A63" s="10" t="s">
        <v>17</v>
      </c>
      <c r="B63" s="10"/>
      <c r="C63" s="9"/>
      <c r="D63" s="10"/>
      <c r="E63" s="10"/>
      <c r="F63" s="10"/>
      <c r="G63" s="17"/>
      <c r="H63" s="17"/>
      <c r="I63" s="17"/>
      <c r="J63" s="17"/>
      <c r="K63" s="10"/>
    </row>
    <row r="64" spans="1:11" x14ac:dyDescent="0.25">
      <c r="A64" s="10" t="s">
        <v>306</v>
      </c>
      <c r="B64" s="10">
        <v>553758397</v>
      </c>
      <c r="C64" s="9">
        <v>45723</v>
      </c>
      <c r="D64" s="10" t="s">
        <v>12</v>
      </c>
      <c r="E64" s="10" t="s">
        <v>38</v>
      </c>
      <c r="F64" s="14" t="s">
        <v>307</v>
      </c>
      <c r="G64" s="48">
        <v>2870.53</v>
      </c>
      <c r="H64" s="48">
        <v>2721.94</v>
      </c>
      <c r="I64" s="48">
        <v>408.15</v>
      </c>
      <c r="J64" s="48">
        <f t="shared" ref="J64:J66" si="3">I64*K64</f>
        <v>244.89</v>
      </c>
      <c r="K64" s="18">
        <v>0.6</v>
      </c>
    </row>
    <row r="65" spans="1:11" x14ac:dyDescent="0.25">
      <c r="A65" s="10" t="s">
        <v>323</v>
      </c>
      <c r="B65" s="10">
        <v>555667688</v>
      </c>
      <c r="C65" s="9">
        <v>45728</v>
      </c>
      <c r="D65" s="10" t="s">
        <v>12</v>
      </c>
      <c r="E65" s="10" t="s">
        <v>41</v>
      </c>
      <c r="F65" s="14" t="s">
        <v>12</v>
      </c>
      <c r="G65" s="48">
        <v>7463.38</v>
      </c>
      <c r="H65" s="48">
        <v>7085.27</v>
      </c>
      <c r="I65" s="48">
        <v>1062.75</v>
      </c>
      <c r="J65" s="48">
        <f t="shared" si="3"/>
        <v>637.65</v>
      </c>
      <c r="K65" s="18">
        <v>0.6</v>
      </c>
    </row>
    <row r="66" spans="1:11" x14ac:dyDescent="0.25">
      <c r="A66" s="10" t="s">
        <v>344</v>
      </c>
      <c r="B66" s="10">
        <v>7495728</v>
      </c>
      <c r="C66" s="9">
        <v>45733</v>
      </c>
      <c r="D66" s="10" t="s">
        <v>12</v>
      </c>
      <c r="E66" s="11" t="s">
        <v>38</v>
      </c>
      <c r="F66" s="14" t="s">
        <v>344</v>
      </c>
      <c r="G66" s="48">
        <v>2678.41</v>
      </c>
      <c r="H66" s="48">
        <v>2678.41</v>
      </c>
      <c r="I66" s="48">
        <v>401.7</v>
      </c>
      <c r="J66" s="48">
        <f t="shared" si="3"/>
        <v>241.01999999999998</v>
      </c>
      <c r="K66" s="18">
        <v>0.6</v>
      </c>
    </row>
    <row r="67" spans="1:11" x14ac:dyDescent="0.25">
      <c r="A67" s="10" t="s">
        <v>358</v>
      </c>
      <c r="B67" s="10">
        <v>549865300</v>
      </c>
      <c r="C67" s="9">
        <v>45743</v>
      </c>
      <c r="D67" s="10" t="s">
        <v>12</v>
      </c>
      <c r="E67" s="10" t="s">
        <v>38</v>
      </c>
      <c r="F67" s="14" t="s">
        <v>302</v>
      </c>
      <c r="G67" s="48">
        <v>22019.52</v>
      </c>
      <c r="H67" s="48">
        <v>20769</v>
      </c>
      <c r="I67" s="48">
        <v>3115.35</v>
      </c>
      <c r="J67" s="48">
        <f>I67*K67</f>
        <v>1869.2099999999998</v>
      </c>
      <c r="K67" s="18">
        <v>0.6</v>
      </c>
    </row>
    <row r="68" spans="1:11" x14ac:dyDescent="0.25">
      <c r="A68" s="10" t="s">
        <v>359</v>
      </c>
      <c r="B68" s="10">
        <v>549866043</v>
      </c>
      <c r="C68" s="9">
        <v>45744</v>
      </c>
      <c r="D68" s="10" t="s">
        <v>12</v>
      </c>
      <c r="E68" s="10" t="s">
        <v>38</v>
      </c>
      <c r="F68" s="14" t="s">
        <v>407</v>
      </c>
      <c r="G68" s="48">
        <v>16727.310000000001</v>
      </c>
      <c r="H68" s="48">
        <v>15904.96</v>
      </c>
      <c r="I68" s="48">
        <v>2385.6</v>
      </c>
      <c r="J68" s="48">
        <f t="shared" ref="J68:J70" si="4">I68*K68</f>
        <v>1431.36</v>
      </c>
      <c r="K68" s="18">
        <v>0.6</v>
      </c>
    </row>
    <row r="69" spans="1:11" x14ac:dyDescent="0.25">
      <c r="A69" s="10"/>
      <c r="B69" s="10"/>
      <c r="C69" s="9"/>
      <c r="D69" s="10"/>
      <c r="E69" s="10"/>
      <c r="F69" s="14"/>
      <c r="G69" s="48"/>
      <c r="H69" s="48"/>
      <c r="I69" s="48"/>
      <c r="J69" s="48">
        <f t="shared" si="4"/>
        <v>0</v>
      </c>
      <c r="K69" s="18">
        <v>0.6</v>
      </c>
    </row>
    <row r="70" spans="1:11" x14ac:dyDescent="0.25">
      <c r="A70" s="10"/>
      <c r="B70" s="10"/>
      <c r="C70" s="9"/>
      <c r="D70" s="10"/>
      <c r="E70" s="10"/>
      <c r="F70" s="11"/>
      <c r="G70" s="49"/>
      <c r="H70" s="49"/>
      <c r="I70" s="48"/>
      <c r="J70" s="48">
        <f t="shared" si="4"/>
        <v>0</v>
      </c>
      <c r="K70" s="18">
        <v>0.6</v>
      </c>
    </row>
    <row r="71" spans="1:11" x14ac:dyDescent="0.25">
      <c r="A71" s="10"/>
      <c r="B71" s="10"/>
      <c r="C71" s="9"/>
      <c r="D71" s="10"/>
      <c r="E71" s="10"/>
      <c r="F71" s="6" t="s">
        <v>13</v>
      </c>
      <c r="G71" s="8">
        <f>SUM(G64:G70)</f>
        <v>51759.149999999994</v>
      </c>
      <c r="H71" s="8">
        <f>SUM(H64:H70)</f>
        <v>49159.58</v>
      </c>
      <c r="I71" s="8">
        <f>SUM(I64:I70)</f>
        <v>7373.5499999999993</v>
      </c>
      <c r="J71" s="8">
        <f>SUM(J64:J70)</f>
        <v>4424.1299999999992</v>
      </c>
      <c r="K71" s="6"/>
    </row>
    <row r="72" spans="1:11" x14ac:dyDescent="0.25">
      <c r="A72" s="10"/>
      <c r="B72" s="10"/>
      <c r="C72" s="9"/>
      <c r="D72" s="10"/>
      <c r="E72" s="10"/>
      <c r="F72" s="13" t="s">
        <v>14</v>
      </c>
      <c r="G72" s="21">
        <f>G65</f>
        <v>7463.38</v>
      </c>
      <c r="H72" s="17"/>
      <c r="I72" s="17"/>
      <c r="J72" s="17"/>
      <c r="K72" s="10"/>
    </row>
    <row r="73" spans="1:11" x14ac:dyDescent="0.25">
      <c r="A73" s="10"/>
      <c r="B73" s="10"/>
      <c r="C73" s="9"/>
      <c r="D73" s="151"/>
      <c r="E73" s="152" t="s">
        <v>18</v>
      </c>
      <c r="F73" s="152"/>
      <c r="G73" s="153">
        <f>G72/6</f>
        <v>1243.8966666666668</v>
      </c>
      <c r="H73" s="17"/>
      <c r="I73" s="17"/>
      <c r="J73" s="17"/>
      <c r="K73" s="10"/>
    </row>
    <row r="74" spans="1:11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</row>
    <row r="75" spans="1:11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</row>
    <row r="76" spans="1:11" x14ac:dyDescent="0.25">
      <c r="A76" s="23"/>
      <c r="B76" s="23"/>
      <c r="C76" s="23"/>
      <c r="D76" s="24"/>
      <c r="E76" s="23"/>
      <c r="F76" s="23"/>
      <c r="G76" s="23"/>
      <c r="H76" s="24"/>
      <c r="I76" s="24"/>
      <c r="J76" s="24"/>
      <c r="K76" s="24"/>
    </row>
    <row r="77" spans="1:11" x14ac:dyDescent="0.25">
      <c r="A77" s="25" t="s">
        <v>19</v>
      </c>
      <c r="B77" s="26"/>
      <c r="C77" s="27">
        <f>G27</f>
        <v>34776.949999999997</v>
      </c>
      <c r="D77" s="24"/>
      <c r="E77" s="135" t="s">
        <v>20</v>
      </c>
      <c r="F77" s="25"/>
      <c r="G77" s="27">
        <f>G62</f>
        <v>0</v>
      </c>
      <c r="H77" s="43"/>
      <c r="I77" s="25" t="s">
        <v>21</v>
      </c>
      <c r="J77" s="25"/>
      <c r="K77" s="28">
        <f>G72</f>
        <v>7463.38</v>
      </c>
    </row>
    <row r="78" spans="1:11" x14ac:dyDescent="0.25">
      <c r="A78" s="26" t="s">
        <v>22</v>
      </c>
      <c r="B78" s="26"/>
      <c r="C78" s="27">
        <f>G28</f>
        <v>5796.1583333333328</v>
      </c>
      <c r="D78" s="136"/>
      <c r="E78" s="137"/>
      <c r="F78" s="137"/>
      <c r="G78" s="26" t="s">
        <v>12</v>
      </c>
      <c r="H78" s="24"/>
      <c r="I78" s="26" t="s">
        <v>23</v>
      </c>
      <c r="J78" s="26"/>
      <c r="K78" s="29">
        <f>G73</f>
        <v>1243.8966666666668</v>
      </c>
    </row>
    <row r="79" spans="1:11" x14ac:dyDescent="0.25">
      <c r="A79" s="26" t="s">
        <v>24</v>
      </c>
      <c r="B79" s="26"/>
      <c r="C79" s="27">
        <f>J26</f>
        <v>21693.725999999999</v>
      </c>
      <c r="D79" s="136"/>
      <c r="E79" s="137" t="s">
        <v>25</v>
      </c>
      <c r="F79" s="137"/>
      <c r="G79" s="27">
        <f>J60</f>
        <v>14857.331999999999</v>
      </c>
      <c r="H79" s="24"/>
      <c r="I79" s="26" t="s">
        <v>26</v>
      </c>
      <c r="J79" s="26"/>
      <c r="K79" s="29">
        <f>J71</f>
        <v>4424.1299999999992</v>
      </c>
    </row>
    <row r="80" spans="1:11" x14ac:dyDescent="0.25">
      <c r="A80" s="26"/>
      <c r="B80" s="26"/>
      <c r="C80" s="27"/>
      <c r="D80" s="136"/>
      <c r="E80" s="137"/>
      <c r="F80" s="137"/>
      <c r="G80" s="27"/>
      <c r="H80" s="24"/>
      <c r="I80" s="26"/>
      <c r="J80" s="26"/>
      <c r="K80" s="30"/>
    </row>
    <row r="81" spans="1:11" x14ac:dyDescent="0.25">
      <c r="A81" s="26"/>
      <c r="B81" s="26"/>
      <c r="C81" s="26"/>
      <c r="D81" s="24"/>
      <c r="E81" s="26"/>
      <c r="F81" s="26"/>
      <c r="G81" s="26"/>
      <c r="H81" s="24"/>
      <c r="I81" s="31"/>
      <c r="J81" s="31"/>
      <c r="K81" s="30"/>
    </row>
    <row r="82" spans="1:11" x14ac:dyDescent="0.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</row>
    <row r="83" spans="1:11" x14ac:dyDescent="0.25">
      <c r="A83" s="42" t="s">
        <v>27</v>
      </c>
      <c r="B83" s="32"/>
      <c r="C83" s="32"/>
      <c r="D83" s="15"/>
      <c r="E83" s="42" t="s">
        <v>28</v>
      </c>
      <c r="F83" s="32"/>
      <c r="G83" s="32"/>
      <c r="H83" s="15"/>
      <c r="I83" s="58" t="s">
        <v>104</v>
      </c>
      <c r="J83" s="59"/>
      <c r="K83" s="59"/>
    </row>
    <row r="84" spans="1:11" x14ac:dyDescent="0.25">
      <c r="A84" s="33"/>
      <c r="B84" s="33"/>
      <c r="C84" s="34"/>
      <c r="D84" s="15"/>
      <c r="E84" s="10"/>
      <c r="F84" s="10"/>
      <c r="G84" s="10"/>
      <c r="H84" s="17"/>
      <c r="I84" s="59"/>
      <c r="J84" s="59"/>
      <c r="K84" s="59"/>
    </row>
    <row r="85" spans="1:11" x14ac:dyDescent="0.25">
      <c r="A85" s="44" t="s">
        <v>29</v>
      </c>
      <c r="B85" s="44"/>
      <c r="C85" s="34">
        <f>J2</f>
        <v>225292.56</v>
      </c>
      <c r="D85" s="53"/>
      <c r="E85" s="54" t="s">
        <v>30</v>
      </c>
      <c r="F85" s="54"/>
      <c r="G85" s="54"/>
      <c r="H85" s="17"/>
      <c r="I85" s="154" t="s">
        <v>416</v>
      </c>
      <c r="J85" s="154">
        <v>21670</v>
      </c>
      <c r="K85" s="155">
        <v>45756</v>
      </c>
    </row>
    <row r="86" spans="1:11" x14ac:dyDescent="0.25">
      <c r="A86" s="44" t="s">
        <v>31</v>
      </c>
      <c r="B86" s="44"/>
      <c r="C86" s="52">
        <f>C79+G79+K79</f>
        <v>40975.187999999995</v>
      </c>
      <c r="D86" s="53"/>
      <c r="E86" s="54" t="s">
        <v>32</v>
      </c>
      <c r="F86" s="54"/>
      <c r="G86" s="55">
        <f>G29</f>
        <v>0</v>
      </c>
      <c r="H86" s="35"/>
      <c r="I86" s="154" t="s">
        <v>416</v>
      </c>
      <c r="J86" s="154">
        <v>130</v>
      </c>
      <c r="K86" s="155">
        <v>45756</v>
      </c>
    </row>
    <row r="87" spans="1:11" x14ac:dyDescent="0.25">
      <c r="A87" s="63" t="s">
        <v>109</v>
      </c>
      <c r="B87" s="139"/>
      <c r="C87" s="139">
        <f>J98</f>
        <v>63874</v>
      </c>
      <c r="D87" s="53"/>
      <c r="E87" s="54" t="s">
        <v>33</v>
      </c>
      <c r="F87" s="54"/>
      <c r="G87" s="55">
        <f>G61</f>
        <v>19927.14</v>
      </c>
      <c r="H87" s="36"/>
      <c r="I87" s="154" t="s">
        <v>417</v>
      </c>
      <c r="J87" s="154">
        <v>2760</v>
      </c>
      <c r="K87" s="155">
        <v>45764</v>
      </c>
    </row>
    <row r="88" spans="1:11" x14ac:dyDescent="0.25">
      <c r="A88" s="138" t="s">
        <v>472</v>
      </c>
      <c r="B88" s="138"/>
      <c r="C88" s="138"/>
      <c r="D88" s="53"/>
      <c r="E88" s="50" t="s">
        <v>462</v>
      </c>
      <c r="F88" s="51"/>
      <c r="G88" s="51">
        <v>1578.29</v>
      </c>
      <c r="H88" s="36"/>
      <c r="I88" s="154" t="s">
        <v>418</v>
      </c>
      <c r="J88" s="154">
        <v>14860</v>
      </c>
      <c r="K88" s="155">
        <v>45758</v>
      </c>
    </row>
    <row r="89" spans="1:11" x14ac:dyDescent="0.25">
      <c r="A89" s="138" t="s">
        <v>13</v>
      </c>
      <c r="B89" s="138"/>
      <c r="C89" s="139">
        <f>C85+C86+C87</f>
        <v>330141.74800000002</v>
      </c>
      <c r="D89" s="53"/>
      <c r="E89" s="50" t="s">
        <v>463</v>
      </c>
      <c r="F89" s="51"/>
      <c r="G89" s="51">
        <v>2097.2399999999998</v>
      </c>
      <c r="H89" s="17"/>
      <c r="I89" s="154" t="s">
        <v>416</v>
      </c>
      <c r="J89" s="154">
        <v>1000</v>
      </c>
      <c r="K89" s="155">
        <v>45756</v>
      </c>
    </row>
    <row r="90" spans="1:11" x14ac:dyDescent="0.25">
      <c r="A90" s="171"/>
      <c r="B90" s="171"/>
      <c r="C90" s="171"/>
      <c r="D90" s="53"/>
      <c r="E90" s="50" t="s">
        <v>464</v>
      </c>
      <c r="F90" s="51"/>
      <c r="G90" s="51">
        <v>2151.1799999999998</v>
      </c>
      <c r="H90" s="17"/>
      <c r="I90" s="154" t="s">
        <v>385</v>
      </c>
      <c r="J90" s="154">
        <v>6744</v>
      </c>
      <c r="K90" s="155">
        <v>45756</v>
      </c>
    </row>
    <row r="91" spans="1:11" x14ac:dyDescent="0.25">
      <c r="A91" s="15"/>
      <c r="B91" s="15"/>
      <c r="C91" s="15"/>
      <c r="D91" s="53"/>
      <c r="E91" s="50" t="s">
        <v>465</v>
      </c>
      <c r="F91" s="51"/>
      <c r="G91" s="55">
        <v>1848.76</v>
      </c>
      <c r="H91" s="17"/>
      <c r="I91" s="154" t="s">
        <v>381</v>
      </c>
      <c r="J91" s="156">
        <v>1110</v>
      </c>
      <c r="K91" s="157">
        <v>45754</v>
      </c>
    </row>
    <row r="92" spans="1:11" x14ac:dyDescent="0.25">
      <c r="A92" s="15"/>
      <c r="B92" s="15"/>
      <c r="C92" s="15"/>
      <c r="D92" s="53"/>
      <c r="E92" s="50" t="s">
        <v>466</v>
      </c>
      <c r="F92" s="51"/>
      <c r="G92" s="51">
        <v>1402.42</v>
      </c>
      <c r="H92" s="17"/>
      <c r="I92" s="154" t="s">
        <v>202</v>
      </c>
      <c r="J92" s="154">
        <v>12800</v>
      </c>
      <c r="K92" s="155">
        <v>45758</v>
      </c>
    </row>
    <row r="93" spans="1:11" x14ac:dyDescent="0.25">
      <c r="A93" s="15"/>
      <c r="B93" s="15"/>
      <c r="C93" s="15"/>
      <c r="D93" s="53"/>
      <c r="E93" s="50" t="s">
        <v>467</v>
      </c>
      <c r="F93" s="51"/>
      <c r="G93" s="55">
        <v>7397.7</v>
      </c>
      <c r="H93" s="17"/>
      <c r="I93" s="59" t="s">
        <v>349</v>
      </c>
      <c r="J93" s="59">
        <v>2800</v>
      </c>
      <c r="K93" s="143">
        <v>45777</v>
      </c>
    </row>
    <row r="94" spans="1:11" x14ac:dyDescent="0.25">
      <c r="A94" s="15"/>
      <c r="B94" s="15"/>
      <c r="C94" s="15"/>
      <c r="D94" s="53"/>
      <c r="E94" s="50" t="s">
        <v>468</v>
      </c>
      <c r="F94" s="56"/>
      <c r="G94" s="57">
        <v>43.43</v>
      </c>
      <c r="H94" s="17"/>
      <c r="I94" s="59"/>
      <c r="J94" s="59"/>
      <c r="K94" s="59"/>
    </row>
    <row r="95" spans="1:11" x14ac:dyDescent="0.25">
      <c r="A95" s="15"/>
      <c r="B95" s="15"/>
      <c r="C95" s="15"/>
      <c r="D95" s="53"/>
      <c r="E95" s="50" t="s">
        <v>457</v>
      </c>
      <c r="F95" s="51"/>
      <c r="G95" s="55">
        <v>5694.99</v>
      </c>
      <c r="H95" s="17"/>
      <c r="I95" s="59"/>
      <c r="J95" s="59"/>
      <c r="K95" s="59"/>
    </row>
    <row r="96" spans="1:11" x14ac:dyDescent="0.25">
      <c r="A96" s="15"/>
      <c r="B96" s="15"/>
      <c r="C96" s="15"/>
      <c r="D96" s="140"/>
      <c r="E96" s="50" t="s">
        <v>469</v>
      </c>
      <c r="F96" s="56"/>
      <c r="G96" s="51">
        <v>4524.8999999999996</v>
      </c>
      <c r="H96" s="17"/>
      <c r="I96" s="59"/>
      <c r="J96" s="59"/>
      <c r="K96" s="59"/>
    </row>
    <row r="97" spans="1:11" x14ac:dyDescent="0.25">
      <c r="A97" s="15"/>
      <c r="B97" s="15"/>
      <c r="C97" s="15"/>
      <c r="D97" s="140"/>
      <c r="E97" s="50" t="s">
        <v>470</v>
      </c>
      <c r="F97" s="51"/>
      <c r="G97" s="55">
        <f>G28</f>
        <v>5796.1583333333328</v>
      </c>
      <c r="H97" s="17"/>
      <c r="I97" s="59"/>
      <c r="J97" s="59"/>
      <c r="K97" s="59"/>
    </row>
    <row r="98" spans="1:11" x14ac:dyDescent="0.25">
      <c r="A98" s="15"/>
      <c r="B98" s="15"/>
      <c r="C98" s="15"/>
      <c r="D98" s="140"/>
      <c r="E98" s="50" t="s">
        <v>471</v>
      </c>
      <c r="F98" s="56"/>
      <c r="G98" s="51">
        <f>G73</f>
        <v>1243.8966666666668</v>
      </c>
      <c r="H98" s="17"/>
      <c r="I98" s="58" t="s">
        <v>13</v>
      </c>
      <c r="J98" s="58">
        <f>J85+J86+J87+J88+J89+J90+J91+J92+J93+J94+J95+J96+J97</f>
        <v>63874</v>
      </c>
      <c r="K98" s="58"/>
    </row>
    <row r="99" spans="1:11" x14ac:dyDescent="0.25">
      <c r="A99" s="15"/>
      <c r="B99" s="15"/>
      <c r="C99" s="15"/>
      <c r="D99" s="140"/>
      <c r="E99" s="170"/>
      <c r="F99" s="170"/>
      <c r="G99" s="170"/>
      <c r="H99" s="17"/>
      <c r="I99" s="15"/>
      <c r="J99" s="15"/>
      <c r="K99" s="15"/>
    </row>
    <row r="100" spans="1:11" x14ac:dyDescent="0.25">
      <c r="A100" s="15"/>
      <c r="B100" s="15"/>
      <c r="C100" s="15"/>
      <c r="D100" s="53"/>
      <c r="E100" s="44" t="s">
        <v>13</v>
      </c>
      <c r="F100" s="56"/>
      <c r="G100" s="57">
        <f>SUM(G87:G98)</f>
        <v>53706.104999999996</v>
      </c>
      <c r="H100" s="38"/>
      <c r="I100" s="15"/>
      <c r="J100" s="15"/>
      <c r="K100" s="15"/>
    </row>
    <row r="101" spans="1:11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</row>
    <row r="102" spans="1:1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</row>
    <row r="103" spans="1:11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</row>
    <row r="104" spans="1:11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</row>
    <row r="105" spans="1:11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</row>
    <row r="106" spans="1:11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</row>
    <row r="107" spans="1:11" x14ac:dyDescent="0.25">
      <c r="A107" s="15"/>
      <c r="B107" s="15"/>
      <c r="C107" s="39" t="s">
        <v>35</v>
      </c>
      <c r="D107" s="39"/>
      <c r="E107" s="40">
        <f>C89-G100</f>
        <v>276435.64300000004</v>
      </c>
      <c r="F107" s="15"/>
      <c r="G107" s="15"/>
      <c r="H107" s="15"/>
      <c r="I107" s="15"/>
      <c r="J107" s="15"/>
      <c r="K107" s="15"/>
    </row>
    <row r="108" spans="1:11" x14ac:dyDescent="0.25">
      <c r="A108" s="15"/>
      <c r="B108" s="15"/>
      <c r="C108" s="37"/>
      <c r="D108" s="37"/>
      <c r="E108" s="37"/>
      <c r="F108" s="15"/>
      <c r="G108" s="15"/>
      <c r="H108" s="15"/>
      <c r="I108" s="15"/>
      <c r="J108" s="15"/>
      <c r="K108" s="15"/>
    </row>
  </sheetData>
  <conditionalFormatting sqref="E1 E3:E61 E63:E73">
    <cfRule type="cellIs" dxfId="51" priority="3" operator="equal">
      <formula>"K.KART"</formula>
    </cfRule>
    <cfRule type="cellIs" dxfId="50" priority="4" operator="equal">
      <formula>"AÇIK"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3FC0-4CC6-44E9-97B3-704848B0D81A}">
  <dimension ref="A1:N113"/>
  <sheetViews>
    <sheetView topLeftCell="A4" zoomScale="98" zoomScaleNormal="98" workbookViewId="0">
      <selection activeCell="A22" sqref="A22:XFD22"/>
    </sheetView>
  </sheetViews>
  <sheetFormatPr defaultRowHeight="15" x14ac:dyDescent="0.25"/>
  <cols>
    <col min="1" max="1" width="25.140625" customWidth="1"/>
    <col min="2" max="2" width="15.140625" customWidth="1"/>
    <col min="3" max="3" width="15.7109375" customWidth="1"/>
    <col min="4" max="4" width="12.5703125" customWidth="1"/>
    <col min="5" max="5" width="13" customWidth="1"/>
    <col min="6" max="6" width="18.5703125" customWidth="1"/>
    <col min="7" max="7" width="12.85546875" customWidth="1"/>
    <col min="8" max="8" width="13" customWidth="1"/>
    <col min="9" max="9" width="18" customWidth="1"/>
    <col min="10" max="10" width="15.42578125" customWidth="1"/>
    <col min="11" max="11" width="11.42578125" customWidth="1"/>
    <col min="13" max="13" width="10.5703125" bestFit="1" customWidth="1"/>
    <col min="14" max="14" width="11.28515625" customWidth="1"/>
  </cols>
  <sheetData>
    <row r="1" spans="1:11" x14ac:dyDescent="0.25">
      <c r="A1" s="41" t="s">
        <v>374</v>
      </c>
      <c r="B1" s="2"/>
      <c r="C1" s="1"/>
      <c r="D1" s="2"/>
      <c r="E1" s="3"/>
      <c r="F1" s="3"/>
      <c r="G1" s="4"/>
      <c r="H1" s="4"/>
      <c r="I1" s="4"/>
      <c r="J1" s="4"/>
      <c r="K1" s="2"/>
    </row>
    <row r="2" spans="1:11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40">
        <v>276435.64</v>
      </c>
      <c r="K2" s="5"/>
    </row>
    <row r="3" spans="1:11" x14ac:dyDescent="0.25">
      <c r="A3" s="6" t="s">
        <v>1</v>
      </c>
      <c r="B3" s="6" t="s">
        <v>2</v>
      </c>
      <c r="C3" s="7" t="s">
        <v>3</v>
      </c>
      <c r="D3" s="6" t="s">
        <v>4</v>
      </c>
      <c r="E3" s="6" t="s">
        <v>5</v>
      </c>
      <c r="F3" s="6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6" t="s">
        <v>11</v>
      </c>
    </row>
    <row r="4" spans="1:11" x14ac:dyDescent="0.25">
      <c r="A4" s="10" t="s">
        <v>375</v>
      </c>
      <c r="B4" s="10">
        <v>560302921</v>
      </c>
      <c r="C4" s="9">
        <v>45751</v>
      </c>
      <c r="D4" s="10" t="s">
        <v>376</v>
      </c>
      <c r="E4" s="10" t="s">
        <v>38</v>
      </c>
      <c r="F4" s="10" t="s">
        <v>526</v>
      </c>
      <c r="G4" s="16">
        <v>8163.12</v>
      </c>
      <c r="H4" s="17">
        <v>7774.4</v>
      </c>
      <c r="I4" s="17">
        <v>1166.1600000000001</v>
      </c>
      <c r="J4" s="17">
        <f>I4*K4</f>
        <v>699.69600000000003</v>
      </c>
      <c r="K4" s="18">
        <v>0.6</v>
      </c>
    </row>
    <row r="5" spans="1:11" x14ac:dyDescent="0.25">
      <c r="A5" s="10" t="s">
        <v>379</v>
      </c>
      <c r="B5" s="10">
        <v>561494001</v>
      </c>
      <c r="C5" s="9">
        <v>45765</v>
      </c>
      <c r="D5" s="10" t="s">
        <v>380</v>
      </c>
      <c r="E5" s="10" t="s">
        <v>38</v>
      </c>
      <c r="F5" s="10" t="s">
        <v>379</v>
      </c>
      <c r="G5" s="17">
        <v>8677.92</v>
      </c>
      <c r="H5" s="17">
        <v>8264.68</v>
      </c>
      <c r="I5" s="150">
        <v>1239.71</v>
      </c>
      <c r="J5" s="17">
        <f t="shared" ref="J5:J25" si="0">I5*K5</f>
        <v>743.82600000000002</v>
      </c>
      <c r="K5" s="18">
        <v>0.6</v>
      </c>
    </row>
    <row r="6" spans="1:11" x14ac:dyDescent="0.25">
      <c r="A6" s="10" t="s">
        <v>381</v>
      </c>
      <c r="B6" s="10">
        <v>561349586</v>
      </c>
      <c r="C6" s="9">
        <v>45757</v>
      </c>
      <c r="D6" s="10" t="s">
        <v>382</v>
      </c>
      <c r="E6" s="10" t="s">
        <v>38</v>
      </c>
      <c r="F6" s="10" t="s">
        <v>381</v>
      </c>
      <c r="G6" s="17">
        <v>15445.6</v>
      </c>
      <c r="H6" s="17">
        <v>14710.09</v>
      </c>
      <c r="I6" s="17">
        <v>2206.52</v>
      </c>
      <c r="J6" s="17">
        <f t="shared" si="0"/>
        <v>1323.912</v>
      </c>
      <c r="K6" s="18">
        <v>0.6</v>
      </c>
    </row>
    <row r="7" spans="1:11" x14ac:dyDescent="0.25">
      <c r="A7" s="10" t="s">
        <v>383</v>
      </c>
      <c r="B7" s="10">
        <v>562416972</v>
      </c>
      <c r="C7" s="9">
        <v>45755</v>
      </c>
      <c r="D7" s="19" t="s">
        <v>384</v>
      </c>
      <c r="E7" s="10" t="s">
        <v>38</v>
      </c>
      <c r="F7" s="10" t="s">
        <v>383</v>
      </c>
      <c r="G7" s="17">
        <v>14915.09</v>
      </c>
      <c r="H7" s="17">
        <v>14204.84</v>
      </c>
      <c r="I7" s="17">
        <v>2130.73</v>
      </c>
      <c r="J7" s="17">
        <f t="shared" si="0"/>
        <v>1278.4379999999999</v>
      </c>
      <c r="K7" s="18">
        <v>0.6</v>
      </c>
    </row>
    <row r="8" spans="1:11" x14ac:dyDescent="0.25">
      <c r="A8" s="10" t="s">
        <v>385</v>
      </c>
      <c r="B8" s="10">
        <v>561364586</v>
      </c>
      <c r="C8" s="9">
        <v>45763</v>
      </c>
      <c r="D8" s="19" t="s">
        <v>386</v>
      </c>
      <c r="E8" s="10" t="s">
        <v>38</v>
      </c>
      <c r="F8" s="10" t="s">
        <v>385</v>
      </c>
      <c r="G8" s="17">
        <v>15021.81</v>
      </c>
      <c r="H8" s="17">
        <v>14306.48</v>
      </c>
      <c r="I8" s="17">
        <v>2145.98</v>
      </c>
      <c r="J8" s="17">
        <f t="shared" si="0"/>
        <v>1287.588</v>
      </c>
      <c r="K8" s="18">
        <v>0.6</v>
      </c>
    </row>
    <row r="9" spans="1:11" x14ac:dyDescent="0.25">
      <c r="A9" s="10" t="s">
        <v>387</v>
      </c>
      <c r="B9" s="10">
        <v>561371541</v>
      </c>
      <c r="C9" s="9">
        <v>45764</v>
      </c>
      <c r="D9" s="10" t="s">
        <v>388</v>
      </c>
      <c r="E9" s="10" t="s">
        <v>38</v>
      </c>
      <c r="F9" s="10" t="s">
        <v>525</v>
      </c>
      <c r="G9" s="17">
        <v>12904.1</v>
      </c>
      <c r="H9" s="17">
        <v>12289.61</v>
      </c>
      <c r="I9" s="17">
        <v>1843.45</v>
      </c>
      <c r="J9" s="17">
        <f t="shared" si="0"/>
        <v>1106.07</v>
      </c>
      <c r="K9" s="18">
        <v>0.6</v>
      </c>
    </row>
    <row r="10" spans="1:11" x14ac:dyDescent="0.25">
      <c r="A10" s="10" t="s">
        <v>389</v>
      </c>
      <c r="B10" s="10">
        <v>563348553</v>
      </c>
      <c r="C10" s="9">
        <v>45762</v>
      </c>
      <c r="D10" s="10" t="s">
        <v>390</v>
      </c>
      <c r="E10" s="10" t="s">
        <v>38</v>
      </c>
      <c r="F10" s="10" t="s">
        <v>389</v>
      </c>
      <c r="G10" s="17">
        <v>11107.96</v>
      </c>
      <c r="H10" s="17">
        <v>10579.01</v>
      </c>
      <c r="I10" s="17">
        <v>1586.86</v>
      </c>
      <c r="J10" s="17">
        <f t="shared" si="0"/>
        <v>952.11599999999987</v>
      </c>
      <c r="K10" s="18">
        <v>0.6</v>
      </c>
    </row>
    <row r="11" spans="1:11" x14ac:dyDescent="0.25">
      <c r="A11" s="10" t="s">
        <v>393</v>
      </c>
      <c r="B11" s="10">
        <v>564094257</v>
      </c>
      <c r="C11" s="9">
        <v>45763</v>
      </c>
      <c r="D11" s="10" t="s">
        <v>394</v>
      </c>
      <c r="E11" s="10" t="s">
        <v>38</v>
      </c>
      <c r="F11" s="10" t="s">
        <v>393</v>
      </c>
      <c r="G11" s="17">
        <v>13248.92</v>
      </c>
      <c r="H11" s="17">
        <v>12618.01</v>
      </c>
      <c r="I11" s="17">
        <v>1892.71</v>
      </c>
      <c r="J11" s="17">
        <f t="shared" si="0"/>
        <v>1135.626</v>
      </c>
      <c r="K11" s="18">
        <v>0.6</v>
      </c>
    </row>
    <row r="12" spans="1:11" x14ac:dyDescent="0.25">
      <c r="A12" s="10" t="s">
        <v>397</v>
      </c>
      <c r="B12" s="10">
        <v>565343938</v>
      </c>
      <c r="C12" s="9">
        <v>45766</v>
      </c>
      <c r="D12" s="10" t="s">
        <v>398</v>
      </c>
      <c r="E12" s="10" t="s">
        <v>38</v>
      </c>
      <c r="F12" s="10" t="s">
        <v>397</v>
      </c>
      <c r="G12" s="17">
        <v>19777.509999999998</v>
      </c>
      <c r="H12" s="17">
        <v>18835.72</v>
      </c>
      <c r="I12" s="17">
        <v>2825.36</v>
      </c>
      <c r="J12" s="17">
        <f t="shared" si="0"/>
        <v>1695.2160000000001</v>
      </c>
      <c r="K12" s="18">
        <v>0.6</v>
      </c>
    </row>
    <row r="13" spans="1:11" x14ac:dyDescent="0.25">
      <c r="A13" s="10" t="s">
        <v>399</v>
      </c>
      <c r="B13" s="10">
        <v>562630858</v>
      </c>
      <c r="C13" s="9">
        <v>45769</v>
      </c>
      <c r="D13" s="10" t="s">
        <v>400</v>
      </c>
      <c r="E13" s="10" t="s">
        <v>38</v>
      </c>
      <c r="F13" s="10" t="s">
        <v>399</v>
      </c>
      <c r="G13" s="17">
        <v>10659.22</v>
      </c>
      <c r="H13" s="17">
        <v>10151.629999999999</v>
      </c>
      <c r="I13" s="17">
        <v>1522.75</v>
      </c>
      <c r="J13" s="17">
        <f t="shared" si="0"/>
        <v>913.65</v>
      </c>
      <c r="K13" s="18">
        <v>0.6</v>
      </c>
    </row>
    <row r="14" spans="1:11" x14ac:dyDescent="0.25">
      <c r="A14" s="10" t="s">
        <v>427</v>
      </c>
      <c r="B14" s="10">
        <v>566585437</v>
      </c>
      <c r="C14" s="9">
        <v>45771</v>
      </c>
      <c r="D14" s="10" t="s">
        <v>428</v>
      </c>
      <c r="E14" s="10" t="s">
        <v>38</v>
      </c>
      <c r="F14" s="11" t="s">
        <v>427</v>
      </c>
      <c r="G14" s="17">
        <v>12332.24</v>
      </c>
      <c r="H14" s="17">
        <v>11744.99</v>
      </c>
      <c r="I14" s="17">
        <v>1761.75</v>
      </c>
      <c r="J14" s="17">
        <f t="shared" si="0"/>
        <v>1057.05</v>
      </c>
      <c r="K14" s="18">
        <v>0.6</v>
      </c>
    </row>
    <row r="15" spans="1:11" x14ac:dyDescent="0.25">
      <c r="A15" s="10" t="s">
        <v>429</v>
      </c>
      <c r="B15" s="10">
        <v>563151549</v>
      </c>
      <c r="C15" s="9">
        <v>45776</v>
      </c>
      <c r="D15" s="10" t="s">
        <v>430</v>
      </c>
      <c r="E15" s="10" t="s">
        <v>38</v>
      </c>
      <c r="F15" s="11" t="s">
        <v>429</v>
      </c>
      <c r="G15" s="17">
        <v>16234.47</v>
      </c>
      <c r="H15" s="17">
        <v>15461.39</v>
      </c>
      <c r="I15" s="17">
        <v>2319.21</v>
      </c>
      <c r="J15" s="17">
        <f t="shared" si="0"/>
        <v>1391.5260000000001</v>
      </c>
      <c r="K15" s="18">
        <v>0.6</v>
      </c>
    </row>
    <row r="16" spans="1:11" x14ac:dyDescent="0.25">
      <c r="A16" s="10" t="s">
        <v>431</v>
      </c>
      <c r="B16" s="10">
        <v>565767344</v>
      </c>
      <c r="C16" s="9">
        <v>45775</v>
      </c>
      <c r="D16" s="10" t="s">
        <v>432</v>
      </c>
      <c r="E16" s="10" t="s">
        <v>38</v>
      </c>
      <c r="F16" s="10" t="s">
        <v>312</v>
      </c>
      <c r="G16" s="17">
        <v>16714.02</v>
      </c>
      <c r="H16" s="17">
        <v>15918.12</v>
      </c>
      <c r="I16" s="17">
        <v>2387.71</v>
      </c>
      <c r="J16" s="17">
        <f t="shared" si="0"/>
        <v>1432.626</v>
      </c>
      <c r="K16" s="18">
        <v>0.6</v>
      </c>
    </row>
    <row r="17" spans="1:14" x14ac:dyDescent="0.25">
      <c r="A17" s="10" t="s">
        <v>433</v>
      </c>
      <c r="B17" s="10">
        <v>567138129</v>
      </c>
      <c r="C17" s="9">
        <v>45772</v>
      </c>
      <c r="D17" s="10" t="s">
        <v>434</v>
      </c>
      <c r="E17" s="10" t="s">
        <v>38</v>
      </c>
      <c r="F17" s="10" t="s">
        <v>57</v>
      </c>
      <c r="G17" s="17">
        <v>12597.19</v>
      </c>
      <c r="H17" s="17">
        <v>11997.32</v>
      </c>
      <c r="I17" s="17">
        <v>1799.6</v>
      </c>
      <c r="J17" s="17">
        <f t="shared" si="0"/>
        <v>1079.76</v>
      </c>
      <c r="K17" s="18">
        <v>0.6</v>
      </c>
    </row>
    <row r="18" spans="1:14" x14ac:dyDescent="0.25">
      <c r="A18" s="10" t="s">
        <v>175</v>
      </c>
      <c r="B18" s="10">
        <v>565827989</v>
      </c>
      <c r="C18" s="9">
        <v>45777</v>
      </c>
      <c r="D18" s="10" t="s">
        <v>176</v>
      </c>
      <c r="E18" s="10" t="s">
        <v>38</v>
      </c>
      <c r="F18" s="10" t="s">
        <v>57</v>
      </c>
      <c r="G18" s="17">
        <v>15041.04</v>
      </c>
      <c r="H18" s="17">
        <v>14324.8</v>
      </c>
      <c r="I18" s="17">
        <v>2148.7199999999998</v>
      </c>
      <c r="J18" s="17">
        <f t="shared" si="0"/>
        <v>1289.2319999999997</v>
      </c>
      <c r="K18" s="18">
        <v>0.6</v>
      </c>
    </row>
    <row r="19" spans="1:14" x14ac:dyDescent="0.25">
      <c r="A19" s="10" t="s">
        <v>484</v>
      </c>
      <c r="B19" s="10">
        <v>565810617</v>
      </c>
      <c r="C19" s="9">
        <v>45776</v>
      </c>
      <c r="D19" s="10" t="s">
        <v>485</v>
      </c>
      <c r="E19" s="10" t="s">
        <v>38</v>
      </c>
      <c r="F19" s="10" t="s">
        <v>486</v>
      </c>
      <c r="G19" s="17">
        <v>14470.2</v>
      </c>
      <c r="H19" s="17">
        <v>13781.15</v>
      </c>
      <c r="I19" s="17">
        <v>2067.16</v>
      </c>
      <c r="J19" s="17">
        <f>I19*K19</f>
        <v>1240.2959999999998</v>
      </c>
      <c r="K19" s="18">
        <v>0.6</v>
      </c>
      <c r="M19" s="173"/>
      <c r="N19" s="173"/>
    </row>
    <row r="20" spans="1:14" x14ac:dyDescent="0.25">
      <c r="A20" s="144" t="s">
        <v>93</v>
      </c>
      <c r="B20" s="144">
        <v>526335226</v>
      </c>
      <c r="C20" s="145">
        <v>45771</v>
      </c>
      <c r="D20" s="144" t="s">
        <v>528</v>
      </c>
      <c r="E20" s="144" t="s">
        <v>38</v>
      </c>
      <c r="F20" s="144" t="s">
        <v>419</v>
      </c>
      <c r="G20" s="146">
        <v>7832.9</v>
      </c>
      <c r="H20" s="146">
        <v>7459.9</v>
      </c>
      <c r="I20" s="159">
        <v>-1118.99</v>
      </c>
      <c r="J20" s="146">
        <f t="shared" si="0"/>
        <v>-671.39400000000001</v>
      </c>
      <c r="K20" s="172">
        <v>0.6</v>
      </c>
    </row>
    <row r="21" spans="1:14" x14ac:dyDescent="0.25">
      <c r="A21" s="144" t="s">
        <v>529</v>
      </c>
      <c r="B21" s="144">
        <v>500891222</v>
      </c>
      <c r="C21" s="145">
        <v>45762</v>
      </c>
      <c r="D21" s="144" t="s">
        <v>530</v>
      </c>
      <c r="E21" s="144" t="s">
        <v>38</v>
      </c>
      <c r="F21" s="147" t="s">
        <v>419</v>
      </c>
      <c r="G21" s="146">
        <v>5017.0200000000004</v>
      </c>
      <c r="H21" s="146">
        <v>4778.12</v>
      </c>
      <c r="I21" s="159">
        <v>-706.56</v>
      </c>
      <c r="J21" s="146">
        <f t="shared" si="0"/>
        <v>-423.93599999999998</v>
      </c>
      <c r="K21" s="172">
        <v>0.6</v>
      </c>
    </row>
    <row r="22" spans="1:14" x14ac:dyDescent="0.25">
      <c r="A22" s="144" t="s">
        <v>328</v>
      </c>
      <c r="B22" s="144">
        <v>554214258</v>
      </c>
      <c r="C22" s="145">
        <v>45762</v>
      </c>
      <c r="D22" s="144" t="s">
        <v>329</v>
      </c>
      <c r="E22" s="144" t="s">
        <v>41</v>
      </c>
      <c r="F22" s="147" t="s">
        <v>419</v>
      </c>
      <c r="G22" s="146">
        <v>12537.75</v>
      </c>
      <c r="H22" s="146">
        <v>11940.7</v>
      </c>
      <c r="I22" s="159">
        <v>-1791.11</v>
      </c>
      <c r="J22" s="146">
        <f t="shared" si="0"/>
        <v>-1074.6659999999999</v>
      </c>
      <c r="K22" s="172">
        <v>0.6</v>
      </c>
    </row>
    <row r="23" spans="1:14" x14ac:dyDescent="0.25">
      <c r="A23" s="10" t="s">
        <v>536</v>
      </c>
      <c r="B23" s="10">
        <v>512111376</v>
      </c>
      <c r="C23" s="9">
        <v>45761</v>
      </c>
      <c r="D23" s="10" t="s">
        <v>538</v>
      </c>
      <c r="E23" s="10" t="s">
        <v>41</v>
      </c>
      <c r="F23" s="11" t="s">
        <v>540</v>
      </c>
      <c r="G23" s="17">
        <v>465.02</v>
      </c>
      <c r="H23" s="17">
        <v>442.88</v>
      </c>
      <c r="I23" s="69">
        <v>66.42</v>
      </c>
      <c r="J23" s="17">
        <f t="shared" si="0"/>
        <v>39.851999999999997</v>
      </c>
      <c r="K23" s="172">
        <v>0.6</v>
      </c>
    </row>
    <row r="24" spans="1:14" x14ac:dyDescent="0.25">
      <c r="A24" s="144" t="s">
        <v>537</v>
      </c>
      <c r="B24" s="144">
        <v>482797140</v>
      </c>
      <c r="C24" s="145">
        <v>45716</v>
      </c>
      <c r="D24" s="144" t="s">
        <v>539</v>
      </c>
      <c r="E24" s="144" t="s">
        <v>41</v>
      </c>
      <c r="F24" s="147" t="s">
        <v>541</v>
      </c>
      <c r="G24" s="146">
        <v>1189.6099999999999</v>
      </c>
      <c r="H24" s="146">
        <v>1132.97</v>
      </c>
      <c r="I24" s="159">
        <v>-169.94</v>
      </c>
      <c r="J24" s="146">
        <f>I24*K24</f>
        <v>-101.964</v>
      </c>
      <c r="K24" s="172">
        <v>0.6</v>
      </c>
    </row>
    <row r="25" spans="1:14" x14ac:dyDescent="0.25">
      <c r="A25" s="10"/>
      <c r="B25" s="10"/>
      <c r="C25" s="9"/>
      <c r="D25" s="10"/>
      <c r="E25" s="10"/>
      <c r="F25" s="11"/>
      <c r="G25" s="17"/>
      <c r="H25" s="17"/>
      <c r="I25" s="17"/>
      <c r="J25" s="17">
        <f t="shared" si="0"/>
        <v>0</v>
      </c>
      <c r="K25" s="18"/>
    </row>
    <row r="26" spans="1:14" x14ac:dyDescent="0.25">
      <c r="A26" s="10"/>
      <c r="B26" s="10"/>
      <c r="C26" s="9"/>
      <c r="D26" s="10"/>
      <c r="E26" s="10"/>
      <c r="F26" s="6" t="s">
        <v>13</v>
      </c>
      <c r="G26" s="8">
        <f>SUM(G4:G24)</f>
        <v>244352.70999999996</v>
      </c>
      <c r="H26" s="8">
        <f>SUM(H4:H24)</f>
        <v>232716.80999999997</v>
      </c>
      <c r="I26" s="8">
        <f>SUM(I4:I24)</f>
        <v>27324.199999999993</v>
      </c>
      <c r="J26" s="8">
        <f>SUM(J4:J25)</f>
        <v>16394.519999999993</v>
      </c>
      <c r="K26" s="6"/>
    </row>
    <row r="27" spans="1:14" x14ac:dyDescent="0.25">
      <c r="A27" s="10"/>
      <c r="B27" s="10"/>
      <c r="C27" s="9"/>
      <c r="D27" s="10"/>
      <c r="E27" s="10"/>
      <c r="F27" s="13" t="s">
        <v>14</v>
      </c>
      <c r="G27" s="21">
        <f>G23</f>
        <v>465.02</v>
      </c>
      <c r="H27" s="17"/>
      <c r="I27" s="17"/>
      <c r="J27" s="17"/>
      <c r="K27" s="10"/>
    </row>
    <row r="28" spans="1:14" x14ac:dyDescent="0.25">
      <c r="A28" s="10"/>
      <c r="B28" s="10"/>
      <c r="C28" s="9"/>
      <c r="D28" s="10"/>
      <c r="E28" s="45"/>
      <c r="F28" s="46" t="s">
        <v>15</v>
      </c>
      <c r="G28" s="47">
        <f>G27/6</f>
        <v>77.50333333333333</v>
      </c>
      <c r="H28" s="17"/>
      <c r="I28" s="17"/>
      <c r="J28" s="17"/>
      <c r="K28" s="10"/>
    </row>
    <row r="29" spans="1:14" x14ac:dyDescent="0.25">
      <c r="A29" s="10"/>
      <c r="B29" s="10"/>
      <c r="C29" s="9"/>
      <c r="D29" s="10"/>
      <c r="E29" s="10"/>
      <c r="F29" s="10"/>
      <c r="G29" s="17"/>
      <c r="H29" s="17"/>
      <c r="I29" s="17"/>
      <c r="J29" s="17"/>
      <c r="K29" s="10"/>
    </row>
    <row r="30" spans="1:14" x14ac:dyDescent="0.25">
      <c r="A30" s="10" t="s">
        <v>16</v>
      </c>
      <c r="B30" s="10"/>
      <c r="C30" s="9"/>
      <c r="D30" s="10"/>
      <c r="E30" s="10"/>
      <c r="F30" s="10"/>
      <c r="G30" s="17"/>
      <c r="H30" s="17"/>
      <c r="I30" s="17"/>
      <c r="J30" s="17"/>
      <c r="K30" s="10"/>
    </row>
    <row r="31" spans="1:14" x14ac:dyDescent="0.25">
      <c r="A31" s="10" t="s">
        <v>375</v>
      </c>
      <c r="B31" s="20">
        <v>560304190</v>
      </c>
      <c r="C31" s="12">
        <v>45751</v>
      </c>
      <c r="D31" s="11" t="s">
        <v>376</v>
      </c>
      <c r="E31" s="11" t="s">
        <v>38</v>
      </c>
      <c r="F31" s="11" t="s">
        <v>57</v>
      </c>
      <c r="G31" s="16">
        <v>11754.01</v>
      </c>
      <c r="H31" s="16">
        <v>10494.66</v>
      </c>
      <c r="I31" s="17">
        <v>1049.47</v>
      </c>
      <c r="J31" s="17">
        <f>I31*K31</f>
        <v>629.68200000000002</v>
      </c>
      <c r="K31" s="18">
        <v>0.6</v>
      </c>
    </row>
    <row r="32" spans="1:14" x14ac:dyDescent="0.25">
      <c r="A32" s="10" t="s">
        <v>377</v>
      </c>
      <c r="B32" s="11">
        <v>559296567</v>
      </c>
      <c r="C32" s="12">
        <v>45753</v>
      </c>
      <c r="D32" s="11" t="s">
        <v>378</v>
      </c>
      <c r="E32" s="11" t="s">
        <v>38</v>
      </c>
      <c r="F32" s="11" t="s">
        <v>57</v>
      </c>
      <c r="G32" s="16">
        <v>12544.13</v>
      </c>
      <c r="H32" s="16">
        <v>11465.06</v>
      </c>
      <c r="I32" s="17">
        <v>1146.51</v>
      </c>
      <c r="J32" s="17">
        <f>I32*K32</f>
        <v>687.90599999999995</v>
      </c>
      <c r="K32" s="18">
        <v>0.6</v>
      </c>
    </row>
    <row r="33" spans="1:11" x14ac:dyDescent="0.25">
      <c r="A33" s="10" t="s">
        <v>381</v>
      </c>
      <c r="B33" s="11">
        <v>561910098</v>
      </c>
      <c r="C33" s="12">
        <v>45755</v>
      </c>
      <c r="D33" s="11" t="s">
        <v>382</v>
      </c>
      <c r="E33" s="11" t="s">
        <v>38</v>
      </c>
      <c r="F33" s="11" t="s">
        <v>381</v>
      </c>
      <c r="G33" s="16">
        <v>8092.99</v>
      </c>
      <c r="H33" s="16">
        <v>7225.89</v>
      </c>
      <c r="I33" s="17">
        <v>722.59</v>
      </c>
      <c r="J33" s="17">
        <f t="shared" ref="J33:J57" si="1">I33*K33</f>
        <v>433.55400000000003</v>
      </c>
      <c r="K33" s="18">
        <v>0.6</v>
      </c>
    </row>
    <row r="34" spans="1:11" x14ac:dyDescent="0.25">
      <c r="A34" s="10" t="s">
        <v>385</v>
      </c>
      <c r="B34" s="20">
        <v>562515629</v>
      </c>
      <c r="C34" s="12">
        <v>45763</v>
      </c>
      <c r="D34" s="11" t="s">
        <v>386</v>
      </c>
      <c r="E34" s="11" t="s">
        <v>38</v>
      </c>
      <c r="F34" s="11" t="s">
        <v>57</v>
      </c>
      <c r="G34" s="16">
        <v>6744</v>
      </c>
      <c r="H34" s="16">
        <v>6021.44</v>
      </c>
      <c r="I34" s="17">
        <v>602.14</v>
      </c>
      <c r="J34" s="17">
        <f t="shared" si="1"/>
        <v>361.28399999999999</v>
      </c>
      <c r="K34" s="18">
        <v>0.6</v>
      </c>
    </row>
    <row r="35" spans="1:11" x14ac:dyDescent="0.25">
      <c r="A35" s="10" t="s">
        <v>379</v>
      </c>
      <c r="B35" s="11">
        <v>562942978</v>
      </c>
      <c r="C35" s="12">
        <v>45770</v>
      </c>
      <c r="D35" s="11" t="s">
        <v>380</v>
      </c>
      <c r="E35" s="11" t="s">
        <v>38</v>
      </c>
      <c r="F35" s="11" t="s">
        <v>379</v>
      </c>
      <c r="G35" s="16">
        <v>6744.03</v>
      </c>
      <c r="H35" s="16">
        <v>6021.44</v>
      </c>
      <c r="I35" s="17">
        <v>602.14</v>
      </c>
      <c r="J35" s="17">
        <f t="shared" si="1"/>
        <v>361.28399999999999</v>
      </c>
      <c r="K35" s="18">
        <v>0.6</v>
      </c>
    </row>
    <row r="36" spans="1:11" x14ac:dyDescent="0.25">
      <c r="A36" s="10" t="s">
        <v>391</v>
      </c>
      <c r="B36" s="11">
        <v>563880528</v>
      </c>
      <c r="C36" s="12">
        <v>45761</v>
      </c>
      <c r="D36" s="11" t="s">
        <v>392</v>
      </c>
      <c r="E36" s="11" t="s">
        <v>38</v>
      </c>
      <c r="F36" s="11" t="s">
        <v>391</v>
      </c>
      <c r="G36" s="16">
        <v>10925.53</v>
      </c>
      <c r="H36" s="16">
        <v>9923.5400000000009</v>
      </c>
      <c r="I36" s="17">
        <v>992.36</v>
      </c>
      <c r="J36" s="17">
        <f t="shared" si="1"/>
        <v>595.41599999999994</v>
      </c>
      <c r="K36" s="18">
        <v>0.6</v>
      </c>
    </row>
    <row r="37" spans="1:11" x14ac:dyDescent="0.25">
      <c r="A37" s="10" t="s">
        <v>393</v>
      </c>
      <c r="B37" s="11">
        <v>564095894</v>
      </c>
      <c r="C37" s="12">
        <v>45763</v>
      </c>
      <c r="D37" s="11" t="s">
        <v>394</v>
      </c>
      <c r="E37" s="11" t="s">
        <v>38</v>
      </c>
      <c r="F37" s="11" t="s">
        <v>393</v>
      </c>
      <c r="G37" s="16">
        <v>7559.02</v>
      </c>
      <c r="H37" s="16">
        <v>6749.1</v>
      </c>
      <c r="I37" s="17">
        <v>674.91</v>
      </c>
      <c r="J37" s="17">
        <f t="shared" si="1"/>
        <v>404.94599999999997</v>
      </c>
      <c r="K37" s="18">
        <v>0.6</v>
      </c>
    </row>
    <row r="38" spans="1:11" x14ac:dyDescent="0.25">
      <c r="A38" s="10" t="s">
        <v>396</v>
      </c>
      <c r="B38" s="11">
        <v>564874835</v>
      </c>
      <c r="C38" s="12">
        <v>45764</v>
      </c>
      <c r="D38" s="11" t="s">
        <v>395</v>
      </c>
      <c r="E38" s="11" t="s">
        <v>38</v>
      </c>
      <c r="F38" s="11" t="s">
        <v>396</v>
      </c>
      <c r="G38" s="16">
        <v>15270.14</v>
      </c>
      <c r="H38" s="16">
        <v>13815.82</v>
      </c>
      <c r="I38" s="17">
        <v>1381.58</v>
      </c>
      <c r="J38" s="17">
        <f t="shared" si="1"/>
        <v>828.94799999999998</v>
      </c>
      <c r="K38" s="18">
        <v>0.6</v>
      </c>
    </row>
    <row r="39" spans="1:11" x14ac:dyDescent="0.25">
      <c r="A39" s="10" t="s">
        <v>399</v>
      </c>
      <c r="B39" s="11">
        <v>565921683</v>
      </c>
      <c r="C39" s="12">
        <v>45769</v>
      </c>
      <c r="D39" s="11" t="s">
        <v>400</v>
      </c>
      <c r="E39" s="11" t="s">
        <v>38</v>
      </c>
      <c r="F39" s="11" t="s">
        <v>399</v>
      </c>
      <c r="G39" s="16">
        <v>6744.03</v>
      </c>
      <c r="H39" s="16">
        <v>6021.44</v>
      </c>
      <c r="I39" s="17">
        <v>602.14</v>
      </c>
      <c r="J39" s="17">
        <f t="shared" si="1"/>
        <v>361.28399999999999</v>
      </c>
      <c r="K39" s="18">
        <v>0.6</v>
      </c>
    </row>
    <row r="40" spans="1:11" x14ac:dyDescent="0.25">
      <c r="A40" s="10" t="s">
        <v>401</v>
      </c>
      <c r="B40" s="11">
        <v>565935104</v>
      </c>
      <c r="C40" s="12">
        <v>45768</v>
      </c>
      <c r="D40" s="11" t="s">
        <v>402</v>
      </c>
      <c r="E40" s="11" t="s">
        <v>38</v>
      </c>
      <c r="F40" s="11" t="s">
        <v>57</v>
      </c>
      <c r="G40" s="16">
        <v>16861.28</v>
      </c>
      <c r="H40" s="16">
        <v>15255.43</v>
      </c>
      <c r="I40" s="17">
        <v>1525.55</v>
      </c>
      <c r="J40" s="17">
        <f t="shared" si="1"/>
        <v>915.32999999999993</v>
      </c>
      <c r="K40" s="18">
        <v>0.6</v>
      </c>
    </row>
    <row r="41" spans="1:11" x14ac:dyDescent="0.25">
      <c r="A41" s="10" t="s">
        <v>403</v>
      </c>
      <c r="B41" s="11">
        <v>565345301</v>
      </c>
      <c r="C41" s="12">
        <v>45766</v>
      </c>
      <c r="D41" s="11" t="s">
        <v>404</v>
      </c>
      <c r="E41" s="11" t="s">
        <v>38</v>
      </c>
      <c r="F41" s="11" t="s">
        <v>397</v>
      </c>
      <c r="G41" s="16">
        <v>8092.97</v>
      </c>
      <c r="H41" s="16">
        <v>7225.87</v>
      </c>
      <c r="I41" s="17">
        <v>722.59</v>
      </c>
      <c r="J41" s="17">
        <f t="shared" si="1"/>
        <v>433.55400000000003</v>
      </c>
      <c r="K41" s="18">
        <v>0.6</v>
      </c>
    </row>
    <row r="42" spans="1:11" x14ac:dyDescent="0.25">
      <c r="A42" s="10" t="s">
        <v>405</v>
      </c>
      <c r="B42" s="11">
        <v>562629419</v>
      </c>
      <c r="C42" s="12">
        <v>45767</v>
      </c>
      <c r="D42" s="11" t="s">
        <v>406</v>
      </c>
      <c r="E42" s="11" t="s">
        <v>38</v>
      </c>
      <c r="F42" s="11" t="s">
        <v>405</v>
      </c>
      <c r="G42" s="16">
        <v>10520.9</v>
      </c>
      <c r="H42" s="16">
        <v>9538.16</v>
      </c>
      <c r="I42" s="17">
        <v>953.82</v>
      </c>
      <c r="J42" s="17">
        <f t="shared" si="1"/>
        <v>572.29200000000003</v>
      </c>
      <c r="K42" s="18">
        <v>0.6</v>
      </c>
    </row>
    <row r="43" spans="1:11" x14ac:dyDescent="0.25">
      <c r="A43" s="10" t="s">
        <v>431</v>
      </c>
      <c r="B43" s="10">
        <v>567575618</v>
      </c>
      <c r="C43" s="12">
        <v>45775</v>
      </c>
      <c r="D43" s="11" t="s">
        <v>432</v>
      </c>
      <c r="E43" s="11" t="s">
        <v>38</v>
      </c>
      <c r="F43" s="11" t="s">
        <v>431</v>
      </c>
      <c r="G43" s="16">
        <v>10580</v>
      </c>
      <c r="H43" s="16">
        <v>9446.43</v>
      </c>
      <c r="I43" s="17">
        <v>944.65</v>
      </c>
      <c r="J43" s="17">
        <f t="shared" si="1"/>
        <v>566.79</v>
      </c>
      <c r="K43" s="18">
        <v>0.6</v>
      </c>
    </row>
    <row r="44" spans="1:11" x14ac:dyDescent="0.25">
      <c r="A44" s="10" t="s">
        <v>429</v>
      </c>
      <c r="B44" s="11">
        <v>566621076</v>
      </c>
      <c r="C44" s="12">
        <v>45775</v>
      </c>
      <c r="D44" s="11" t="s">
        <v>430</v>
      </c>
      <c r="E44" s="11" t="s">
        <v>38</v>
      </c>
      <c r="F44" s="11" t="s">
        <v>429</v>
      </c>
      <c r="G44" s="16">
        <v>10791.06</v>
      </c>
      <c r="H44" s="16">
        <v>9634.8799999999992</v>
      </c>
      <c r="I44" s="17">
        <v>963.49</v>
      </c>
      <c r="J44" s="17">
        <f t="shared" si="1"/>
        <v>578.09399999999994</v>
      </c>
      <c r="K44" s="18">
        <v>0.6</v>
      </c>
    </row>
    <row r="45" spans="1:11" x14ac:dyDescent="0.25">
      <c r="A45" s="10" t="s">
        <v>435</v>
      </c>
      <c r="B45" s="11">
        <v>565760211</v>
      </c>
      <c r="C45" s="12">
        <v>45774</v>
      </c>
      <c r="D45" s="11" t="s">
        <v>436</v>
      </c>
      <c r="E45" s="11" t="s">
        <v>38</v>
      </c>
      <c r="F45" s="11" t="s">
        <v>437</v>
      </c>
      <c r="G45" s="16">
        <v>14812</v>
      </c>
      <c r="H45" s="16">
        <v>13476.91</v>
      </c>
      <c r="I45" s="17">
        <v>1347.69</v>
      </c>
      <c r="J45" s="17">
        <f t="shared" si="1"/>
        <v>808.61400000000003</v>
      </c>
      <c r="K45" s="18">
        <v>0.6</v>
      </c>
    </row>
    <row r="46" spans="1:11" x14ac:dyDescent="0.25">
      <c r="A46" s="10" t="s">
        <v>484</v>
      </c>
      <c r="B46" s="11">
        <v>568068349</v>
      </c>
      <c r="C46" s="12">
        <v>45776</v>
      </c>
      <c r="D46" s="11" t="s">
        <v>485</v>
      </c>
      <c r="E46" s="11" t="s">
        <v>38</v>
      </c>
      <c r="F46" s="11" t="s">
        <v>484</v>
      </c>
      <c r="G46" s="16">
        <v>10579.98</v>
      </c>
      <c r="H46" s="16">
        <v>9446.43</v>
      </c>
      <c r="I46" s="17">
        <v>944.64</v>
      </c>
      <c r="J46" s="17">
        <f t="shared" si="1"/>
        <v>566.78399999999999</v>
      </c>
      <c r="K46" s="18">
        <v>0.6</v>
      </c>
    </row>
    <row r="47" spans="1:11" x14ac:dyDescent="0.25">
      <c r="A47" s="144" t="s">
        <v>529</v>
      </c>
      <c r="B47" s="147">
        <v>500884708</v>
      </c>
      <c r="C47" s="148">
        <v>45762</v>
      </c>
      <c r="D47" s="147" t="s">
        <v>530</v>
      </c>
      <c r="E47" s="147" t="s">
        <v>38</v>
      </c>
      <c r="F47" s="147" t="s">
        <v>419</v>
      </c>
      <c r="G47" s="149">
        <v>1611.88</v>
      </c>
      <c r="H47" s="149">
        <v>1439.18</v>
      </c>
      <c r="I47" s="159">
        <v>-98</v>
      </c>
      <c r="J47" s="146">
        <f t="shared" si="1"/>
        <v>-58.8</v>
      </c>
      <c r="K47" s="172">
        <v>0.6</v>
      </c>
    </row>
    <row r="48" spans="1:11" x14ac:dyDescent="0.25">
      <c r="A48" s="144" t="s">
        <v>328</v>
      </c>
      <c r="B48" s="147">
        <v>555987300</v>
      </c>
      <c r="C48" s="148">
        <v>45762</v>
      </c>
      <c r="D48" s="147" t="s">
        <v>329</v>
      </c>
      <c r="E48" s="147" t="s">
        <v>38</v>
      </c>
      <c r="F48" s="147" t="s">
        <v>419</v>
      </c>
      <c r="G48" s="149">
        <v>6101.51</v>
      </c>
      <c r="H48" s="149">
        <v>5447.77</v>
      </c>
      <c r="I48" s="159">
        <v>-179.88</v>
      </c>
      <c r="J48" s="146">
        <f t="shared" si="1"/>
        <v>-107.928</v>
      </c>
      <c r="K48" s="172">
        <v>0.6</v>
      </c>
    </row>
    <row r="49" spans="1:11" x14ac:dyDescent="0.25">
      <c r="A49" s="144" t="s">
        <v>531</v>
      </c>
      <c r="B49" s="147">
        <v>513723313</v>
      </c>
      <c r="C49" s="148">
        <v>45764</v>
      </c>
      <c r="D49" s="147" t="s">
        <v>532</v>
      </c>
      <c r="E49" s="147" t="s">
        <v>38</v>
      </c>
      <c r="F49" s="147" t="s">
        <v>419</v>
      </c>
      <c r="G49" s="149">
        <v>5391.64</v>
      </c>
      <c r="H49" s="149">
        <v>4878.16</v>
      </c>
      <c r="I49" s="159">
        <v>-487.82</v>
      </c>
      <c r="J49" s="146">
        <f t="shared" si="1"/>
        <v>-292.69200000000001</v>
      </c>
      <c r="K49" s="172">
        <v>0.6</v>
      </c>
    </row>
    <row r="50" spans="1:11" x14ac:dyDescent="0.25">
      <c r="A50" s="144" t="s">
        <v>533</v>
      </c>
      <c r="B50" s="147">
        <v>500703436</v>
      </c>
      <c r="C50" s="148">
        <v>45768</v>
      </c>
      <c r="D50" s="147" t="s">
        <v>534</v>
      </c>
      <c r="E50" s="147" t="s">
        <v>38</v>
      </c>
      <c r="F50" s="147" t="s">
        <v>419</v>
      </c>
      <c r="G50" s="149">
        <v>4762.95</v>
      </c>
      <c r="H50" s="149">
        <v>4333.6400000000003</v>
      </c>
      <c r="I50" s="159">
        <v>-433.36</v>
      </c>
      <c r="J50" s="146">
        <f t="shared" si="1"/>
        <v>-260.01600000000002</v>
      </c>
      <c r="K50" s="172">
        <v>0.6</v>
      </c>
    </row>
    <row r="51" spans="1:11" x14ac:dyDescent="0.25">
      <c r="A51" s="144" t="s">
        <v>93</v>
      </c>
      <c r="B51" s="147">
        <v>528934530</v>
      </c>
      <c r="C51" s="148">
        <v>45766</v>
      </c>
      <c r="D51" s="147" t="s">
        <v>528</v>
      </c>
      <c r="E51" s="147" t="s">
        <v>41</v>
      </c>
      <c r="F51" s="147" t="s">
        <v>419</v>
      </c>
      <c r="G51" s="149">
        <v>5061.8100000000004</v>
      </c>
      <c r="H51" s="149">
        <v>4519.47</v>
      </c>
      <c r="I51" s="159">
        <v>-332.82</v>
      </c>
      <c r="J51" s="146">
        <f t="shared" si="1"/>
        <v>-199.69199999999998</v>
      </c>
      <c r="K51" s="172">
        <v>0.6</v>
      </c>
    </row>
    <row r="52" spans="1:11" x14ac:dyDescent="0.25">
      <c r="A52" s="10"/>
      <c r="B52" s="11"/>
      <c r="C52" s="12"/>
      <c r="D52" s="11"/>
      <c r="E52" s="11"/>
      <c r="F52" s="11"/>
      <c r="G52" s="16"/>
      <c r="H52" s="16"/>
      <c r="I52" s="17"/>
      <c r="J52" s="17">
        <f t="shared" si="1"/>
        <v>0</v>
      </c>
      <c r="K52" s="18">
        <v>0.6</v>
      </c>
    </row>
    <row r="53" spans="1:11" x14ac:dyDescent="0.25">
      <c r="A53" s="10"/>
      <c r="B53" s="11"/>
      <c r="C53" s="12"/>
      <c r="D53" s="11"/>
      <c r="E53" s="11"/>
      <c r="F53" s="11"/>
      <c r="G53" s="16"/>
      <c r="H53" s="16"/>
      <c r="I53" s="17"/>
      <c r="J53" s="17">
        <f t="shared" si="1"/>
        <v>0</v>
      </c>
      <c r="K53" s="18">
        <v>0.6</v>
      </c>
    </row>
    <row r="54" spans="1:11" x14ac:dyDescent="0.25">
      <c r="A54" s="10"/>
      <c r="B54" s="11"/>
      <c r="C54" s="12"/>
      <c r="D54" s="11"/>
      <c r="E54" s="11"/>
      <c r="F54" s="11"/>
      <c r="G54" s="16"/>
      <c r="H54" s="16"/>
      <c r="I54" s="17"/>
      <c r="J54" s="17">
        <f t="shared" si="1"/>
        <v>0</v>
      </c>
      <c r="K54" s="18">
        <v>0.6</v>
      </c>
    </row>
    <row r="55" spans="1:11" x14ac:dyDescent="0.25">
      <c r="A55" s="11"/>
      <c r="B55" s="11"/>
      <c r="C55" s="12"/>
      <c r="D55" s="11"/>
      <c r="E55" s="11"/>
      <c r="F55" s="11"/>
      <c r="G55" s="16"/>
      <c r="H55" s="16"/>
      <c r="I55" s="17"/>
      <c r="J55" s="17">
        <f t="shared" si="1"/>
        <v>0</v>
      </c>
      <c r="K55" s="18">
        <v>0.6</v>
      </c>
    </row>
    <row r="56" spans="1:11" x14ac:dyDescent="0.25">
      <c r="A56" s="11"/>
      <c r="B56" s="11"/>
      <c r="C56" s="12"/>
      <c r="D56" s="11"/>
      <c r="E56" s="11"/>
      <c r="F56" s="10"/>
      <c r="G56" s="16"/>
      <c r="H56" s="16"/>
      <c r="I56" s="16"/>
      <c r="J56" s="17">
        <f t="shared" si="1"/>
        <v>0</v>
      </c>
      <c r="K56" s="18">
        <v>0.6</v>
      </c>
    </row>
    <row r="57" spans="1:11" x14ac:dyDescent="0.25">
      <c r="A57" s="11"/>
      <c r="B57" s="11"/>
      <c r="C57" s="12"/>
      <c r="D57" s="11"/>
      <c r="E57" s="11"/>
      <c r="F57" s="10"/>
      <c r="G57" s="16"/>
      <c r="H57" s="16"/>
      <c r="I57" s="16"/>
      <c r="J57" s="17">
        <f t="shared" si="1"/>
        <v>0</v>
      </c>
      <c r="K57" s="18">
        <v>0.6</v>
      </c>
    </row>
    <row r="58" spans="1:11" x14ac:dyDescent="0.25">
      <c r="A58" s="10"/>
      <c r="B58" s="10"/>
      <c r="C58" s="9"/>
      <c r="D58" s="10"/>
      <c r="E58" s="10"/>
      <c r="F58" s="6" t="s">
        <v>13</v>
      </c>
      <c r="G58" s="8">
        <f>SUM(G31:G57)</f>
        <v>191545.86000000002</v>
      </c>
      <c r="H58" s="8">
        <f>SUM(H31:H57)</f>
        <v>172380.72</v>
      </c>
      <c r="I58" s="8">
        <f>SUM(I31:I57)</f>
        <v>13644.39</v>
      </c>
      <c r="J58" s="8">
        <f>SUM(J31:J57)</f>
        <v>8186.6340000000009</v>
      </c>
      <c r="K58" s="6"/>
    </row>
    <row r="59" spans="1:11" x14ac:dyDescent="0.25">
      <c r="A59" s="10"/>
      <c r="B59" s="10"/>
      <c r="C59" s="9"/>
      <c r="D59" s="10"/>
      <c r="E59" s="10"/>
      <c r="F59" s="13" t="s">
        <v>14</v>
      </c>
      <c r="G59" s="21">
        <f>G54</f>
        <v>0</v>
      </c>
      <c r="H59" s="17"/>
      <c r="I59" s="17"/>
      <c r="J59" s="17"/>
      <c r="K59" s="10"/>
    </row>
    <row r="60" spans="1:11" x14ac:dyDescent="0.25">
      <c r="A60" s="15"/>
      <c r="B60" s="15"/>
      <c r="C60" s="15"/>
      <c r="D60" s="15"/>
      <c r="E60" s="15"/>
      <c r="F60" s="22"/>
      <c r="G60" s="15"/>
      <c r="H60" s="15"/>
      <c r="I60" s="15"/>
      <c r="J60" s="15"/>
      <c r="K60" s="15"/>
    </row>
    <row r="61" spans="1:11" x14ac:dyDescent="0.25">
      <c r="A61" s="10" t="s">
        <v>17</v>
      </c>
      <c r="B61" s="10"/>
      <c r="C61" s="9"/>
      <c r="D61" s="10"/>
      <c r="E61" s="10"/>
      <c r="F61" s="10"/>
      <c r="G61" s="17"/>
      <c r="H61" s="17"/>
      <c r="I61" s="17"/>
      <c r="J61" s="17"/>
      <c r="K61" s="10"/>
    </row>
    <row r="62" spans="1:11" x14ac:dyDescent="0.25">
      <c r="A62" s="10" t="s">
        <v>356</v>
      </c>
      <c r="B62" s="10">
        <v>6386988</v>
      </c>
      <c r="C62" s="9">
        <v>45753</v>
      </c>
      <c r="D62" s="10" t="s">
        <v>12</v>
      </c>
      <c r="E62" s="10" t="s">
        <v>38</v>
      </c>
      <c r="F62" s="14" t="s">
        <v>356</v>
      </c>
      <c r="G62" s="48">
        <v>34214.769999999997</v>
      </c>
      <c r="H62" s="48">
        <v>34214.769999999997</v>
      </c>
      <c r="I62" s="48">
        <v>5132.1000000000004</v>
      </c>
      <c r="J62" s="48">
        <f t="shared" ref="J62:J71" si="2">I62*K62</f>
        <v>3079.26</v>
      </c>
      <c r="K62" s="18">
        <v>0.6</v>
      </c>
    </row>
    <row r="63" spans="1:11" x14ac:dyDescent="0.25">
      <c r="A63" s="10" t="s">
        <v>357</v>
      </c>
      <c r="B63" s="10">
        <v>7509267</v>
      </c>
      <c r="C63" s="9">
        <v>45753</v>
      </c>
      <c r="D63" s="10" t="s">
        <v>12</v>
      </c>
      <c r="E63" s="10" t="s">
        <v>38</v>
      </c>
      <c r="F63" s="14" t="s">
        <v>356</v>
      </c>
      <c r="G63" s="48">
        <v>12324.68</v>
      </c>
      <c r="H63" s="48">
        <v>12324.68</v>
      </c>
      <c r="I63" s="48">
        <v>1848.6</v>
      </c>
      <c r="J63" s="48">
        <f t="shared" si="2"/>
        <v>1109.1599999999999</v>
      </c>
      <c r="K63" s="18">
        <v>0.6</v>
      </c>
    </row>
    <row r="64" spans="1:11" x14ac:dyDescent="0.25">
      <c r="A64" s="10" t="s">
        <v>360</v>
      </c>
      <c r="B64" s="10">
        <v>5275926</v>
      </c>
      <c r="C64" s="9">
        <v>45753</v>
      </c>
      <c r="D64" s="10" t="s">
        <v>12</v>
      </c>
      <c r="E64" s="10" t="s">
        <v>38</v>
      </c>
      <c r="F64" s="14" t="s">
        <v>360</v>
      </c>
      <c r="G64" s="48">
        <v>25900.82</v>
      </c>
      <c r="H64" s="48">
        <v>25900.82</v>
      </c>
      <c r="I64" s="48">
        <v>3885</v>
      </c>
      <c r="J64" s="48">
        <f t="shared" si="2"/>
        <v>2331</v>
      </c>
      <c r="K64" s="18">
        <v>0.6</v>
      </c>
    </row>
    <row r="65" spans="1:11" x14ac:dyDescent="0.25">
      <c r="A65" s="10" t="s">
        <v>42</v>
      </c>
      <c r="B65" s="10">
        <v>6957337</v>
      </c>
      <c r="C65" s="9">
        <v>45773</v>
      </c>
      <c r="D65" s="10" t="s">
        <v>12</v>
      </c>
      <c r="E65" s="10" t="s">
        <v>38</v>
      </c>
      <c r="F65" s="14" t="s">
        <v>42</v>
      </c>
      <c r="G65" s="48">
        <v>94921.43</v>
      </c>
      <c r="H65" s="48">
        <v>94921.43</v>
      </c>
      <c r="I65" s="48">
        <v>14238.15</v>
      </c>
      <c r="J65" s="48">
        <f t="shared" si="2"/>
        <v>8542.89</v>
      </c>
      <c r="K65" s="18">
        <v>0.6</v>
      </c>
    </row>
    <row r="66" spans="1:11" x14ac:dyDescent="0.25">
      <c r="A66" s="10" t="s">
        <v>312</v>
      </c>
      <c r="B66" s="10">
        <v>7444573</v>
      </c>
      <c r="C66" s="9">
        <v>45761</v>
      </c>
      <c r="D66" s="10" t="s">
        <v>12</v>
      </c>
      <c r="E66" s="10" t="s">
        <v>38</v>
      </c>
      <c r="F66" s="14" t="s">
        <v>312</v>
      </c>
      <c r="G66" s="48">
        <v>13216.23</v>
      </c>
      <c r="H66" s="48">
        <v>13216.23</v>
      </c>
      <c r="I66" s="48">
        <v>1982.4</v>
      </c>
      <c r="J66" s="48">
        <f t="shared" si="2"/>
        <v>1189.44</v>
      </c>
      <c r="K66" s="18">
        <v>0.6</v>
      </c>
    </row>
    <row r="67" spans="1:11" x14ac:dyDescent="0.25">
      <c r="A67" s="10" t="s">
        <v>438</v>
      </c>
      <c r="B67" s="10">
        <v>7569285</v>
      </c>
      <c r="C67" s="9">
        <v>45775</v>
      </c>
      <c r="D67" s="10" t="s">
        <v>12</v>
      </c>
      <c r="E67" s="10" t="s">
        <v>38</v>
      </c>
      <c r="F67" s="14" t="s">
        <v>438</v>
      </c>
      <c r="G67" s="48">
        <v>16921.59</v>
      </c>
      <c r="H67" s="48">
        <v>16921.59</v>
      </c>
      <c r="I67" s="48">
        <v>2538.3000000000002</v>
      </c>
      <c r="J67" s="48">
        <f>I67*K67</f>
        <v>1522.98</v>
      </c>
      <c r="K67" s="18">
        <v>0.6</v>
      </c>
    </row>
    <row r="68" spans="1:11" x14ac:dyDescent="0.25">
      <c r="A68" s="10"/>
      <c r="B68" s="10"/>
      <c r="C68" s="9"/>
      <c r="D68" s="10"/>
      <c r="E68" s="10"/>
      <c r="F68" s="14"/>
      <c r="G68" s="48"/>
      <c r="H68" s="48"/>
      <c r="I68" s="48"/>
      <c r="J68" s="48">
        <f t="shared" si="2"/>
        <v>0</v>
      </c>
      <c r="K68" s="18">
        <v>0.6</v>
      </c>
    </row>
    <row r="69" spans="1:11" x14ac:dyDescent="0.25">
      <c r="A69" s="10"/>
      <c r="B69" s="10"/>
      <c r="C69" s="9"/>
      <c r="D69" s="10"/>
      <c r="E69" s="10"/>
      <c r="F69" s="14"/>
      <c r="G69" s="48"/>
      <c r="H69" s="48"/>
      <c r="I69" s="48"/>
      <c r="J69" s="48">
        <f t="shared" si="2"/>
        <v>0</v>
      </c>
      <c r="K69" s="18">
        <v>0.6</v>
      </c>
    </row>
    <row r="70" spans="1:11" x14ac:dyDescent="0.25">
      <c r="A70" s="10"/>
      <c r="B70" s="10"/>
      <c r="C70" s="9"/>
      <c r="D70" s="10"/>
      <c r="E70" s="10"/>
      <c r="F70" s="14"/>
      <c r="G70" s="48"/>
      <c r="H70" s="48"/>
      <c r="I70" s="48"/>
      <c r="J70" s="48">
        <f t="shared" si="2"/>
        <v>0</v>
      </c>
      <c r="K70" s="18">
        <v>0.6</v>
      </c>
    </row>
    <row r="71" spans="1:11" x14ac:dyDescent="0.25">
      <c r="A71" s="10"/>
      <c r="B71" s="10"/>
      <c r="C71" s="9"/>
      <c r="D71" s="10"/>
      <c r="E71" s="10"/>
      <c r="F71" s="11"/>
      <c r="G71" s="49"/>
      <c r="H71" s="49"/>
      <c r="I71" s="48"/>
      <c r="J71" s="48">
        <f t="shared" si="2"/>
        <v>0</v>
      </c>
      <c r="K71" s="18">
        <v>0.6</v>
      </c>
    </row>
    <row r="72" spans="1:11" x14ac:dyDescent="0.25">
      <c r="A72" s="10"/>
      <c r="B72" s="10"/>
      <c r="C72" s="9"/>
      <c r="D72" s="10"/>
      <c r="E72" s="10"/>
      <c r="F72" s="6" t="s">
        <v>13</v>
      </c>
      <c r="G72" s="8">
        <f>SUM(G62:G71)</f>
        <v>197499.51999999999</v>
      </c>
      <c r="H72" s="8">
        <f>SUM(H62:H71)</f>
        <v>197499.51999999999</v>
      </c>
      <c r="I72" s="8">
        <f>SUM(I62:I71)</f>
        <v>29624.55</v>
      </c>
      <c r="J72" s="8">
        <f>SUM(J62:J71)</f>
        <v>17774.73</v>
      </c>
      <c r="K72" s="6"/>
    </row>
    <row r="73" spans="1:11" x14ac:dyDescent="0.25">
      <c r="A73" s="10"/>
      <c r="B73" s="10"/>
      <c r="C73" s="9"/>
      <c r="D73" s="10"/>
      <c r="E73" s="10"/>
      <c r="F73" s="13" t="s">
        <v>14</v>
      </c>
      <c r="G73" s="21"/>
      <c r="H73" s="17"/>
      <c r="I73" s="17"/>
      <c r="J73" s="17"/>
      <c r="K73" s="10"/>
    </row>
    <row r="74" spans="1:11" x14ac:dyDescent="0.25">
      <c r="A74" s="10"/>
      <c r="B74" s="10"/>
      <c r="C74" s="9"/>
      <c r="D74" s="13"/>
      <c r="E74" s="13" t="s">
        <v>18</v>
      </c>
      <c r="F74" s="13"/>
      <c r="G74" s="21"/>
      <c r="H74" s="17"/>
      <c r="I74" s="17"/>
      <c r="J74" s="17"/>
      <c r="K74" s="10"/>
    </row>
    <row r="75" spans="1:11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</row>
    <row r="76" spans="1:11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</row>
    <row r="77" spans="1:11" x14ac:dyDescent="0.25">
      <c r="A77" s="23"/>
      <c r="B77" s="23"/>
      <c r="C77" s="23"/>
      <c r="D77" s="24"/>
      <c r="E77" s="23"/>
      <c r="F77" s="23"/>
      <c r="G77" s="23"/>
      <c r="H77" s="24"/>
      <c r="I77" s="24"/>
      <c r="J77" s="24"/>
      <c r="K77" s="24"/>
    </row>
    <row r="78" spans="1:11" x14ac:dyDescent="0.25">
      <c r="A78" s="25" t="s">
        <v>19</v>
      </c>
      <c r="B78" s="26"/>
      <c r="C78" s="27">
        <f>G27</f>
        <v>465.02</v>
      </c>
      <c r="D78" s="24"/>
      <c r="E78" s="135" t="s">
        <v>20</v>
      </c>
      <c r="F78" s="25"/>
      <c r="G78" s="27">
        <f>G60</f>
        <v>0</v>
      </c>
      <c r="H78" s="43"/>
      <c r="I78" s="25" t="s">
        <v>21</v>
      </c>
      <c r="J78" s="25"/>
      <c r="K78" s="28">
        <f>G73</f>
        <v>0</v>
      </c>
    </row>
    <row r="79" spans="1:11" x14ac:dyDescent="0.25">
      <c r="A79" s="26" t="s">
        <v>22</v>
      </c>
      <c r="B79" s="26"/>
      <c r="C79" s="27">
        <f>G28</f>
        <v>77.50333333333333</v>
      </c>
      <c r="D79" s="136"/>
      <c r="E79" s="137"/>
      <c r="F79" s="137"/>
      <c r="G79" s="26" t="s">
        <v>12</v>
      </c>
      <c r="H79" s="24"/>
      <c r="I79" s="26" t="s">
        <v>23</v>
      </c>
      <c r="J79" s="26"/>
      <c r="K79" s="29">
        <f>G74</f>
        <v>0</v>
      </c>
    </row>
    <row r="80" spans="1:11" x14ac:dyDescent="0.25">
      <c r="A80" s="26" t="s">
        <v>24</v>
      </c>
      <c r="B80" s="26"/>
      <c r="C80" s="27">
        <f>J26</f>
        <v>16394.519999999993</v>
      </c>
      <c r="D80" s="136"/>
      <c r="E80" s="137" t="s">
        <v>25</v>
      </c>
      <c r="F80" s="137"/>
      <c r="G80" s="27">
        <f>J58</f>
        <v>8186.6340000000009</v>
      </c>
      <c r="H80" s="24"/>
      <c r="I80" s="26" t="s">
        <v>26</v>
      </c>
      <c r="J80" s="26"/>
      <c r="K80" s="29">
        <f>J72</f>
        <v>17774.73</v>
      </c>
    </row>
    <row r="81" spans="1:11" x14ac:dyDescent="0.25">
      <c r="A81" s="26"/>
      <c r="B81" s="26"/>
      <c r="C81" s="27"/>
      <c r="D81" s="136"/>
      <c r="E81" s="137"/>
      <c r="F81" s="137"/>
      <c r="G81" s="27"/>
      <c r="H81" s="24"/>
      <c r="I81" s="26"/>
      <c r="J81" s="26"/>
      <c r="K81" s="30"/>
    </row>
    <row r="82" spans="1:11" x14ac:dyDescent="0.25">
      <c r="A82" s="26"/>
      <c r="B82" s="26"/>
      <c r="C82" s="26"/>
      <c r="D82" s="24"/>
      <c r="E82" s="26"/>
      <c r="F82" s="26"/>
      <c r="G82" s="26"/>
      <c r="H82" s="24"/>
      <c r="I82" s="31"/>
      <c r="J82" s="31"/>
      <c r="K82" s="30"/>
    </row>
    <row r="83" spans="1:11" x14ac:dyDescent="0.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</row>
    <row r="84" spans="1:11" x14ac:dyDescent="0.25">
      <c r="A84" s="177" t="s">
        <v>27</v>
      </c>
      <c r="B84" s="176"/>
      <c r="C84" s="176"/>
      <c r="D84" s="15"/>
      <c r="E84" s="177" t="s">
        <v>28</v>
      </c>
      <c r="F84" s="176"/>
      <c r="G84" s="176"/>
      <c r="H84" s="15"/>
      <c r="I84" s="176" t="s">
        <v>104</v>
      </c>
      <c r="J84" s="32"/>
      <c r="K84" s="32"/>
    </row>
    <row r="85" spans="1:11" x14ac:dyDescent="0.25">
      <c r="A85" s="33"/>
      <c r="B85" s="33"/>
      <c r="C85" s="34"/>
      <c r="D85" s="15"/>
      <c r="E85" s="10"/>
      <c r="F85" s="10"/>
      <c r="G85" s="10"/>
      <c r="H85" s="17"/>
      <c r="I85" s="58" t="s">
        <v>527</v>
      </c>
      <c r="J85" s="218">
        <v>1750</v>
      </c>
      <c r="K85" s="141">
        <v>45779</v>
      </c>
    </row>
    <row r="86" spans="1:11" x14ac:dyDescent="0.25">
      <c r="A86" s="44" t="s">
        <v>29</v>
      </c>
      <c r="B86" s="44"/>
      <c r="C86" s="34">
        <f>J2</f>
        <v>276435.64</v>
      </c>
      <c r="D86" s="53"/>
      <c r="E86" s="54" t="s">
        <v>30</v>
      </c>
      <c r="F86" s="54"/>
      <c r="G86" s="54"/>
      <c r="H86" s="17"/>
      <c r="I86" s="60" t="s">
        <v>535</v>
      </c>
      <c r="J86" s="219">
        <v>3190</v>
      </c>
      <c r="K86" s="61">
        <v>45782</v>
      </c>
    </row>
    <row r="87" spans="1:11" x14ac:dyDescent="0.25">
      <c r="A87" s="44" t="s">
        <v>31</v>
      </c>
      <c r="B87" s="44"/>
      <c r="C87" s="52">
        <f>C80+G80+K80</f>
        <v>42355.883999999991</v>
      </c>
      <c r="D87" s="53"/>
      <c r="E87" s="54" t="s">
        <v>32</v>
      </c>
      <c r="F87" s="54"/>
      <c r="G87" s="55">
        <f>G29</f>
        <v>0</v>
      </c>
      <c r="H87" s="35"/>
      <c r="I87" s="154" t="s">
        <v>215</v>
      </c>
      <c r="J87" s="236">
        <v>19700</v>
      </c>
      <c r="K87" s="155">
        <v>45799</v>
      </c>
    </row>
    <row r="88" spans="1:11" x14ac:dyDescent="0.25">
      <c r="A88" s="63" t="s">
        <v>109</v>
      </c>
      <c r="B88" s="139"/>
      <c r="C88" s="139">
        <f>J99</f>
        <v>192203</v>
      </c>
      <c r="D88" s="53"/>
      <c r="E88" s="54" t="s">
        <v>33</v>
      </c>
      <c r="F88" s="54"/>
      <c r="G88" s="55"/>
      <c r="H88" s="36"/>
      <c r="I88" s="154" t="s">
        <v>592</v>
      </c>
      <c r="J88" s="236">
        <v>1200</v>
      </c>
      <c r="K88" s="155">
        <v>45799</v>
      </c>
    </row>
    <row r="89" spans="1:11" x14ac:dyDescent="0.25">
      <c r="A89" s="138" t="s">
        <v>472</v>
      </c>
      <c r="B89" s="138"/>
      <c r="C89" s="139">
        <f>G22+G24+G51</f>
        <v>18789.170000000002</v>
      </c>
      <c r="D89" s="53"/>
      <c r="E89" s="50" t="s">
        <v>473</v>
      </c>
      <c r="F89" s="51"/>
      <c r="G89" s="51">
        <v>2151.1799999999998</v>
      </c>
      <c r="H89" s="36"/>
      <c r="I89" s="154" t="s">
        <v>593</v>
      </c>
      <c r="J89" s="236">
        <v>10000</v>
      </c>
      <c r="K89" s="155">
        <v>45797</v>
      </c>
    </row>
    <row r="90" spans="1:11" x14ac:dyDescent="0.25">
      <c r="A90" s="138" t="s">
        <v>13</v>
      </c>
      <c r="B90" s="138"/>
      <c r="C90" s="139">
        <f>C86+C87+C88+C89</f>
        <v>529783.69400000002</v>
      </c>
      <c r="D90" s="53"/>
      <c r="E90" s="50" t="s">
        <v>474</v>
      </c>
      <c r="F90" s="51"/>
      <c r="G90" s="55">
        <v>1848.76</v>
      </c>
      <c r="H90" s="17"/>
      <c r="I90" s="154" t="s">
        <v>594</v>
      </c>
      <c r="J90" s="236">
        <v>1160</v>
      </c>
      <c r="K90" s="155">
        <v>45793</v>
      </c>
    </row>
    <row r="91" spans="1:11" x14ac:dyDescent="0.25">
      <c r="A91" s="15"/>
      <c r="B91" s="15"/>
      <c r="C91" s="15"/>
      <c r="D91" s="53"/>
      <c r="E91" s="50" t="s">
        <v>475</v>
      </c>
      <c r="F91" s="51"/>
      <c r="G91" s="51">
        <v>1402.42</v>
      </c>
      <c r="H91" s="17"/>
      <c r="I91" s="154" t="s">
        <v>315</v>
      </c>
      <c r="J91" s="236">
        <v>2228</v>
      </c>
      <c r="K91" s="155">
        <v>45792</v>
      </c>
    </row>
    <row r="92" spans="1:11" x14ac:dyDescent="0.25">
      <c r="A92" s="15"/>
      <c r="B92" s="15"/>
      <c r="C92" s="15"/>
      <c r="D92" s="53"/>
      <c r="E92" s="50" t="s">
        <v>476</v>
      </c>
      <c r="F92" s="51"/>
      <c r="G92" s="55">
        <v>7397.7</v>
      </c>
      <c r="H92" s="17"/>
      <c r="I92" s="60" t="s">
        <v>595</v>
      </c>
      <c r="J92" s="219">
        <v>2085</v>
      </c>
      <c r="K92" s="61">
        <v>45789</v>
      </c>
    </row>
    <row r="93" spans="1:11" x14ac:dyDescent="0.25">
      <c r="A93" s="15"/>
      <c r="B93" s="15"/>
      <c r="C93" s="15"/>
      <c r="D93" s="53"/>
      <c r="E93" s="50" t="s">
        <v>477</v>
      </c>
      <c r="F93" s="56"/>
      <c r="G93" s="57">
        <v>43.43</v>
      </c>
      <c r="H93" s="17"/>
      <c r="I93" s="58" t="s">
        <v>595</v>
      </c>
      <c r="J93" s="218">
        <v>9950</v>
      </c>
      <c r="K93" s="141">
        <v>45789</v>
      </c>
    </row>
    <row r="94" spans="1:11" x14ac:dyDescent="0.25">
      <c r="A94" s="15"/>
      <c r="B94" s="15"/>
      <c r="C94" s="15"/>
      <c r="D94" s="53"/>
      <c r="E94" s="50" t="s">
        <v>478</v>
      </c>
      <c r="F94" s="51"/>
      <c r="G94" s="55">
        <v>5694.99</v>
      </c>
      <c r="H94" s="17"/>
      <c r="I94" s="58" t="s">
        <v>230</v>
      </c>
      <c r="J94" s="218">
        <v>18120</v>
      </c>
      <c r="K94" s="141">
        <v>45782</v>
      </c>
    </row>
    <row r="95" spans="1:11" x14ac:dyDescent="0.25">
      <c r="A95" s="15"/>
      <c r="B95" s="15"/>
      <c r="C95" s="15"/>
      <c r="D95" s="53"/>
      <c r="E95" s="50" t="s">
        <v>479</v>
      </c>
      <c r="F95" s="56"/>
      <c r="G95" s="51">
        <v>4524.8999999999996</v>
      </c>
      <c r="H95" s="17"/>
      <c r="I95" s="58" t="s">
        <v>230</v>
      </c>
      <c r="J95" s="218">
        <v>118520</v>
      </c>
      <c r="K95" s="141">
        <v>45807</v>
      </c>
    </row>
    <row r="96" spans="1:11" x14ac:dyDescent="0.25">
      <c r="A96" s="15"/>
      <c r="B96" s="15"/>
      <c r="C96" s="15"/>
      <c r="D96" s="53"/>
      <c r="E96" s="50" t="s">
        <v>480</v>
      </c>
      <c r="F96" s="51"/>
      <c r="G96" s="55">
        <v>10454.209999999999</v>
      </c>
      <c r="H96" s="17"/>
      <c r="I96" s="58" t="s">
        <v>605</v>
      </c>
      <c r="J96" s="218">
        <v>4300</v>
      </c>
      <c r="K96" s="141">
        <v>45793</v>
      </c>
    </row>
    <row r="97" spans="1:11" x14ac:dyDescent="0.25">
      <c r="A97" s="15"/>
      <c r="B97" s="15"/>
      <c r="C97" s="15"/>
      <c r="D97" s="140"/>
      <c r="E97" s="50" t="s">
        <v>481</v>
      </c>
      <c r="F97" s="56"/>
      <c r="G97" s="51">
        <v>1243.9000000000001</v>
      </c>
      <c r="H97" s="17"/>
      <c r="I97" s="59"/>
      <c r="J97" s="59"/>
      <c r="K97" s="59"/>
    </row>
    <row r="98" spans="1:11" x14ac:dyDescent="0.25">
      <c r="A98" s="15"/>
      <c r="B98" s="15"/>
      <c r="C98" s="15"/>
      <c r="D98" s="140"/>
      <c r="E98" s="50" t="s">
        <v>482</v>
      </c>
      <c r="F98" s="51"/>
      <c r="G98" s="55">
        <f>G28</f>
        <v>77.50333333333333</v>
      </c>
      <c r="H98" s="17"/>
      <c r="I98" s="59"/>
      <c r="J98" s="59"/>
      <c r="K98" s="59"/>
    </row>
    <row r="99" spans="1:11" x14ac:dyDescent="0.25">
      <c r="A99" s="15"/>
      <c r="B99" s="15"/>
      <c r="C99" s="15"/>
      <c r="D99" s="140"/>
      <c r="E99" s="50" t="s">
        <v>483</v>
      </c>
      <c r="F99" s="56"/>
      <c r="G99" s="51">
        <f>G74</f>
        <v>0</v>
      </c>
      <c r="H99" s="17"/>
      <c r="I99" s="58" t="s">
        <v>13</v>
      </c>
      <c r="J99" s="218">
        <f>J86+J87+J88+J89+J90+J91+J92+J93+J94+J95+J96+J97+J98+J85</f>
        <v>192203</v>
      </c>
      <c r="K99" s="58"/>
    </row>
    <row r="100" spans="1:11" x14ac:dyDescent="0.25">
      <c r="A100" s="15"/>
      <c r="B100" s="15"/>
      <c r="C100" s="15"/>
      <c r="D100" s="140"/>
      <c r="E100" s="170"/>
      <c r="F100" s="170"/>
      <c r="G100" s="170"/>
      <c r="H100" s="17"/>
      <c r="I100" s="15"/>
      <c r="J100" s="15"/>
      <c r="K100" s="15"/>
    </row>
    <row r="101" spans="1:11" x14ac:dyDescent="0.25">
      <c r="A101" s="15"/>
      <c r="B101" s="15"/>
      <c r="C101" s="15"/>
      <c r="D101" s="53"/>
      <c r="E101" s="44" t="s">
        <v>13</v>
      </c>
      <c r="F101" s="56"/>
      <c r="G101" s="57">
        <f>SUM(G88:G99)</f>
        <v>34838.993333333332</v>
      </c>
      <c r="H101" s="38"/>
      <c r="I101" s="15"/>
      <c r="J101" s="15"/>
      <c r="K101" s="15"/>
    </row>
    <row r="102" spans="1:1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</row>
    <row r="103" spans="1:11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</row>
    <row r="104" spans="1:11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</row>
    <row r="105" spans="1:11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</row>
    <row r="106" spans="1:11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</row>
    <row r="107" spans="1:11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</row>
    <row r="108" spans="1:11" x14ac:dyDescent="0.25">
      <c r="A108" s="15"/>
      <c r="B108" s="15"/>
      <c r="C108" s="39" t="s">
        <v>239</v>
      </c>
      <c r="D108" s="39"/>
      <c r="E108" s="40"/>
      <c r="F108" s="40">
        <f>C90-G101</f>
        <v>494944.70066666667</v>
      </c>
      <c r="G108" s="15"/>
      <c r="H108" s="15"/>
      <c r="I108" s="15"/>
      <c r="J108" s="15"/>
      <c r="K108" s="15"/>
    </row>
    <row r="109" spans="1:11" x14ac:dyDescent="0.25">
      <c r="A109" s="15"/>
      <c r="B109" s="37"/>
      <c r="C109" s="72" t="s">
        <v>240</v>
      </c>
      <c r="D109" s="72"/>
      <c r="E109" s="72"/>
      <c r="F109" s="235">
        <v>100000</v>
      </c>
      <c r="G109" s="15"/>
      <c r="H109" s="15"/>
      <c r="I109" s="15"/>
      <c r="J109" s="15"/>
      <c r="K109" s="15"/>
    </row>
    <row r="110" spans="1:11" x14ac:dyDescent="0.25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</row>
    <row r="111" spans="1:11" x14ac:dyDescent="0.25">
      <c r="A111" s="88"/>
      <c r="B111" s="88"/>
      <c r="C111" s="88"/>
      <c r="D111" s="72" t="s">
        <v>35</v>
      </c>
      <c r="E111" s="72"/>
      <c r="F111" s="114">
        <f>F108-F109</f>
        <v>394944.70066666667</v>
      </c>
      <c r="G111" s="88"/>
      <c r="H111" s="88"/>
      <c r="I111" s="88"/>
      <c r="J111" s="88"/>
      <c r="K111" s="88"/>
    </row>
    <row r="112" spans="1:11" x14ac:dyDescent="0.25">
      <c r="A112" s="88"/>
      <c r="B112" s="88"/>
      <c r="C112" s="88"/>
      <c r="D112" s="72"/>
      <c r="E112" s="72"/>
      <c r="F112" s="72"/>
      <c r="G112" s="88"/>
      <c r="H112" s="88"/>
      <c r="I112" s="88"/>
      <c r="J112" s="88"/>
      <c r="K112" s="88"/>
    </row>
    <row r="113" spans="1:11" x14ac:dyDescent="0.25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</row>
  </sheetData>
  <conditionalFormatting sqref="E1">
    <cfRule type="cellIs" dxfId="49" priority="9" operator="equal">
      <formula>"K.KART"</formula>
    </cfRule>
    <cfRule type="cellIs" dxfId="48" priority="10" operator="equal">
      <formula>"AÇIK"</formula>
    </cfRule>
  </conditionalFormatting>
  <conditionalFormatting sqref="E3:E59">
    <cfRule type="cellIs" dxfId="47" priority="1" operator="equal">
      <formula>"K.KART"</formula>
    </cfRule>
    <cfRule type="cellIs" dxfId="46" priority="2" operator="equal">
      <formula>"AÇIK"</formula>
    </cfRule>
  </conditionalFormatting>
  <conditionalFormatting sqref="E61:E74">
    <cfRule type="cellIs" dxfId="45" priority="3" operator="equal">
      <formula>"K.KART"</formula>
    </cfRule>
    <cfRule type="cellIs" dxfId="44" priority="4" operator="equal">
      <formula>"AÇIK"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984E-D6B7-4465-A36E-817E4AB1A6D1}">
  <dimension ref="A1:N139"/>
  <sheetViews>
    <sheetView topLeftCell="A10" workbookViewId="0">
      <selection activeCell="K123" sqref="K123"/>
    </sheetView>
  </sheetViews>
  <sheetFormatPr defaultRowHeight="15" x14ac:dyDescent="0.25"/>
  <cols>
    <col min="1" max="1" width="20.28515625" customWidth="1"/>
    <col min="2" max="2" width="13.5703125" customWidth="1"/>
    <col min="3" max="3" width="12.85546875" customWidth="1"/>
    <col min="4" max="4" width="13.28515625" customWidth="1"/>
    <col min="5" max="5" width="15.7109375" customWidth="1"/>
    <col min="6" max="6" width="19" customWidth="1"/>
    <col min="7" max="7" width="14" customWidth="1"/>
    <col min="8" max="8" width="11.28515625" customWidth="1"/>
    <col min="9" max="9" width="14.7109375" customWidth="1"/>
    <col min="10" max="10" width="17" customWidth="1"/>
    <col min="11" max="11" width="12" customWidth="1"/>
    <col min="14" max="14" width="10.5703125" bestFit="1" customWidth="1"/>
  </cols>
  <sheetData>
    <row r="1" spans="1:11" x14ac:dyDescent="0.25">
      <c r="A1" s="41" t="s">
        <v>487</v>
      </c>
      <c r="B1" s="2"/>
      <c r="C1" s="1"/>
      <c r="D1" s="2"/>
      <c r="E1" s="3"/>
      <c r="F1" s="3"/>
      <c r="G1" s="4"/>
      <c r="H1" s="4"/>
      <c r="I1" s="4"/>
      <c r="J1" s="4"/>
      <c r="K1" s="2"/>
    </row>
    <row r="2" spans="1:11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40">
        <v>394944.7</v>
      </c>
      <c r="K2" s="5"/>
    </row>
    <row r="3" spans="1:11" x14ac:dyDescent="0.25">
      <c r="A3" s="6" t="s">
        <v>1</v>
      </c>
      <c r="B3" s="6" t="s">
        <v>2</v>
      </c>
      <c r="C3" s="7" t="s">
        <v>3</v>
      </c>
      <c r="D3" s="6" t="s">
        <v>4</v>
      </c>
      <c r="E3" s="6" t="s">
        <v>5</v>
      </c>
      <c r="F3" s="6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6" t="s">
        <v>11</v>
      </c>
    </row>
    <row r="4" spans="1:11" x14ac:dyDescent="0.25">
      <c r="A4" s="10" t="s">
        <v>414</v>
      </c>
      <c r="B4" s="10">
        <v>568857292</v>
      </c>
      <c r="C4" s="9">
        <v>45779</v>
      </c>
      <c r="D4" s="10" t="s">
        <v>498</v>
      </c>
      <c r="E4" s="10" t="s">
        <v>38</v>
      </c>
      <c r="F4" s="10" t="s">
        <v>57</v>
      </c>
      <c r="G4" s="16">
        <v>15838</v>
      </c>
      <c r="H4" s="17">
        <v>15083.8</v>
      </c>
      <c r="I4" s="17">
        <v>2262.4499999999998</v>
      </c>
      <c r="J4" s="17">
        <f>I4*K4</f>
        <v>1357.4699999999998</v>
      </c>
      <c r="K4" s="18">
        <v>0.6</v>
      </c>
    </row>
    <row r="5" spans="1:11" x14ac:dyDescent="0.25">
      <c r="A5" s="10" t="s">
        <v>499</v>
      </c>
      <c r="B5" s="10">
        <v>567003969</v>
      </c>
      <c r="C5" s="9">
        <v>45780</v>
      </c>
      <c r="D5" s="10" t="s">
        <v>500</v>
      </c>
      <c r="E5" s="10" t="s">
        <v>38</v>
      </c>
      <c r="F5" s="10" t="s">
        <v>499</v>
      </c>
      <c r="G5" s="17">
        <v>16173.09</v>
      </c>
      <c r="H5" s="17">
        <v>15402.93</v>
      </c>
      <c r="I5" s="175">
        <v>2310.3000000000002</v>
      </c>
      <c r="J5" s="17">
        <f t="shared" ref="J5:J28" si="0">I5*K5</f>
        <v>1386.18</v>
      </c>
      <c r="K5" s="18">
        <v>0.6</v>
      </c>
    </row>
    <row r="6" spans="1:11" x14ac:dyDescent="0.25">
      <c r="A6" s="10" t="s">
        <v>501</v>
      </c>
      <c r="B6" s="10">
        <v>567750452</v>
      </c>
      <c r="C6" s="9">
        <v>45786</v>
      </c>
      <c r="D6" s="10" t="s">
        <v>502</v>
      </c>
      <c r="E6" s="10" t="s">
        <v>38</v>
      </c>
      <c r="F6" s="10" t="s">
        <v>57</v>
      </c>
      <c r="G6" s="17">
        <v>11065.72</v>
      </c>
      <c r="H6" s="17">
        <v>10538.77</v>
      </c>
      <c r="I6" s="17">
        <v>1580.7</v>
      </c>
      <c r="J6" s="17">
        <f t="shared" si="0"/>
        <v>948.42</v>
      </c>
      <c r="K6" s="18">
        <v>0.6</v>
      </c>
    </row>
    <row r="7" spans="1:11" x14ac:dyDescent="0.25">
      <c r="A7" s="10" t="s">
        <v>508</v>
      </c>
      <c r="B7" s="10">
        <v>567059871</v>
      </c>
      <c r="C7" s="9">
        <v>45783</v>
      </c>
      <c r="D7" s="19" t="s">
        <v>509</v>
      </c>
      <c r="E7" s="10" t="s">
        <v>38</v>
      </c>
      <c r="F7" s="10" t="s">
        <v>508</v>
      </c>
      <c r="G7" s="17">
        <v>16597.810000000001</v>
      </c>
      <c r="H7" s="17">
        <v>15807.43</v>
      </c>
      <c r="I7" s="17">
        <v>2371.0500000000002</v>
      </c>
      <c r="J7" s="17">
        <f t="shared" si="0"/>
        <v>1422.63</v>
      </c>
      <c r="K7" s="18">
        <v>0.6</v>
      </c>
    </row>
    <row r="8" spans="1:11" x14ac:dyDescent="0.25">
      <c r="A8" s="10" t="s">
        <v>510</v>
      </c>
      <c r="B8" s="10">
        <v>567057735</v>
      </c>
      <c r="C8" s="9">
        <v>45786</v>
      </c>
      <c r="D8" s="19" t="s">
        <v>511</v>
      </c>
      <c r="E8" s="10" t="s">
        <v>38</v>
      </c>
      <c r="F8" s="10" t="s">
        <v>698</v>
      </c>
      <c r="G8" s="17">
        <v>15413.15</v>
      </c>
      <c r="H8" s="17">
        <v>14679.18</v>
      </c>
      <c r="I8" s="17">
        <v>2201.85</v>
      </c>
      <c r="J8" s="17">
        <f t="shared" si="0"/>
        <v>1321.11</v>
      </c>
      <c r="K8" s="18">
        <v>0.6</v>
      </c>
    </row>
    <row r="9" spans="1:11" x14ac:dyDescent="0.25">
      <c r="A9" s="10" t="s">
        <v>518</v>
      </c>
      <c r="B9" s="10">
        <v>567040149</v>
      </c>
      <c r="C9" s="9">
        <v>45782</v>
      </c>
      <c r="D9" s="10" t="s">
        <v>519</v>
      </c>
      <c r="E9" s="10" t="s">
        <v>41</v>
      </c>
      <c r="F9" s="10" t="s">
        <v>12</v>
      </c>
      <c r="G9" s="17">
        <v>23123.15</v>
      </c>
      <c r="H9" s="17">
        <v>22022.03</v>
      </c>
      <c r="I9" s="17">
        <v>3303.3</v>
      </c>
      <c r="J9" s="17">
        <f t="shared" si="0"/>
        <v>1981.98</v>
      </c>
      <c r="K9" s="18">
        <v>0.6</v>
      </c>
    </row>
    <row r="10" spans="1:11" x14ac:dyDescent="0.25">
      <c r="A10" s="10" t="s">
        <v>520</v>
      </c>
      <c r="B10" s="10">
        <v>567036389</v>
      </c>
      <c r="C10" s="9">
        <v>45782</v>
      </c>
      <c r="D10" s="10" t="s">
        <v>521</v>
      </c>
      <c r="E10" s="10" t="s">
        <v>38</v>
      </c>
      <c r="F10" s="10" t="s">
        <v>520</v>
      </c>
      <c r="G10" s="17">
        <v>10667.14</v>
      </c>
      <c r="H10" s="17">
        <v>10159.18</v>
      </c>
      <c r="I10" s="17">
        <v>1523.85</v>
      </c>
      <c r="J10" s="17">
        <f t="shared" si="0"/>
        <v>914.31</v>
      </c>
      <c r="K10" s="18">
        <v>0.6</v>
      </c>
    </row>
    <row r="11" spans="1:11" x14ac:dyDescent="0.25">
      <c r="A11" s="10" t="s">
        <v>523</v>
      </c>
      <c r="B11" s="10">
        <v>568001765</v>
      </c>
      <c r="C11" s="9">
        <v>45785</v>
      </c>
      <c r="D11" s="10" t="s">
        <v>524</v>
      </c>
      <c r="E11" s="10" t="s">
        <v>38</v>
      </c>
      <c r="F11" s="10" t="s">
        <v>523</v>
      </c>
      <c r="G11" s="17">
        <v>13954.78</v>
      </c>
      <c r="H11" s="17">
        <v>13290.28</v>
      </c>
      <c r="I11" s="17">
        <v>1993.5</v>
      </c>
      <c r="J11" s="17">
        <f t="shared" si="0"/>
        <v>1196.0999999999999</v>
      </c>
      <c r="K11" s="18">
        <v>0.6</v>
      </c>
    </row>
    <row r="12" spans="1:11" x14ac:dyDescent="0.25">
      <c r="A12" s="10" t="s">
        <v>542</v>
      </c>
      <c r="B12" s="10">
        <v>570651539</v>
      </c>
      <c r="C12" s="9">
        <v>45785</v>
      </c>
      <c r="D12" s="10" t="s">
        <v>43</v>
      </c>
      <c r="E12" s="10" t="s">
        <v>38</v>
      </c>
      <c r="F12" s="10" t="s">
        <v>57</v>
      </c>
      <c r="G12" s="17">
        <v>19309.419999999998</v>
      </c>
      <c r="H12" s="17">
        <v>18389.93</v>
      </c>
      <c r="I12" s="17">
        <v>2758.35</v>
      </c>
      <c r="J12" s="17">
        <f t="shared" si="0"/>
        <v>1655.01</v>
      </c>
      <c r="K12" s="18">
        <v>0.6</v>
      </c>
    </row>
    <row r="13" spans="1:11" x14ac:dyDescent="0.25">
      <c r="A13" s="10" t="s">
        <v>543</v>
      </c>
      <c r="B13" s="10">
        <v>570538354</v>
      </c>
      <c r="C13" s="9">
        <v>45795</v>
      </c>
      <c r="D13" s="10" t="s">
        <v>544</v>
      </c>
      <c r="E13" s="10" t="s">
        <v>38</v>
      </c>
      <c r="F13" s="10" t="s">
        <v>543</v>
      </c>
      <c r="G13" s="17">
        <v>11288.81</v>
      </c>
      <c r="H13" s="17">
        <v>10751.24</v>
      </c>
      <c r="I13" s="17">
        <v>1612.65</v>
      </c>
      <c r="J13" s="17">
        <f t="shared" si="0"/>
        <v>967.59</v>
      </c>
      <c r="K13" s="18">
        <v>0.6</v>
      </c>
    </row>
    <row r="14" spans="1:11" x14ac:dyDescent="0.25">
      <c r="A14" s="10" t="s">
        <v>169</v>
      </c>
      <c r="B14" s="10">
        <v>572016567</v>
      </c>
      <c r="C14" s="9">
        <v>45798</v>
      </c>
      <c r="D14" s="10" t="s">
        <v>545</v>
      </c>
      <c r="E14" s="10" t="s">
        <v>41</v>
      </c>
      <c r="F14" s="11" t="s">
        <v>12</v>
      </c>
      <c r="G14" s="17">
        <v>14212.46</v>
      </c>
      <c r="H14" s="17">
        <v>13535.67</v>
      </c>
      <c r="I14" s="17">
        <v>2030.25</v>
      </c>
      <c r="J14" s="17">
        <f t="shared" si="0"/>
        <v>1218.1499999999999</v>
      </c>
      <c r="K14" s="18">
        <v>0.6</v>
      </c>
    </row>
    <row r="15" spans="1:11" x14ac:dyDescent="0.25">
      <c r="A15" s="10" t="s">
        <v>546</v>
      </c>
      <c r="B15" s="10">
        <v>571847551</v>
      </c>
      <c r="C15" s="9">
        <v>45794</v>
      </c>
      <c r="D15" s="10" t="s">
        <v>547</v>
      </c>
      <c r="E15" s="10" t="s">
        <v>38</v>
      </c>
      <c r="F15" s="11" t="s">
        <v>546</v>
      </c>
      <c r="G15" s="17">
        <v>12888.02</v>
      </c>
      <c r="H15" s="17">
        <v>12274.3</v>
      </c>
      <c r="I15" s="17">
        <v>1841.1</v>
      </c>
      <c r="J15" s="17">
        <f t="shared" si="0"/>
        <v>1104.6599999999999</v>
      </c>
      <c r="K15" s="18">
        <v>0.6</v>
      </c>
    </row>
    <row r="16" spans="1:11" x14ac:dyDescent="0.25">
      <c r="A16" s="10" t="s">
        <v>548</v>
      </c>
      <c r="B16" s="10">
        <v>572893396</v>
      </c>
      <c r="C16" s="9">
        <v>45794</v>
      </c>
      <c r="D16" s="10" t="s">
        <v>549</v>
      </c>
      <c r="E16" s="10" t="s">
        <v>38</v>
      </c>
      <c r="F16" s="10" t="s">
        <v>210</v>
      </c>
      <c r="G16" s="17">
        <v>24713.02</v>
      </c>
      <c r="H16" s="17">
        <v>23536.2</v>
      </c>
      <c r="I16" s="17">
        <v>3530.4</v>
      </c>
      <c r="J16" s="17">
        <f t="shared" si="0"/>
        <v>2118.2399999999998</v>
      </c>
      <c r="K16" s="18">
        <v>0.6</v>
      </c>
    </row>
    <row r="17" spans="1:11" x14ac:dyDescent="0.25">
      <c r="A17" s="10" t="s">
        <v>507</v>
      </c>
      <c r="B17" s="10">
        <v>571414802</v>
      </c>
      <c r="C17" s="9">
        <v>45800</v>
      </c>
      <c r="D17" s="10" t="s">
        <v>559</v>
      </c>
      <c r="E17" s="10" t="s">
        <v>38</v>
      </c>
      <c r="F17" s="10" t="s">
        <v>507</v>
      </c>
      <c r="G17" s="17">
        <v>11415.77</v>
      </c>
      <c r="H17" s="17">
        <v>10872.16</v>
      </c>
      <c r="I17" s="17">
        <v>1630.8</v>
      </c>
      <c r="J17" s="17">
        <f t="shared" si="0"/>
        <v>978.4799999999999</v>
      </c>
      <c r="K17" s="18">
        <v>0.6</v>
      </c>
    </row>
    <row r="18" spans="1:11" x14ac:dyDescent="0.25">
      <c r="A18" s="10" t="s">
        <v>560</v>
      </c>
      <c r="B18" s="10">
        <v>570796242</v>
      </c>
      <c r="C18" s="9">
        <v>45798</v>
      </c>
      <c r="D18" s="10" t="s">
        <v>561</v>
      </c>
      <c r="E18" s="10" t="s">
        <v>38</v>
      </c>
      <c r="F18" s="10" t="s">
        <v>560</v>
      </c>
      <c r="G18" s="17">
        <v>7939.1</v>
      </c>
      <c r="H18" s="17">
        <v>7561.04</v>
      </c>
      <c r="I18" s="17">
        <v>1134.1500000000001</v>
      </c>
      <c r="J18" s="17">
        <f t="shared" si="0"/>
        <v>680.49</v>
      </c>
      <c r="K18" s="18">
        <v>0.6</v>
      </c>
    </row>
    <row r="19" spans="1:11" x14ac:dyDescent="0.25">
      <c r="A19" s="10" t="s">
        <v>121</v>
      </c>
      <c r="B19" s="10">
        <v>573295692</v>
      </c>
      <c r="C19" s="9">
        <v>45797</v>
      </c>
      <c r="D19" s="10" t="s">
        <v>122</v>
      </c>
      <c r="E19" s="10" t="s">
        <v>38</v>
      </c>
      <c r="F19" s="10" t="s">
        <v>581</v>
      </c>
      <c r="G19" s="17">
        <v>17998.03</v>
      </c>
      <c r="H19" s="17">
        <v>17140.97</v>
      </c>
      <c r="I19" s="17">
        <v>2571</v>
      </c>
      <c r="J19" s="17">
        <f t="shared" si="0"/>
        <v>1542.6</v>
      </c>
      <c r="K19" s="18">
        <v>0.6</v>
      </c>
    </row>
    <row r="20" spans="1:11" x14ac:dyDescent="0.25">
      <c r="A20" s="10" t="s">
        <v>562</v>
      </c>
      <c r="B20" s="10">
        <v>570827594</v>
      </c>
      <c r="C20" s="9">
        <v>45800</v>
      </c>
      <c r="D20" s="10" t="s">
        <v>563</v>
      </c>
      <c r="E20" s="10" t="s">
        <v>38</v>
      </c>
      <c r="F20" s="10" t="s">
        <v>620</v>
      </c>
      <c r="G20" s="17">
        <v>10260.02</v>
      </c>
      <c r="H20" s="17">
        <v>9771.44</v>
      </c>
      <c r="I20" s="17">
        <v>1465.65</v>
      </c>
      <c r="J20" s="17">
        <f t="shared" si="0"/>
        <v>879.39</v>
      </c>
      <c r="K20" s="18">
        <v>0.6</v>
      </c>
    </row>
    <row r="21" spans="1:11" x14ac:dyDescent="0.25">
      <c r="A21" s="10" t="s">
        <v>564</v>
      </c>
      <c r="B21" s="10">
        <v>572772026</v>
      </c>
      <c r="C21" s="9">
        <v>45800</v>
      </c>
      <c r="D21" s="10" t="s">
        <v>565</v>
      </c>
      <c r="E21" s="10" t="s">
        <v>38</v>
      </c>
      <c r="F21" s="11" t="s">
        <v>651</v>
      </c>
      <c r="G21" s="17">
        <v>19267.009999999998</v>
      </c>
      <c r="H21" s="17">
        <v>18349.53</v>
      </c>
      <c r="I21" s="17">
        <v>2752.35</v>
      </c>
      <c r="J21" s="17">
        <f t="shared" si="0"/>
        <v>1651.4099999999999</v>
      </c>
      <c r="K21" s="18">
        <v>0.6</v>
      </c>
    </row>
    <row r="22" spans="1:11" x14ac:dyDescent="0.25">
      <c r="A22" s="10" t="s">
        <v>572</v>
      </c>
      <c r="B22" s="10">
        <v>574018333</v>
      </c>
      <c r="C22" s="9">
        <v>45800</v>
      </c>
      <c r="D22" s="10" t="s">
        <v>573</v>
      </c>
      <c r="E22" s="10" t="s">
        <v>38</v>
      </c>
      <c r="F22" s="11" t="s">
        <v>572</v>
      </c>
      <c r="G22" s="17">
        <v>16541.09</v>
      </c>
      <c r="H22" s="17">
        <v>15753.41</v>
      </c>
      <c r="I22" s="17">
        <v>2362.9499999999998</v>
      </c>
      <c r="J22" s="17">
        <f t="shared" si="0"/>
        <v>1417.7699999999998</v>
      </c>
      <c r="K22" s="18">
        <v>0.6</v>
      </c>
    </row>
    <row r="23" spans="1:11" x14ac:dyDescent="0.25">
      <c r="A23" s="10" t="s">
        <v>537</v>
      </c>
      <c r="B23" s="10">
        <v>571549127</v>
      </c>
      <c r="C23" s="9">
        <v>45801</v>
      </c>
      <c r="D23" s="10" t="s">
        <v>539</v>
      </c>
      <c r="E23" s="10" t="s">
        <v>38</v>
      </c>
      <c r="F23" s="11" t="s">
        <v>537</v>
      </c>
      <c r="G23" s="17">
        <v>8818.66</v>
      </c>
      <c r="H23" s="17">
        <v>8398.7199999999993</v>
      </c>
      <c r="I23" s="17">
        <v>1259.8499999999999</v>
      </c>
      <c r="J23" s="17">
        <f t="shared" si="0"/>
        <v>755.91</v>
      </c>
      <c r="K23" s="18">
        <v>0.6</v>
      </c>
    </row>
    <row r="24" spans="1:11" x14ac:dyDescent="0.25">
      <c r="A24" s="10" t="s">
        <v>574</v>
      </c>
      <c r="B24" s="10">
        <v>573810149</v>
      </c>
      <c r="C24" s="9">
        <v>45806</v>
      </c>
      <c r="D24" s="10" t="s">
        <v>575</v>
      </c>
      <c r="E24" s="10" t="s">
        <v>38</v>
      </c>
      <c r="F24" s="11" t="s">
        <v>574</v>
      </c>
      <c r="G24" s="17">
        <v>12059.87</v>
      </c>
      <c r="H24" s="17">
        <v>11485.59</v>
      </c>
      <c r="I24" s="17">
        <v>1722.9</v>
      </c>
      <c r="J24" s="17">
        <f t="shared" si="0"/>
        <v>1033.74</v>
      </c>
      <c r="K24" s="18">
        <v>0.6</v>
      </c>
    </row>
    <row r="25" spans="1:11" x14ac:dyDescent="0.25">
      <c r="A25" s="10" t="s">
        <v>517</v>
      </c>
      <c r="B25" s="10">
        <v>574698950</v>
      </c>
      <c r="C25" s="9">
        <v>45800</v>
      </c>
      <c r="D25" s="10" t="s">
        <v>43</v>
      </c>
      <c r="E25" s="10" t="s">
        <v>38</v>
      </c>
      <c r="F25" s="11" t="s">
        <v>517</v>
      </c>
      <c r="G25" s="17">
        <v>23080.16</v>
      </c>
      <c r="H25" s="17">
        <v>21981.1</v>
      </c>
      <c r="I25" s="17">
        <v>3297.15</v>
      </c>
      <c r="J25" s="17">
        <f t="shared" si="0"/>
        <v>1978.29</v>
      </c>
      <c r="K25" s="18">
        <v>0.6</v>
      </c>
    </row>
    <row r="26" spans="1:11" x14ac:dyDescent="0.25">
      <c r="A26" s="10" t="s">
        <v>576</v>
      </c>
      <c r="B26" s="10">
        <v>574732952</v>
      </c>
      <c r="C26" s="9">
        <v>45800</v>
      </c>
      <c r="D26" s="10" t="s">
        <v>577</v>
      </c>
      <c r="E26" s="10" t="s">
        <v>38</v>
      </c>
      <c r="F26" s="11" t="s">
        <v>638</v>
      </c>
      <c r="G26" s="17">
        <v>16737.84</v>
      </c>
      <c r="H26" s="17">
        <v>15940.79</v>
      </c>
      <c r="I26" s="17">
        <v>2391</v>
      </c>
      <c r="J26" s="17">
        <f t="shared" si="0"/>
        <v>1434.6</v>
      </c>
      <c r="K26" s="18">
        <v>0.6</v>
      </c>
    </row>
    <row r="27" spans="1:11" x14ac:dyDescent="0.25">
      <c r="A27" s="10" t="s">
        <v>46</v>
      </c>
      <c r="B27" s="10">
        <v>574871073</v>
      </c>
      <c r="C27" s="9">
        <v>45801</v>
      </c>
      <c r="D27" s="10" t="s">
        <v>589</v>
      </c>
      <c r="E27" s="10" t="s">
        <v>38</v>
      </c>
      <c r="F27" s="11" t="s">
        <v>101</v>
      </c>
      <c r="G27" s="17">
        <v>67607.22</v>
      </c>
      <c r="H27" s="17">
        <v>64387.82</v>
      </c>
      <c r="I27" s="17">
        <v>9658.0499999999993</v>
      </c>
      <c r="J27" s="17">
        <f t="shared" si="0"/>
        <v>5794.829999999999</v>
      </c>
      <c r="K27" s="18">
        <v>0.6</v>
      </c>
    </row>
    <row r="28" spans="1:11" x14ac:dyDescent="0.25">
      <c r="A28" s="10" t="s">
        <v>574</v>
      </c>
      <c r="B28" s="10">
        <v>575965166</v>
      </c>
      <c r="C28" s="9">
        <v>45807</v>
      </c>
      <c r="D28" s="10" t="s">
        <v>596</v>
      </c>
      <c r="E28" s="10" t="s">
        <v>38</v>
      </c>
      <c r="F28" s="11" t="s">
        <v>574</v>
      </c>
      <c r="G28" s="17">
        <v>11177.72</v>
      </c>
      <c r="H28" s="17">
        <v>10645.44</v>
      </c>
      <c r="I28" s="17">
        <v>1596.75</v>
      </c>
      <c r="J28" s="17">
        <f t="shared" si="0"/>
        <v>958.05</v>
      </c>
      <c r="K28" s="18">
        <v>0.6</v>
      </c>
    </row>
    <row r="29" spans="1:11" x14ac:dyDescent="0.25">
      <c r="A29" s="178" t="s">
        <v>381</v>
      </c>
      <c r="B29" s="178">
        <v>561349586</v>
      </c>
      <c r="C29" s="179">
        <v>45797</v>
      </c>
      <c r="D29" s="178" t="s">
        <v>687</v>
      </c>
      <c r="E29" s="178" t="s">
        <v>41</v>
      </c>
      <c r="F29" s="180" t="s">
        <v>123</v>
      </c>
      <c r="G29" s="181">
        <v>10448.85</v>
      </c>
      <c r="H29" s="181">
        <v>9951.2800000000007</v>
      </c>
      <c r="I29" s="182">
        <v>1492.65</v>
      </c>
      <c r="J29" s="182">
        <f>I29*K29</f>
        <v>895.59</v>
      </c>
      <c r="K29" s="183">
        <v>0.6</v>
      </c>
    </row>
    <row r="30" spans="1:11" x14ac:dyDescent="0.25">
      <c r="A30" s="144" t="s">
        <v>46</v>
      </c>
      <c r="B30" s="144">
        <v>538072026</v>
      </c>
      <c r="C30" s="145">
        <v>45801</v>
      </c>
      <c r="D30" s="144" t="s">
        <v>47</v>
      </c>
      <c r="E30" s="144" t="s">
        <v>38</v>
      </c>
      <c r="F30" s="147" t="s">
        <v>419</v>
      </c>
      <c r="G30" s="146">
        <v>12574.12</v>
      </c>
      <c r="H30" s="146">
        <v>11975.34</v>
      </c>
      <c r="I30" s="159">
        <v>-1796.25</v>
      </c>
      <c r="J30" s="159">
        <f t="shared" ref="J30" si="1">I30*K30</f>
        <v>-1077.75</v>
      </c>
      <c r="K30" s="184">
        <v>0.6</v>
      </c>
    </row>
    <row r="31" spans="1:11" x14ac:dyDescent="0.25">
      <c r="A31" s="10"/>
      <c r="B31" s="10"/>
      <c r="C31" s="9"/>
      <c r="D31" s="10"/>
      <c r="E31" s="10"/>
      <c r="F31" s="11"/>
      <c r="G31" s="17"/>
      <c r="H31" s="17"/>
      <c r="I31" s="17"/>
      <c r="J31" s="17"/>
      <c r="K31" s="18"/>
    </row>
    <row r="32" spans="1:11" x14ac:dyDescent="0.25">
      <c r="A32" s="10"/>
      <c r="B32" s="10"/>
      <c r="C32" s="9"/>
      <c r="D32" s="10"/>
      <c r="E32" s="10"/>
      <c r="F32" s="6" t="s">
        <v>13</v>
      </c>
      <c r="G32" s="8">
        <f>SUM(G4:G31)</f>
        <v>451170.02999999991</v>
      </c>
      <c r="H32" s="8">
        <f>SUM(H4:H31)</f>
        <v>429685.57</v>
      </c>
      <c r="I32" s="8">
        <f>SUM(I4:I31)</f>
        <v>60858.749999999993</v>
      </c>
      <c r="J32" s="8">
        <f>SUM(J4:J31)</f>
        <v>36515.25</v>
      </c>
      <c r="K32" s="6"/>
    </row>
    <row r="33" spans="1:11" x14ac:dyDescent="0.25">
      <c r="A33" s="10"/>
      <c r="B33" s="10"/>
      <c r="C33" s="9"/>
      <c r="D33" s="10"/>
      <c r="E33" s="10"/>
      <c r="F33" s="13" t="s">
        <v>14</v>
      </c>
      <c r="G33" s="21">
        <f>G9+G14+G29</f>
        <v>47784.46</v>
      </c>
      <c r="H33" s="17"/>
      <c r="I33" s="17"/>
      <c r="J33" s="17"/>
      <c r="K33" s="10"/>
    </row>
    <row r="34" spans="1:11" x14ac:dyDescent="0.25">
      <c r="A34" s="10"/>
      <c r="B34" s="10"/>
      <c r="C34" s="9"/>
      <c r="D34" s="10"/>
      <c r="E34" s="45"/>
      <c r="F34" s="46" t="s">
        <v>15</v>
      </c>
      <c r="G34" s="47">
        <f>G33/6</f>
        <v>7964.0766666666668</v>
      </c>
      <c r="H34" s="17"/>
      <c r="I34" s="17"/>
      <c r="J34" s="17"/>
      <c r="K34" s="10"/>
    </row>
    <row r="35" spans="1:11" x14ac:dyDescent="0.25">
      <c r="A35" s="10"/>
      <c r="B35" s="10"/>
      <c r="C35" s="9"/>
      <c r="D35" s="10"/>
      <c r="E35" s="10"/>
      <c r="F35" s="10"/>
      <c r="G35" s="17"/>
      <c r="H35" s="17"/>
      <c r="I35" s="17"/>
      <c r="J35" s="17"/>
      <c r="K35" s="10"/>
    </row>
    <row r="36" spans="1:11" x14ac:dyDescent="0.25">
      <c r="A36" s="10" t="s">
        <v>16</v>
      </c>
      <c r="B36" s="10"/>
      <c r="C36" s="9"/>
      <c r="D36" s="10"/>
      <c r="E36" s="10"/>
      <c r="F36" s="10"/>
      <c r="G36" s="17"/>
      <c r="H36" s="17"/>
      <c r="I36" s="17"/>
      <c r="J36" s="17"/>
      <c r="K36" s="10"/>
    </row>
    <row r="37" spans="1:11" x14ac:dyDescent="0.25">
      <c r="A37" s="10" t="s">
        <v>414</v>
      </c>
      <c r="B37" s="20">
        <v>568916800</v>
      </c>
      <c r="C37" s="12">
        <v>45780</v>
      </c>
      <c r="D37" s="11" t="s">
        <v>498</v>
      </c>
      <c r="E37" s="11" t="s">
        <v>38</v>
      </c>
      <c r="F37" s="11" t="s">
        <v>57</v>
      </c>
      <c r="G37" s="16">
        <v>8124.98</v>
      </c>
      <c r="H37" s="16">
        <v>7254.44</v>
      </c>
      <c r="I37" s="17">
        <v>725.4</v>
      </c>
      <c r="J37" s="17">
        <f>I37*K37</f>
        <v>435.23999999999995</v>
      </c>
      <c r="K37" s="18">
        <v>0.6</v>
      </c>
    </row>
    <row r="38" spans="1:11" x14ac:dyDescent="0.25">
      <c r="A38" s="10" t="s">
        <v>499</v>
      </c>
      <c r="B38" s="11">
        <v>568914035</v>
      </c>
      <c r="C38" s="12">
        <v>45780</v>
      </c>
      <c r="D38" s="11" t="s">
        <v>500</v>
      </c>
      <c r="E38" s="11" t="s">
        <v>38</v>
      </c>
      <c r="F38" s="11" t="s">
        <v>499</v>
      </c>
      <c r="G38" s="16">
        <v>6771.03</v>
      </c>
      <c r="H38" s="16">
        <v>6045.56</v>
      </c>
      <c r="I38" s="17">
        <v>604.5</v>
      </c>
      <c r="J38" s="17">
        <f>I38*K38</f>
        <v>362.7</v>
      </c>
      <c r="K38" s="18">
        <v>0.6</v>
      </c>
    </row>
    <row r="39" spans="1:11" x14ac:dyDescent="0.25">
      <c r="A39" s="10" t="s">
        <v>503</v>
      </c>
      <c r="B39" s="11">
        <v>566997866</v>
      </c>
      <c r="C39" s="12">
        <v>45780</v>
      </c>
      <c r="D39" s="11" t="s">
        <v>504</v>
      </c>
      <c r="E39" s="11" t="s">
        <v>38</v>
      </c>
      <c r="F39" s="11" t="s">
        <v>57</v>
      </c>
      <c r="G39" s="16">
        <v>11374.99</v>
      </c>
      <c r="H39" s="16">
        <v>10349.67</v>
      </c>
      <c r="I39" s="17">
        <v>1034.9000000000001</v>
      </c>
      <c r="J39" s="17">
        <f t="shared" ref="J39:J77" si="2">I39*K39</f>
        <v>620.94000000000005</v>
      </c>
      <c r="K39" s="18">
        <v>0.6</v>
      </c>
    </row>
    <row r="40" spans="1:11" x14ac:dyDescent="0.25">
      <c r="A40" s="10" t="s">
        <v>505</v>
      </c>
      <c r="B40" s="20">
        <v>567752991</v>
      </c>
      <c r="C40" s="12">
        <v>45783</v>
      </c>
      <c r="D40" s="11" t="s">
        <v>506</v>
      </c>
      <c r="E40" s="11" t="s">
        <v>38</v>
      </c>
      <c r="F40" s="11" t="s">
        <v>57</v>
      </c>
      <c r="G40" s="16">
        <v>20562.03</v>
      </c>
      <c r="H40" s="16">
        <v>18676.259999999998</v>
      </c>
      <c r="I40" s="17">
        <v>1867.6</v>
      </c>
      <c r="J40" s="17">
        <f t="shared" si="2"/>
        <v>1120.56</v>
      </c>
      <c r="K40" s="18">
        <v>0.6</v>
      </c>
    </row>
    <row r="41" spans="1:11" x14ac:dyDescent="0.25">
      <c r="A41" s="10" t="s">
        <v>512</v>
      </c>
      <c r="B41" s="11">
        <v>567037157</v>
      </c>
      <c r="C41" s="12">
        <v>45781</v>
      </c>
      <c r="D41" s="11" t="s">
        <v>513</v>
      </c>
      <c r="E41" s="11" t="s">
        <v>38</v>
      </c>
      <c r="F41" s="11" t="s">
        <v>514</v>
      </c>
      <c r="G41" s="16">
        <v>14338.48</v>
      </c>
      <c r="H41" s="16">
        <v>13023.47</v>
      </c>
      <c r="I41" s="17">
        <v>1302.3</v>
      </c>
      <c r="J41" s="17">
        <f t="shared" si="2"/>
        <v>781.38</v>
      </c>
      <c r="K41" s="18">
        <v>0.6</v>
      </c>
    </row>
    <row r="42" spans="1:11" x14ac:dyDescent="0.25">
      <c r="A42" s="10" t="s">
        <v>508</v>
      </c>
      <c r="B42" s="11">
        <v>569318298</v>
      </c>
      <c r="C42" s="12">
        <v>45782</v>
      </c>
      <c r="D42" s="11" t="s">
        <v>509</v>
      </c>
      <c r="E42" s="11" t="s">
        <v>38</v>
      </c>
      <c r="F42" s="11" t="s">
        <v>508</v>
      </c>
      <c r="G42" s="16">
        <v>6771.02</v>
      </c>
      <c r="H42" s="16">
        <v>6045.54</v>
      </c>
      <c r="I42" s="17">
        <v>604.5</v>
      </c>
      <c r="J42" s="17">
        <f t="shared" si="2"/>
        <v>362.7</v>
      </c>
      <c r="K42" s="18">
        <v>0.6</v>
      </c>
    </row>
    <row r="43" spans="1:11" x14ac:dyDescent="0.25">
      <c r="A43" s="10" t="s">
        <v>515</v>
      </c>
      <c r="B43" s="11">
        <v>569366758</v>
      </c>
      <c r="C43" s="12">
        <v>45782</v>
      </c>
      <c r="D43" s="11" t="s">
        <v>516</v>
      </c>
      <c r="E43" s="11" t="s">
        <v>38</v>
      </c>
      <c r="F43" s="11" t="s">
        <v>515</v>
      </c>
      <c r="G43" s="16">
        <v>16990.509999999998</v>
      </c>
      <c r="H43" s="16">
        <v>15459.04</v>
      </c>
      <c r="I43" s="17">
        <v>1545.9</v>
      </c>
      <c r="J43" s="17">
        <f t="shared" si="2"/>
        <v>927.54</v>
      </c>
      <c r="K43" s="18">
        <v>0.6</v>
      </c>
    </row>
    <row r="44" spans="1:11" x14ac:dyDescent="0.25">
      <c r="A44" s="10" t="s">
        <v>510</v>
      </c>
      <c r="B44" s="11">
        <v>569315883</v>
      </c>
      <c r="C44" s="12">
        <v>45782</v>
      </c>
      <c r="D44" s="11" t="s">
        <v>511</v>
      </c>
      <c r="E44" s="11" t="s">
        <v>38</v>
      </c>
      <c r="F44" s="11" t="s">
        <v>510</v>
      </c>
      <c r="G44" s="16">
        <v>6323.01</v>
      </c>
      <c r="H44" s="16">
        <v>5645.55</v>
      </c>
      <c r="I44" s="17">
        <v>564.5</v>
      </c>
      <c r="J44" s="17">
        <f t="shared" si="2"/>
        <v>338.7</v>
      </c>
      <c r="K44" s="18">
        <v>0.6</v>
      </c>
    </row>
    <row r="45" spans="1:11" x14ac:dyDescent="0.25">
      <c r="A45" s="10" t="s">
        <v>518</v>
      </c>
      <c r="B45" s="11">
        <v>569007539</v>
      </c>
      <c r="C45" s="12">
        <v>45783</v>
      </c>
      <c r="D45" s="11" t="s">
        <v>519</v>
      </c>
      <c r="E45" s="11" t="s">
        <v>38</v>
      </c>
      <c r="F45" s="11" t="s">
        <v>57</v>
      </c>
      <c r="G45" s="16">
        <v>9750.09</v>
      </c>
      <c r="H45" s="16">
        <v>8705.44</v>
      </c>
      <c r="I45" s="17">
        <v>870.5</v>
      </c>
      <c r="J45" s="17">
        <f t="shared" si="2"/>
        <v>522.29999999999995</v>
      </c>
      <c r="K45" s="18">
        <v>0.6</v>
      </c>
    </row>
    <row r="46" spans="1:11" x14ac:dyDescent="0.25">
      <c r="A46" s="10" t="s">
        <v>520</v>
      </c>
      <c r="B46" s="11">
        <v>568989515</v>
      </c>
      <c r="C46" s="12">
        <v>45781</v>
      </c>
      <c r="D46" s="11" t="s">
        <v>521</v>
      </c>
      <c r="E46" s="11" t="s">
        <v>38</v>
      </c>
      <c r="F46" s="11" t="s">
        <v>520</v>
      </c>
      <c r="G46" s="16">
        <v>6771</v>
      </c>
      <c r="H46" s="16">
        <v>6045.54</v>
      </c>
      <c r="I46" s="17">
        <v>604.5</v>
      </c>
      <c r="J46" s="17">
        <f t="shared" si="2"/>
        <v>362.7</v>
      </c>
      <c r="K46" s="18">
        <v>0.6</v>
      </c>
    </row>
    <row r="47" spans="1:11" x14ac:dyDescent="0.25">
      <c r="A47" s="10" t="s">
        <v>105</v>
      </c>
      <c r="B47" s="11">
        <v>568015472</v>
      </c>
      <c r="C47" s="12">
        <v>45786</v>
      </c>
      <c r="D47" s="11" t="s">
        <v>162</v>
      </c>
      <c r="E47" s="11" t="s">
        <v>38</v>
      </c>
      <c r="F47" s="11" t="s">
        <v>105</v>
      </c>
      <c r="G47" s="16">
        <v>6771.03</v>
      </c>
      <c r="H47" s="16">
        <v>6045.55</v>
      </c>
      <c r="I47" s="17">
        <v>604.5</v>
      </c>
      <c r="J47" s="17">
        <f t="shared" si="2"/>
        <v>362.7</v>
      </c>
      <c r="K47" s="18">
        <v>0.6</v>
      </c>
    </row>
    <row r="48" spans="1:11" x14ac:dyDescent="0.25">
      <c r="A48" s="10" t="s">
        <v>523</v>
      </c>
      <c r="B48" s="11">
        <v>570555681</v>
      </c>
      <c r="C48" s="12">
        <v>45785</v>
      </c>
      <c r="D48" s="11" t="s">
        <v>524</v>
      </c>
      <c r="E48" s="11" t="s">
        <v>38</v>
      </c>
      <c r="F48" s="11" t="s">
        <v>523</v>
      </c>
      <c r="G48" s="16">
        <v>8850.9500000000007</v>
      </c>
      <c r="H48" s="16">
        <v>7902.66</v>
      </c>
      <c r="I48" s="17">
        <v>790.2</v>
      </c>
      <c r="J48" s="17">
        <f t="shared" si="2"/>
        <v>474.12</v>
      </c>
      <c r="K48" s="18">
        <v>0.6</v>
      </c>
    </row>
    <row r="49" spans="1:11" x14ac:dyDescent="0.25">
      <c r="A49" s="10" t="s">
        <v>542</v>
      </c>
      <c r="B49" s="10">
        <v>570660796</v>
      </c>
      <c r="C49" s="12">
        <v>45785</v>
      </c>
      <c r="D49" s="11" t="s">
        <v>43</v>
      </c>
      <c r="E49" s="11" t="s">
        <v>38</v>
      </c>
      <c r="F49" s="11" t="s">
        <v>57</v>
      </c>
      <c r="G49" s="16">
        <v>10621.09</v>
      </c>
      <c r="H49" s="16">
        <v>9483.1</v>
      </c>
      <c r="I49" s="17">
        <v>948.3</v>
      </c>
      <c r="J49" s="17">
        <f t="shared" si="2"/>
        <v>568.9799999999999</v>
      </c>
      <c r="K49" s="18">
        <v>0.6</v>
      </c>
    </row>
    <row r="50" spans="1:11" x14ac:dyDescent="0.25">
      <c r="A50" s="10" t="s">
        <v>550</v>
      </c>
      <c r="B50" s="11">
        <v>571461588</v>
      </c>
      <c r="C50" s="12">
        <v>45789</v>
      </c>
      <c r="D50" s="11" t="s">
        <v>551</v>
      </c>
      <c r="E50" s="11" t="s">
        <v>38</v>
      </c>
      <c r="F50" s="11" t="s">
        <v>57</v>
      </c>
      <c r="G50" s="16">
        <v>18280.400000000001</v>
      </c>
      <c r="H50" s="16">
        <v>16603.89</v>
      </c>
      <c r="I50" s="17">
        <v>1660.3</v>
      </c>
      <c r="J50" s="17">
        <f t="shared" si="2"/>
        <v>996.18</v>
      </c>
      <c r="K50" s="18">
        <v>0.6</v>
      </c>
    </row>
    <row r="51" spans="1:11" x14ac:dyDescent="0.25">
      <c r="A51" s="10" t="s">
        <v>552</v>
      </c>
      <c r="B51" s="11">
        <v>570102763</v>
      </c>
      <c r="C51" s="12">
        <v>45790</v>
      </c>
      <c r="D51" s="11" t="s">
        <v>553</v>
      </c>
      <c r="E51" s="11" t="s">
        <v>38</v>
      </c>
      <c r="F51" s="11" t="s">
        <v>57</v>
      </c>
      <c r="G51" s="16">
        <v>14869.53</v>
      </c>
      <c r="H51" s="16">
        <v>13529.23</v>
      </c>
      <c r="I51" s="17">
        <v>1352.9</v>
      </c>
      <c r="J51" s="17">
        <f t="shared" si="2"/>
        <v>811.74</v>
      </c>
      <c r="K51" s="18">
        <v>0.6</v>
      </c>
    </row>
    <row r="52" spans="1:11" x14ac:dyDescent="0.25">
      <c r="A52" s="10" t="s">
        <v>554</v>
      </c>
      <c r="B52" s="11">
        <v>570108586</v>
      </c>
      <c r="C52" s="12">
        <v>45791</v>
      </c>
      <c r="D52" s="11" t="s">
        <v>555</v>
      </c>
      <c r="E52" s="11" t="s">
        <v>38</v>
      </c>
      <c r="F52" s="11" t="s">
        <v>57</v>
      </c>
      <c r="G52" s="16">
        <v>14869.53</v>
      </c>
      <c r="H52" s="16">
        <v>13529.23</v>
      </c>
      <c r="I52" s="17">
        <v>1352.9</v>
      </c>
      <c r="J52" s="17">
        <f t="shared" si="2"/>
        <v>811.74</v>
      </c>
      <c r="K52" s="18">
        <v>0.6</v>
      </c>
    </row>
    <row r="53" spans="1:11" x14ac:dyDescent="0.25">
      <c r="A53" s="10" t="s">
        <v>169</v>
      </c>
      <c r="B53" s="11">
        <v>572026659</v>
      </c>
      <c r="C53" s="12">
        <v>45795</v>
      </c>
      <c r="D53" s="11" t="s">
        <v>545</v>
      </c>
      <c r="E53" s="11" t="s">
        <v>38</v>
      </c>
      <c r="F53" s="11" t="s">
        <v>57</v>
      </c>
      <c r="G53" s="16">
        <v>8850.9699999999993</v>
      </c>
      <c r="H53" s="16">
        <v>7902.65</v>
      </c>
      <c r="I53" s="17">
        <v>790.2</v>
      </c>
      <c r="J53" s="17">
        <f t="shared" si="2"/>
        <v>474.12</v>
      </c>
      <c r="K53" s="18">
        <v>0.6</v>
      </c>
    </row>
    <row r="54" spans="1:11" x14ac:dyDescent="0.25">
      <c r="A54" s="10" t="s">
        <v>556</v>
      </c>
      <c r="B54" s="11">
        <v>572674717</v>
      </c>
      <c r="C54" s="12">
        <v>45793</v>
      </c>
      <c r="D54" s="11" t="s">
        <v>557</v>
      </c>
      <c r="E54" s="11" t="s">
        <v>38</v>
      </c>
      <c r="F54" s="11" t="s">
        <v>556</v>
      </c>
      <c r="G54" s="16">
        <v>18280.41</v>
      </c>
      <c r="H54" s="16">
        <v>16603.89</v>
      </c>
      <c r="I54" s="17">
        <v>1660.3</v>
      </c>
      <c r="J54" s="17">
        <f t="shared" si="2"/>
        <v>996.18</v>
      </c>
      <c r="K54" s="18">
        <v>0.6</v>
      </c>
    </row>
    <row r="55" spans="1:11" x14ac:dyDescent="0.25">
      <c r="A55" s="10" t="s">
        <v>546</v>
      </c>
      <c r="B55" s="11">
        <v>571848962</v>
      </c>
      <c r="C55" s="12">
        <v>45794</v>
      </c>
      <c r="D55" s="11" t="s">
        <v>547</v>
      </c>
      <c r="E55" s="11" t="s">
        <v>38</v>
      </c>
      <c r="F55" s="11" t="s">
        <v>546</v>
      </c>
      <c r="G55" s="16">
        <v>6771.04</v>
      </c>
      <c r="H55" s="16">
        <v>6045.55</v>
      </c>
      <c r="I55" s="17">
        <v>604.5</v>
      </c>
      <c r="J55" s="17">
        <f t="shared" si="2"/>
        <v>362.7</v>
      </c>
      <c r="K55" s="18">
        <v>0.6</v>
      </c>
    </row>
    <row r="56" spans="1:11" x14ac:dyDescent="0.25">
      <c r="A56" s="10" t="s">
        <v>548</v>
      </c>
      <c r="B56" s="11">
        <v>572894361</v>
      </c>
      <c r="C56" s="12">
        <v>45794</v>
      </c>
      <c r="D56" s="11" t="s">
        <v>549</v>
      </c>
      <c r="E56" s="11" t="s">
        <v>38</v>
      </c>
      <c r="F56" s="11" t="s">
        <v>548</v>
      </c>
      <c r="G56" s="16">
        <v>5748.94</v>
      </c>
      <c r="H56" s="16">
        <v>5132.9799999999996</v>
      </c>
      <c r="I56" s="17">
        <v>513.20000000000005</v>
      </c>
      <c r="J56" s="17">
        <f t="shared" si="2"/>
        <v>307.92</v>
      </c>
      <c r="K56" s="18">
        <v>0.6</v>
      </c>
    </row>
    <row r="57" spans="1:11" x14ac:dyDescent="0.25">
      <c r="A57" s="10" t="s">
        <v>560</v>
      </c>
      <c r="B57" s="11">
        <v>573317742</v>
      </c>
      <c r="C57" s="12">
        <v>45798</v>
      </c>
      <c r="D57" s="11" t="s">
        <v>561</v>
      </c>
      <c r="E57" s="11" t="s">
        <v>38</v>
      </c>
      <c r="F57" s="11" t="s">
        <v>560</v>
      </c>
      <c r="G57" s="16">
        <v>6771.03</v>
      </c>
      <c r="H57" s="16">
        <v>6045.55</v>
      </c>
      <c r="I57" s="17">
        <v>604.5</v>
      </c>
      <c r="J57" s="17">
        <f t="shared" si="2"/>
        <v>362.7</v>
      </c>
      <c r="K57" s="18">
        <v>0.6</v>
      </c>
    </row>
    <row r="58" spans="1:11" x14ac:dyDescent="0.25">
      <c r="A58" s="10" t="s">
        <v>562</v>
      </c>
      <c r="B58" s="11">
        <v>573331549</v>
      </c>
      <c r="C58" s="12">
        <v>45806</v>
      </c>
      <c r="D58" s="11" t="s">
        <v>563</v>
      </c>
      <c r="E58" s="11" t="s">
        <v>38</v>
      </c>
      <c r="F58" s="11" t="s">
        <v>57</v>
      </c>
      <c r="G58" s="16">
        <v>6771.03</v>
      </c>
      <c r="H58" s="16">
        <v>6045.56</v>
      </c>
      <c r="I58" s="17">
        <v>604.5</v>
      </c>
      <c r="J58" s="17">
        <f t="shared" si="2"/>
        <v>362.7</v>
      </c>
      <c r="K58" s="18">
        <v>0.6</v>
      </c>
    </row>
    <row r="59" spans="1:11" x14ac:dyDescent="0.25">
      <c r="A59" s="10" t="s">
        <v>507</v>
      </c>
      <c r="B59" s="11">
        <v>573318618</v>
      </c>
      <c r="C59" s="12">
        <v>45800</v>
      </c>
      <c r="D59" s="11" t="s">
        <v>559</v>
      </c>
      <c r="E59" s="11" t="s">
        <v>38</v>
      </c>
      <c r="F59" s="11" t="s">
        <v>57</v>
      </c>
      <c r="G59" s="16">
        <v>6323.05</v>
      </c>
      <c r="H59" s="16">
        <v>5645.56</v>
      </c>
      <c r="I59" s="17">
        <v>564.5</v>
      </c>
      <c r="J59" s="17">
        <f t="shared" si="2"/>
        <v>338.7</v>
      </c>
      <c r="K59" s="18">
        <v>0.6</v>
      </c>
    </row>
    <row r="60" spans="1:11" x14ac:dyDescent="0.25">
      <c r="A60" s="10" t="s">
        <v>566</v>
      </c>
      <c r="B60" s="11">
        <v>573465909</v>
      </c>
      <c r="C60" s="12">
        <v>45797</v>
      </c>
      <c r="D60" s="11" t="s">
        <v>567</v>
      </c>
      <c r="E60" s="11" t="s">
        <v>38</v>
      </c>
      <c r="F60" s="11" t="s">
        <v>568</v>
      </c>
      <c r="G60" s="16">
        <v>18280.39</v>
      </c>
      <c r="H60" s="16">
        <v>16603.89</v>
      </c>
      <c r="I60" s="17">
        <v>1660.3</v>
      </c>
      <c r="J60" s="17">
        <f t="shared" si="2"/>
        <v>996.18</v>
      </c>
      <c r="K60" s="18">
        <v>0.6</v>
      </c>
    </row>
    <row r="61" spans="1:11" x14ac:dyDescent="0.25">
      <c r="A61" s="10" t="s">
        <v>569</v>
      </c>
      <c r="B61" s="11">
        <v>573491742</v>
      </c>
      <c r="C61" s="12">
        <v>45797</v>
      </c>
      <c r="D61" s="11" t="s">
        <v>570</v>
      </c>
      <c r="E61" s="11" t="s">
        <v>38</v>
      </c>
      <c r="F61" s="11" t="s">
        <v>571</v>
      </c>
      <c r="G61" s="16">
        <v>23897.83</v>
      </c>
      <c r="H61" s="16">
        <v>21706.12</v>
      </c>
      <c r="I61" s="17">
        <v>2170.6</v>
      </c>
      <c r="J61" s="17">
        <f t="shared" si="2"/>
        <v>1302.3599999999999</v>
      </c>
      <c r="K61" s="18">
        <v>0.6</v>
      </c>
    </row>
    <row r="62" spans="1:11" x14ac:dyDescent="0.25">
      <c r="A62" s="10" t="s">
        <v>564</v>
      </c>
      <c r="B62" s="11">
        <v>573507920</v>
      </c>
      <c r="C62" s="12">
        <v>45800</v>
      </c>
      <c r="D62" s="11" t="s">
        <v>565</v>
      </c>
      <c r="E62" s="11" t="s">
        <v>38</v>
      </c>
      <c r="F62" s="11" t="s">
        <v>564</v>
      </c>
      <c r="G62" s="16">
        <v>7587.99</v>
      </c>
      <c r="H62" s="16">
        <v>6774.99</v>
      </c>
      <c r="I62" s="17">
        <v>677.5</v>
      </c>
      <c r="J62" s="17">
        <f t="shared" si="2"/>
        <v>406.5</v>
      </c>
      <c r="K62" s="18">
        <v>0.6</v>
      </c>
    </row>
    <row r="63" spans="1:11" x14ac:dyDescent="0.25">
      <c r="A63" s="11" t="s">
        <v>574</v>
      </c>
      <c r="B63" s="11">
        <v>574178522</v>
      </c>
      <c r="C63" s="12">
        <v>45799</v>
      </c>
      <c r="D63" s="11" t="s">
        <v>575</v>
      </c>
      <c r="E63" s="11" t="s">
        <v>38</v>
      </c>
      <c r="F63" s="11" t="s">
        <v>574</v>
      </c>
      <c r="G63" s="16">
        <v>7281.98</v>
      </c>
      <c r="H63" s="16">
        <v>6501.77</v>
      </c>
      <c r="I63" s="17">
        <v>650.1</v>
      </c>
      <c r="J63" s="17">
        <f t="shared" si="2"/>
        <v>390.06</v>
      </c>
      <c r="K63" s="18">
        <v>0.6</v>
      </c>
    </row>
    <row r="64" spans="1:11" x14ac:dyDescent="0.25">
      <c r="A64" s="11" t="s">
        <v>572</v>
      </c>
      <c r="B64" s="11">
        <v>574020863</v>
      </c>
      <c r="C64" s="12">
        <v>45800</v>
      </c>
      <c r="D64" s="11" t="s">
        <v>573</v>
      </c>
      <c r="E64" s="11" t="s">
        <v>38</v>
      </c>
      <c r="F64" s="10" t="s">
        <v>572</v>
      </c>
      <c r="G64" s="16">
        <v>13541.03</v>
      </c>
      <c r="H64" s="16">
        <v>12090.21</v>
      </c>
      <c r="I64" s="16">
        <v>1209</v>
      </c>
      <c r="J64" s="17">
        <f t="shared" si="2"/>
        <v>725.4</v>
      </c>
      <c r="K64" s="18">
        <v>0.6</v>
      </c>
    </row>
    <row r="65" spans="1:14" x14ac:dyDescent="0.25">
      <c r="A65" s="11" t="s">
        <v>576</v>
      </c>
      <c r="B65" s="11">
        <v>574755188</v>
      </c>
      <c r="C65" s="12">
        <v>45800</v>
      </c>
      <c r="D65" s="11" t="s">
        <v>578</v>
      </c>
      <c r="E65" s="11" t="s">
        <v>38</v>
      </c>
      <c r="F65" s="10" t="s">
        <v>576</v>
      </c>
      <c r="G65" s="16">
        <v>12647.05</v>
      </c>
      <c r="H65" s="16">
        <v>11291.99</v>
      </c>
      <c r="I65" s="16">
        <v>1129.2</v>
      </c>
      <c r="J65" s="17">
        <f t="shared" si="2"/>
        <v>677.52</v>
      </c>
      <c r="K65" s="18">
        <v>0.6</v>
      </c>
    </row>
    <row r="66" spans="1:14" x14ac:dyDescent="0.25">
      <c r="A66" s="11" t="s">
        <v>517</v>
      </c>
      <c r="B66" s="11">
        <v>574702520</v>
      </c>
      <c r="C66" s="12">
        <v>45800</v>
      </c>
      <c r="D66" s="11" t="s">
        <v>43</v>
      </c>
      <c r="E66" s="11" t="s">
        <v>38</v>
      </c>
      <c r="F66" s="10" t="s">
        <v>57</v>
      </c>
      <c r="G66" s="16">
        <v>12187.09</v>
      </c>
      <c r="H66" s="16">
        <v>10881.32</v>
      </c>
      <c r="I66" s="16">
        <v>1088.0999999999999</v>
      </c>
      <c r="J66" s="17">
        <f t="shared" si="2"/>
        <v>652.8599999999999</v>
      </c>
      <c r="K66" s="18">
        <v>0.6</v>
      </c>
    </row>
    <row r="67" spans="1:14" x14ac:dyDescent="0.25">
      <c r="A67" s="11" t="s">
        <v>579</v>
      </c>
      <c r="B67" s="11">
        <v>574517290</v>
      </c>
      <c r="C67" s="12">
        <v>45800</v>
      </c>
      <c r="D67" s="11" t="s">
        <v>580</v>
      </c>
      <c r="E67" s="11" t="s">
        <v>38</v>
      </c>
      <c r="F67" s="10" t="s">
        <v>57</v>
      </c>
      <c r="G67" s="16">
        <v>17763.46</v>
      </c>
      <c r="H67" s="16">
        <v>16134.37</v>
      </c>
      <c r="I67" s="16">
        <v>1613.4</v>
      </c>
      <c r="J67" s="17">
        <f t="shared" si="2"/>
        <v>968.04</v>
      </c>
      <c r="K67" s="18">
        <v>0.6</v>
      </c>
    </row>
    <row r="68" spans="1:14" x14ac:dyDescent="0.25">
      <c r="A68" s="11" t="s">
        <v>581</v>
      </c>
      <c r="B68" s="11">
        <v>574226882</v>
      </c>
      <c r="C68" s="12">
        <v>45806</v>
      </c>
      <c r="D68" s="11" t="s">
        <v>582</v>
      </c>
      <c r="E68" s="11" t="s">
        <v>38</v>
      </c>
      <c r="F68" s="10" t="s">
        <v>581</v>
      </c>
      <c r="G68" s="16">
        <v>10968.7</v>
      </c>
      <c r="H68" s="16">
        <v>9962.74</v>
      </c>
      <c r="I68" s="16">
        <v>996.2</v>
      </c>
      <c r="J68" s="17">
        <f t="shared" si="2"/>
        <v>597.72</v>
      </c>
      <c r="K68" s="18">
        <v>0.6</v>
      </c>
    </row>
    <row r="69" spans="1:14" x14ac:dyDescent="0.25">
      <c r="A69" s="11" t="s">
        <v>583</v>
      </c>
      <c r="B69" s="11">
        <v>573751622</v>
      </c>
      <c r="C69" s="12">
        <v>45806</v>
      </c>
      <c r="D69" s="11" t="s">
        <v>584</v>
      </c>
      <c r="E69" s="11" t="s">
        <v>38</v>
      </c>
      <c r="F69" s="10" t="s">
        <v>57</v>
      </c>
      <c r="G69" s="16">
        <v>14338.49</v>
      </c>
      <c r="H69" s="16">
        <v>13023.47</v>
      </c>
      <c r="I69" s="16">
        <v>1302.3</v>
      </c>
      <c r="J69" s="17">
        <f t="shared" si="2"/>
        <v>781.38</v>
      </c>
      <c r="K69" s="18">
        <v>0.6</v>
      </c>
    </row>
    <row r="70" spans="1:14" x14ac:dyDescent="0.25">
      <c r="A70" s="11" t="s">
        <v>585</v>
      </c>
      <c r="B70" s="11">
        <v>574225292</v>
      </c>
      <c r="C70" s="12">
        <v>45806</v>
      </c>
      <c r="D70" s="11" t="s">
        <v>586</v>
      </c>
      <c r="E70" s="11" t="s">
        <v>38</v>
      </c>
      <c r="F70" s="10" t="s">
        <v>585</v>
      </c>
      <c r="G70" s="16">
        <v>12850.65</v>
      </c>
      <c r="H70" s="16">
        <v>11672.11</v>
      </c>
      <c r="I70" s="16">
        <v>1167.2</v>
      </c>
      <c r="J70" s="17">
        <f t="shared" si="2"/>
        <v>700.32</v>
      </c>
      <c r="K70" s="18">
        <v>0.6</v>
      </c>
    </row>
    <row r="71" spans="1:14" x14ac:dyDescent="0.25">
      <c r="A71" s="11" t="s">
        <v>590</v>
      </c>
      <c r="B71" s="11">
        <v>572077643</v>
      </c>
      <c r="C71" s="12">
        <v>45805</v>
      </c>
      <c r="D71" s="11" t="s">
        <v>591</v>
      </c>
      <c r="E71" s="11" t="s">
        <v>38</v>
      </c>
      <c r="F71" s="10" t="s">
        <v>590</v>
      </c>
      <c r="G71" s="16">
        <v>8191.85</v>
      </c>
      <c r="H71" s="16">
        <v>7440.55</v>
      </c>
      <c r="I71" s="16">
        <v>744</v>
      </c>
      <c r="J71" s="17">
        <f t="shared" si="2"/>
        <v>446.4</v>
      </c>
      <c r="K71" s="18">
        <v>0.6</v>
      </c>
    </row>
    <row r="72" spans="1:14" x14ac:dyDescent="0.25">
      <c r="A72" s="11" t="s">
        <v>597</v>
      </c>
      <c r="B72" s="11">
        <v>574224416</v>
      </c>
      <c r="C72" s="12">
        <v>45806</v>
      </c>
      <c r="D72" s="11" t="s">
        <v>598</v>
      </c>
      <c r="E72" s="11" t="s">
        <v>38</v>
      </c>
      <c r="F72" s="10" t="s">
        <v>599</v>
      </c>
      <c r="G72" s="16">
        <v>21862.31</v>
      </c>
      <c r="H72" s="16">
        <v>19820.2</v>
      </c>
      <c r="I72" s="16">
        <v>1982</v>
      </c>
      <c r="J72" s="17">
        <f t="shared" si="2"/>
        <v>1189.2</v>
      </c>
      <c r="K72" s="18">
        <v>0.6</v>
      </c>
    </row>
    <row r="73" spans="1:14" x14ac:dyDescent="0.25">
      <c r="A73" s="11" t="s">
        <v>606</v>
      </c>
      <c r="B73" s="11">
        <v>576777256</v>
      </c>
      <c r="C73" s="12">
        <v>45807</v>
      </c>
      <c r="D73" s="11" t="s">
        <v>43</v>
      </c>
      <c r="E73" s="11" t="s">
        <v>38</v>
      </c>
      <c r="F73" s="10" t="s">
        <v>57</v>
      </c>
      <c r="G73" s="16">
        <v>14338.47</v>
      </c>
      <c r="H73" s="16">
        <v>13023.47</v>
      </c>
      <c r="I73" s="16">
        <v>1302.3</v>
      </c>
      <c r="J73" s="17">
        <f t="shared" si="2"/>
        <v>781.38</v>
      </c>
      <c r="K73" s="18">
        <v>0.6</v>
      </c>
      <c r="N73" s="173"/>
    </row>
    <row r="74" spans="1:14" x14ac:dyDescent="0.25">
      <c r="A74" s="147" t="s">
        <v>681</v>
      </c>
      <c r="B74" s="147">
        <v>490433463</v>
      </c>
      <c r="C74" s="148">
        <v>45799</v>
      </c>
      <c r="D74" s="147" t="s">
        <v>682</v>
      </c>
      <c r="E74" s="147" t="s">
        <v>38</v>
      </c>
      <c r="F74" s="144" t="s">
        <v>419</v>
      </c>
      <c r="G74" s="149">
        <v>586.69000000000005</v>
      </c>
      <c r="H74" s="149">
        <v>533.80999999999995</v>
      </c>
      <c r="I74" s="159">
        <v>-53.38</v>
      </c>
      <c r="J74" s="159">
        <f t="shared" si="2"/>
        <v>-32.027999999999999</v>
      </c>
      <c r="K74" s="184">
        <v>0.6</v>
      </c>
    </row>
    <row r="75" spans="1:14" x14ac:dyDescent="0.25">
      <c r="A75" s="147" t="s">
        <v>683</v>
      </c>
      <c r="B75" s="147">
        <v>499438013</v>
      </c>
      <c r="C75" s="148">
        <v>45791</v>
      </c>
      <c r="D75" s="147" t="s">
        <v>684</v>
      </c>
      <c r="E75" s="147" t="s">
        <v>38</v>
      </c>
      <c r="F75" s="144" t="s">
        <v>419</v>
      </c>
      <c r="G75" s="149">
        <v>3151.13</v>
      </c>
      <c r="H75" s="149">
        <v>2856.79</v>
      </c>
      <c r="I75" s="159">
        <v>-285.60000000000002</v>
      </c>
      <c r="J75" s="159">
        <f t="shared" si="2"/>
        <v>-171.36</v>
      </c>
      <c r="K75" s="184">
        <v>0.6</v>
      </c>
    </row>
    <row r="76" spans="1:14" x14ac:dyDescent="0.25">
      <c r="A76" s="147" t="s">
        <v>63</v>
      </c>
      <c r="B76" s="147">
        <v>538024114</v>
      </c>
      <c r="C76" s="148">
        <v>45784</v>
      </c>
      <c r="D76" s="147" t="s">
        <v>64</v>
      </c>
      <c r="E76" s="147" t="s">
        <v>38</v>
      </c>
      <c r="F76" s="144" t="s">
        <v>419</v>
      </c>
      <c r="G76" s="149">
        <v>5208.82</v>
      </c>
      <c r="H76" s="149">
        <v>4754.08</v>
      </c>
      <c r="I76" s="159">
        <v>-475.4</v>
      </c>
      <c r="J76" s="159">
        <f t="shared" si="2"/>
        <v>-285.23999999999995</v>
      </c>
      <c r="K76" s="184">
        <v>0.6</v>
      </c>
    </row>
    <row r="77" spans="1:14" x14ac:dyDescent="0.25">
      <c r="A77" s="147" t="s">
        <v>685</v>
      </c>
      <c r="B77" s="147">
        <v>568035921</v>
      </c>
      <c r="C77" s="148">
        <v>45791</v>
      </c>
      <c r="D77" s="147" t="s">
        <v>686</v>
      </c>
      <c r="E77" s="147" t="s">
        <v>38</v>
      </c>
      <c r="F77" s="144" t="s">
        <v>419</v>
      </c>
      <c r="G77" s="149">
        <v>16248.55</v>
      </c>
      <c r="H77" s="149">
        <v>14783.94</v>
      </c>
      <c r="I77" s="159">
        <v>-1478.3</v>
      </c>
      <c r="J77" s="159">
        <f t="shared" si="2"/>
        <v>-886.9799999999999</v>
      </c>
      <c r="K77" s="184">
        <v>0.6</v>
      </c>
    </row>
    <row r="78" spans="1:14" x14ac:dyDescent="0.25">
      <c r="A78" s="11"/>
      <c r="B78" s="11"/>
      <c r="C78" s="12"/>
      <c r="D78" s="11"/>
      <c r="E78" s="11"/>
      <c r="F78" s="10"/>
      <c r="G78" s="16"/>
      <c r="H78" s="16"/>
      <c r="I78" s="16"/>
      <c r="J78" s="17"/>
      <c r="K78" s="18"/>
    </row>
    <row r="79" spans="1:14" x14ac:dyDescent="0.25">
      <c r="A79" s="11"/>
      <c r="B79" s="11"/>
      <c r="C79" s="12"/>
      <c r="D79" s="11"/>
      <c r="E79" s="11"/>
      <c r="F79" s="10"/>
      <c r="G79" s="16"/>
      <c r="H79" s="16"/>
      <c r="I79" s="16"/>
      <c r="J79" s="17"/>
      <c r="K79" s="18"/>
    </row>
    <row r="80" spans="1:14" x14ac:dyDescent="0.25">
      <c r="A80" s="10"/>
      <c r="B80" s="10"/>
      <c r="C80" s="9"/>
      <c r="D80" s="10"/>
      <c r="E80" s="10"/>
      <c r="F80" s="6" t="s">
        <v>13</v>
      </c>
      <c r="G80" s="8">
        <f>SUM(G37:G77)</f>
        <v>462488.62</v>
      </c>
      <c r="H80" s="8">
        <f>SUM(H37:H77)</f>
        <v>417621.72999999992</v>
      </c>
      <c r="I80" s="8">
        <f>SUM(I37:I73)</f>
        <v>39467.599999999999</v>
      </c>
      <c r="J80" s="8">
        <f>SUM(J37:J77)</f>
        <v>22304.952000000008</v>
      </c>
      <c r="K80" s="6"/>
    </row>
    <row r="81" spans="1:11" x14ac:dyDescent="0.25">
      <c r="A81" s="10"/>
      <c r="B81" s="10"/>
      <c r="C81" s="9"/>
      <c r="D81" s="10"/>
      <c r="E81" s="10"/>
      <c r="F81" s="13" t="s">
        <v>14</v>
      </c>
      <c r="G81" s="21"/>
      <c r="H81" s="17"/>
      <c r="I81" s="17"/>
      <c r="J81" s="17"/>
      <c r="K81" s="10"/>
    </row>
    <row r="82" spans="1:11" x14ac:dyDescent="0.25">
      <c r="A82" s="15"/>
      <c r="B82" s="15"/>
      <c r="C82" s="15"/>
      <c r="D82" s="15"/>
      <c r="E82" s="15"/>
      <c r="F82" s="22"/>
      <c r="G82" s="15"/>
      <c r="H82" s="15"/>
      <c r="I82" s="15"/>
      <c r="J82" s="15"/>
      <c r="K82" s="15"/>
    </row>
    <row r="83" spans="1:11" x14ac:dyDescent="0.25">
      <c r="A83" s="10" t="s">
        <v>17</v>
      </c>
      <c r="B83" s="10"/>
      <c r="C83" s="9"/>
      <c r="D83" s="10"/>
      <c r="E83" s="10"/>
      <c r="F83" s="10"/>
      <c r="G83" s="17"/>
      <c r="H83" s="17"/>
      <c r="I83" s="17"/>
      <c r="J83" s="17"/>
      <c r="K83" s="10"/>
    </row>
    <row r="84" spans="1:11" x14ac:dyDescent="0.25">
      <c r="A84" s="10" t="s">
        <v>507</v>
      </c>
      <c r="B84" s="10">
        <v>569167014</v>
      </c>
      <c r="C84" s="9">
        <v>45790</v>
      </c>
      <c r="D84" s="10" t="s">
        <v>12</v>
      </c>
      <c r="E84" s="10" t="s">
        <v>38</v>
      </c>
      <c r="F84" s="14" t="s">
        <v>507</v>
      </c>
      <c r="G84" s="48">
        <v>6617.7</v>
      </c>
      <c r="H84" s="48">
        <v>6292.45</v>
      </c>
      <c r="I84" s="48">
        <v>943.8</v>
      </c>
      <c r="J84" s="48">
        <f t="shared" ref="J84:J92" si="3">I84*K84</f>
        <v>566.28</v>
      </c>
      <c r="K84" s="18">
        <v>0.6</v>
      </c>
    </row>
    <row r="85" spans="1:11" x14ac:dyDescent="0.25">
      <c r="A85" s="10" t="s">
        <v>121</v>
      </c>
      <c r="B85" s="10">
        <v>564814143</v>
      </c>
      <c r="C85" s="9">
        <v>45778</v>
      </c>
      <c r="D85" s="10" t="s">
        <v>12</v>
      </c>
      <c r="E85" s="10" t="s">
        <v>41</v>
      </c>
      <c r="F85" s="14" t="s">
        <v>12</v>
      </c>
      <c r="G85" s="48">
        <v>46039.14</v>
      </c>
      <c r="H85" s="48">
        <v>43824.21</v>
      </c>
      <c r="I85" s="48">
        <v>6573.6</v>
      </c>
      <c r="J85" s="48">
        <f t="shared" si="3"/>
        <v>3944.16</v>
      </c>
      <c r="K85" s="18">
        <v>0.6</v>
      </c>
    </row>
    <row r="86" spans="1:11" x14ac:dyDescent="0.25">
      <c r="A86" s="10" t="s">
        <v>169</v>
      </c>
      <c r="B86" s="10">
        <v>564814799</v>
      </c>
      <c r="C86" s="9">
        <v>45783</v>
      </c>
      <c r="D86" s="10" t="s">
        <v>12</v>
      </c>
      <c r="E86" s="10" t="s">
        <v>38</v>
      </c>
      <c r="F86" s="14" t="s">
        <v>581</v>
      </c>
      <c r="G86" s="48">
        <v>14099.23</v>
      </c>
      <c r="H86" s="48">
        <v>13416.19</v>
      </c>
      <c r="I86" s="48">
        <v>2012.4</v>
      </c>
      <c r="J86" s="48">
        <f t="shared" si="3"/>
        <v>1207.44</v>
      </c>
      <c r="K86" s="18">
        <v>0.6</v>
      </c>
    </row>
    <row r="87" spans="1:11" x14ac:dyDescent="0.25">
      <c r="A87" s="10" t="s">
        <v>169</v>
      </c>
      <c r="B87" s="10">
        <v>564816465</v>
      </c>
      <c r="C87" s="9">
        <v>45783</v>
      </c>
      <c r="D87" s="10" t="s">
        <v>12</v>
      </c>
      <c r="E87" s="10" t="s">
        <v>41</v>
      </c>
      <c r="F87" s="14" t="s">
        <v>12</v>
      </c>
      <c r="G87" s="48">
        <v>34513.83</v>
      </c>
      <c r="H87" s="48">
        <v>32859</v>
      </c>
      <c r="I87" s="48">
        <v>4928.8500000000004</v>
      </c>
      <c r="J87" s="48">
        <f t="shared" si="3"/>
        <v>2957.31</v>
      </c>
      <c r="K87" s="18">
        <v>0.6</v>
      </c>
    </row>
    <row r="88" spans="1:11" x14ac:dyDescent="0.25">
      <c r="A88" s="10" t="s">
        <v>106</v>
      </c>
      <c r="B88" s="10">
        <v>569165772</v>
      </c>
      <c r="C88" s="9">
        <v>45785</v>
      </c>
      <c r="D88" s="10" t="s">
        <v>12</v>
      </c>
      <c r="E88" s="10" t="s">
        <v>38</v>
      </c>
      <c r="F88" s="14" t="s">
        <v>652</v>
      </c>
      <c r="G88" s="48">
        <v>9547.57</v>
      </c>
      <c r="H88" s="48">
        <v>9044.11</v>
      </c>
      <c r="I88" s="48">
        <v>1356.6</v>
      </c>
      <c r="J88" s="48">
        <f>I88*K88</f>
        <v>813.95999999999992</v>
      </c>
      <c r="K88" s="18">
        <v>0.6</v>
      </c>
    </row>
    <row r="89" spans="1:11" x14ac:dyDescent="0.25">
      <c r="A89" s="10" t="s">
        <v>517</v>
      </c>
      <c r="B89" s="10">
        <v>6006762</v>
      </c>
      <c r="C89" s="9">
        <v>45788</v>
      </c>
      <c r="D89" s="10" t="s">
        <v>12</v>
      </c>
      <c r="E89" s="10" t="s">
        <v>38</v>
      </c>
      <c r="F89" s="14" t="s">
        <v>522</v>
      </c>
      <c r="G89" s="48">
        <v>184922.3</v>
      </c>
      <c r="H89" s="48">
        <v>184917.58</v>
      </c>
      <c r="I89" s="48">
        <v>27737.55</v>
      </c>
      <c r="J89" s="48">
        <f t="shared" si="3"/>
        <v>16642.53</v>
      </c>
      <c r="K89" s="18">
        <v>0.6</v>
      </c>
    </row>
    <row r="90" spans="1:11" x14ac:dyDescent="0.25">
      <c r="A90" s="10" t="s">
        <v>558</v>
      </c>
      <c r="B90" s="10">
        <v>4649863</v>
      </c>
      <c r="C90" s="9">
        <v>45805</v>
      </c>
      <c r="D90" s="10" t="s">
        <v>12</v>
      </c>
      <c r="E90" s="10" t="s">
        <v>38</v>
      </c>
      <c r="F90" s="14" t="s">
        <v>558</v>
      </c>
      <c r="G90" s="48">
        <v>28093.32</v>
      </c>
      <c r="H90" s="48">
        <v>28093.32</v>
      </c>
      <c r="I90" s="48">
        <v>4213.95</v>
      </c>
      <c r="J90" s="48">
        <f t="shared" si="3"/>
        <v>2528.37</v>
      </c>
      <c r="K90" s="18">
        <v>0.6</v>
      </c>
    </row>
    <row r="91" spans="1:11" x14ac:dyDescent="0.25">
      <c r="A91" s="10" t="s">
        <v>587</v>
      </c>
      <c r="B91" s="10">
        <v>574310781</v>
      </c>
      <c r="C91" s="9">
        <v>45802</v>
      </c>
      <c r="D91" s="10" t="s">
        <v>12</v>
      </c>
      <c r="E91" s="10" t="s">
        <v>38</v>
      </c>
      <c r="F91" s="14" t="s">
        <v>639</v>
      </c>
      <c r="G91" s="48">
        <v>108019.8</v>
      </c>
      <c r="H91" s="48">
        <v>102876</v>
      </c>
      <c r="I91" s="48">
        <v>15431.4</v>
      </c>
      <c r="J91" s="48">
        <f t="shared" si="3"/>
        <v>9258.84</v>
      </c>
      <c r="K91" s="18">
        <v>0.6</v>
      </c>
    </row>
    <row r="92" spans="1:11" x14ac:dyDescent="0.25">
      <c r="A92" s="10" t="s">
        <v>588</v>
      </c>
      <c r="B92" s="10">
        <v>6016654</v>
      </c>
      <c r="C92" s="9">
        <v>45803</v>
      </c>
      <c r="D92" s="10" t="s">
        <v>12</v>
      </c>
      <c r="E92" s="10" t="s">
        <v>38</v>
      </c>
      <c r="F92" s="14" t="s">
        <v>588</v>
      </c>
      <c r="G92" s="48">
        <v>108109.71</v>
      </c>
      <c r="H92" s="48">
        <v>108109.71</v>
      </c>
      <c r="I92" s="48">
        <v>16216.35</v>
      </c>
      <c r="J92" s="17">
        <f t="shared" si="3"/>
        <v>9729.81</v>
      </c>
      <c r="K92" s="18">
        <v>0.6</v>
      </c>
    </row>
    <row r="93" spans="1:11" x14ac:dyDescent="0.25">
      <c r="A93" s="10"/>
      <c r="B93" s="10"/>
      <c r="C93" s="9"/>
      <c r="D93" s="10"/>
      <c r="E93" s="10"/>
      <c r="F93" s="14"/>
      <c r="G93" s="48"/>
      <c r="H93" s="48"/>
      <c r="I93" s="48"/>
      <c r="J93" s="48"/>
      <c r="K93" s="18"/>
    </row>
    <row r="94" spans="1:11" x14ac:dyDescent="0.25">
      <c r="A94" s="10"/>
      <c r="B94" s="10"/>
      <c r="C94" s="9"/>
      <c r="D94" s="10"/>
      <c r="E94" s="10"/>
      <c r="F94" s="14"/>
      <c r="G94" s="48"/>
      <c r="H94" s="48"/>
      <c r="I94" s="48"/>
      <c r="J94" s="48"/>
      <c r="K94" s="18"/>
    </row>
    <row r="95" spans="1:11" x14ac:dyDescent="0.25">
      <c r="A95" s="10"/>
      <c r="B95" s="10"/>
      <c r="C95" s="9"/>
      <c r="D95" s="10"/>
      <c r="E95" s="10"/>
      <c r="F95" s="11"/>
      <c r="G95" s="49"/>
      <c r="H95" s="49"/>
      <c r="I95" s="48"/>
      <c r="J95" s="48"/>
      <c r="K95" s="18"/>
    </row>
    <row r="96" spans="1:11" x14ac:dyDescent="0.25">
      <c r="A96" s="10"/>
      <c r="B96" s="10"/>
      <c r="C96" s="9"/>
      <c r="D96" s="10"/>
      <c r="E96" s="10"/>
      <c r="F96" s="6" t="s">
        <v>13</v>
      </c>
      <c r="G96" s="8">
        <f>SUM(G84:G95)</f>
        <v>539962.6</v>
      </c>
      <c r="H96" s="8">
        <f>SUM(H84:H95)</f>
        <v>529432.56999999995</v>
      </c>
      <c r="I96" s="8">
        <f>SUM(I84:I95)</f>
        <v>79414.5</v>
      </c>
      <c r="J96" s="8">
        <f>SUM(J84:J95)</f>
        <v>47648.7</v>
      </c>
      <c r="K96" s="6"/>
    </row>
    <row r="97" spans="1:11" x14ac:dyDescent="0.25">
      <c r="A97" s="10"/>
      <c r="B97" s="10"/>
      <c r="C97" s="9"/>
      <c r="D97" s="10"/>
      <c r="E97" s="10"/>
      <c r="F97" s="13" t="s">
        <v>14</v>
      </c>
      <c r="G97" s="21">
        <f>G85+G87</f>
        <v>80552.97</v>
      </c>
      <c r="H97" s="17"/>
      <c r="I97" s="17"/>
      <c r="J97" s="17"/>
      <c r="K97" s="10"/>
    </row>
    <row r="98" spans="1:11" x14ac:dyDescent="0.25">
      <c r="A98" s="10"/>
      <c r="B98" s="10"/>
      <c r="C98" s="9"/>
      <c r="D98" s="13"/>
      <c r="E98" s="13" t="s">
        <v>18</v>
      </c>
      <c r="F98" s="13"/>
      <c r="G98" s="21">
        <f>G97/6</f>
        <v>13425.495000000001</v>
      </c>
      <c r="H98" s="17"/>
      <c r="I98" s="17"/>
      <c r="J98" s="17"/>
      <c r="K98" s="10"/>
    </row>
    <row r="99" spans="1:11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</row>
    <row r="100" spans="1:11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</row>
    <row r="101" spans="1:11" x14ac:dyDescent="0.25">
      <c r="A101" s="23"/>
      <c r="B101" s="23"/>
      <c r="C101" s="23"/>
      <c r="D101" s="24"/>
      <c r="E101" s="23"/>
      <c r="F101" s="23"/>
      <c r="G101" s="23"/>
      <c r="H101" s="24"/>
      <c r="I101" s="24"/>
      <c r="J101" s="24"/>
      <c r="K101" s="24"/>
    </row>
    <row r="102" spans="1:11" x14ac:dyDescent="0.25">
      <c r="A102" s="25" t="s">
        <v>19</v>
      </c>
      <c r="B102" s="26"/>
      <c r="C102" s="27">
        <f>G33</f>
        <v>47784.46</v>
      </c>
      <c r="D102" s="24"/>
      <c r="E102" s="135" t="s">
        <v>20</v>
      </c>
      <c r="F102" s="25"/>
      <c r="G102" s="27">
        <f>G82</f>
        <v>0</v>
      </c>
      <c r="H102" s="43"/>
      <c r="I102" s="25" t="s">
        <v>21</v>
      </c>
      <c r="J102" s="25"/>
      <c r="K102" s="28">
        <f>G97</f>
        <v>80552.97</v>
      </c>
    </row>
    <row r="103" spans="1:11" x14ac:dyDescent="0.25">
      <c r="A103" s="26" t="s">
        <v>22</v>
      </c>
      <c r="B103" s="26"/>
      <c r="C103" s="27">
        <f>G34</f>
        <v>7964.0766666666668</v>
      </c>
      <c r="D103" s="136"/>
      <c r="E103" s="137"/>
      <c r="F103" s="137"/>
      <c r="G103" s="26" t="s">
        <v>12</v>
      </c>
      <c r="H103" s="24"/>
      <c r="I103" s="26" t="s">
        <v>23</v>
      </c>
      <c r="J103" s="26"/>
      <c r="K103" s="29">
        <f>G98</f>
        <v>13425.495000000001</v>
      </c>
    </row>
    <row r="104" spans="1:11" x14ac:dyDescent="0.25">
      <c r="A104" s="26" t="s">
        <v>24</v>
      </c>
      <c r="B104" s="26"/>
      <c r="C104" s="27">
        <f>J32</f>
        <v>36515.25</v>
      </c>
      <c r="D104" s="136"/>
      <c r="E104" s="137" t="s">
        <v>25</v>
      </c>
      <c r="F104" s="137"/>
      <c r="G104" s="27">
        <f>J80</f>
        <v>22304.952000000008</v>
      </c>
      <c r="H104" s="24"/>
      <c r="I104" s="26" t="s">
        <v>26</v>
      </c>
      <c r="J104" s="26"/>
      <c r="K104" s="29">
        <f>J96</f>
        <v>47648.7</v>
      </c>
    </row>
    <row r="105" spans="1:11" x14ac:dyDescent="0.25">
      <c r="A105" s="26"/>
      <c r="B105" s="26"/>
      <c r="C105" s="27"/>
      <c r="D105" s="136"/>
      <c r="E105" s="137"/>
      <c r="F105" s="137"/>
      <c r="G105" s="27"/>
      <c r="H105" s="24"/>
      <c r="I105" s="26"/>
      <c r="J105" s="26"/>
      <c r="K105" s="30"/>
    </row>
    <row r="106" spans="1:11" x14ac:dyDescent="0.25">
      <c r="A106" s="26"/>
      <c r="B106" s="26"/>
      <c r="C106" s="26"/>
      <c r="D106" s="24"/>
      <c r="E106" s="26"/>
      <c r="F106" s="26"/>
      <c r="G106" s="26"/>
      <c r="H106" s="24"/>
      <c r="I106" s="31"/>
      <c r="J106" s="31"/>
      <c r="K106" s="30"/>
    </row>
    <row r="107" spans="1:11" x14ac:dyDescent="0.2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</row>
    <row r="108" spans="1:11" x14ac:dyDescent="0.25">
      <c r="A108" s="42" t="s">
        <v>27</v>
      </c>
      <c r="B108" s="32"/>
      <c r="C108" s="32"/>
      <c r="D108" s="15"/>
      <c r="E108" s="42" t="s">
        <v>28</v>
      </c>
      <c r="F108" s="32"/>
      <c r="G108" s="32"/>
      <c r="H108" s="15"/>
      <c r="I108" s="60" t="s">
        <v>104</v>
      </c>
      <c r="J108" s="60"/>
      <c r="K108" s="60"/>
    </row>
    <row r="109" spans="1:11" x14ac:dyDescent="0.25">
      <c r="A109" s="33"/>
      <c r="B109" s="33"/>
      <c r="C109" s="34"/>
      <c r="D109" s="15"/>
      <c r="E109" s="10"/>
      <c r="F109" s="10"/>
      <c r="G109" s="10"/>
      <c r="H109" s="17"/>
      <c r="I109" s="60" t="s">
        <v>620</v>
      </c>
      <c r="J109" s="219">
        <v>6771</v>
      </c>
      <c r="K109" s="61">
        <v>45812</v>
      </c>
    </row>
    <row r="110" spans="1:11" x14ac:dyDescent="0.25">
      <c r="A110" s="44" t="s">
        <v>29</v>
      </c>
      <c r="B110" s="44"/>
      <c r="C110" s="222">
        <f>J2</f>
        <v>394944.7</v>
      </c>
      <c r="D110" s="53"/>
      <c r="E110" s="54" t="s">
        <v>30</v>
      </c>
      <c r="F110" s="54"/>
      <c r="G110" s="54"/>
      <c r="H110" s="17"/>
      <c r="I110" s="60" t="s">
        <v>677</v>
      </c>
      <c r="J110" s="219">
        <v>1450</v>
      </c>
      <c r="K110" s="61">
        <v>45818</v>
      </c>
    </row>
    <row r="111" spans="1:11" x14ac:dyDescent="0.25">
      <c r="A111" s="44" t="s">
        <v>31</v>
      </c>
      <c r="B111" s="44"/>
      <c r="C111" s="220">
        <f>C104+G104+K104</f>
        <v>106468.902</v>
      </c>
      <c r="D111" s="53"/>
      <c r="E111" s="54" t="s">
        <v>32</v>
      </c>
      <c r="F111" s="54"/>
      <c r="G111" s="55">
        <f>G35</f>
        <v>0</v>
      </c>
      <c r="H111" s="35"/>
      <c r="I111" s="60" t="s">
        <v>678</v>
      </c>
      <c r="J111" s="219">
        <v>3250</v>
      </c>
      <c r="K111" s="61">
        <v>45818</v>
      </c>
    </row>
    <row r="112" spans="1:11" x14ac:dyDescent="0.25">
      <c r="A112" s="63" t="s">
        <v>109</v>
      </c>
      <c r="B112" s="139"/>
      <c r="C112" s="221">
        <f>J123</f>
        <v>109186</v>
      </c>
      <c r="D112" s="53"/>
      <c r="E112" s="54" t="s">
        <v>33</v>
      </c>
      <c r="F112" s="54"/>
      <c r="G112" s="55"/>
      <c r="H112" s="36"/>
      <c r="I112" s="60" t="s">
        <v>649</v>
      </c>
      <c r="J112" s="219">
        <v>2457</v>
      </c>
      <c r="K112" s="61">
        <v>45825</v>
      </c>
    </row>
    <row r="113" spans="1:11" x14ac:dyDescent="0.25">
      <c r="A113" s="138" t="s">
        <v>472</v>
      </c>
      <c r="B113" s="138"/>
      <c r="C113" s="238"/>
      <c r="D113" s="53"/>
      <c r="E113" s="50"/>
      <c r="F113" s="51"/>
      <c r="G113" s="51"/>
      <c r="H113" s="36"/>
      <c r="I113" s="60" t="s">
        <v>642</v>
      </c>
      <c r="J113" s="219">
        <v>6973</v>
      </c>
      <c r="K113" s="61">
        <v>45828</v>
      </c>
    </row>
    <row r="114" spans="1:11" x14ac:dyDescent="0.25">
      <c r="A114" s="138" t="s">
        <v>13</v>
      </c>
      <c r="B114" s="138"/>
      <c r="C114" s="139">
        <f>C110+C111+C112</f>
        <v>610599.60199999996</v>
      </c>
      <c r="D114" s="53"/>
      <c r="E114" s="50" t="s">
        <v>488</v>
      </c>
      <c r="F114" s="51"/>
      <c r="G114" s="55">
        <v>1848.76</v>
      </c>
      <c r="H114" s="17"/>
      <c r="I114" s="60" t="s">
        <v>679</v>
      </c>
      <c r="J114" s="219">
        <v>1650</v>
      </c>
      <c r="K114" s="61">
        <v>45831</v>
      </c>
    </row>
    <row r="115" spans="1:11" x14ac:dyDescent="0.25">
      <c r="A115" s="15"/>
      <c r="B115" s="15"/>
      <c r="C115" s="15"/>
      <c r="D115" s="53"/>
      <c r="E115" s="50" t="s">
        <v>489</v>
      </c>
      <c r="F115" s="51"/>
      <c r="G115" s="51">
        <v>1402.42</v>
      </c>
      <c r="H115" s="17"/>
      <c r="I115" s="60" t="s">
        <v>679</v>
      </c>
      <c r="J115" s="219">
        <v>17769</v>
      </c>
      <c r="K115" s="61">
        <v>45831</v>
      </c>
    </row>
    <row r="116" spans="1:11" x14ac:dyDescent="0.25">
      <c r="A116" s="15"/>
      <c r="B116" s="15"/>
      <c r="C116" s="15"/>
      <c r="D116" s="53"/>
      <c r="E116" s="50" t="s">
        <v>490</v>
      </c>
      <c r="F116" s="51"/>
      <c r="G116" s="55">
        <v>7397.7</v>
      </c>
      <c r="H116" s="17"/>
      <c r="I116" s="60" t="s">
        <v>680</v>
      </c>
      <c r="J116" s="219">
        <v>31500</v>
      </c>
      <c r="K116" s="61">
        <v>45831</v>
      </c>
    </row>
    <row r="117" spans="1:11" x14ac:dyDescent="0.25">
      <c r="A117" s="15"/>
      <c r="B117" s="15"/>
      <c r="C117" s="15"/>
      <c r="D117" s="53"/>
      <c r="E117" s="50" t="s">
        <v>491</v>
      </c>
      <c r="F117" s="56"/>
      <c r="G117" s="57">
        <v>43.43</v>
      </c>
      <c r="H117" s="17"/>
      <c r="I117" s="60" t="s">
        <v>230</v>
      </c>
      <c r="J117" s="219">
        <v>37366</v>
      </c>
      <c r="K117" s="61">
        <v>45835</v>
      </c>
    </row>
    <row r="118" spans="1:11" x14ac:dyDescent="0.25">
      <c r="A118" s="15"/>
      <c r="B118" s="15"/>
      <c r="C118" s="15"/>
      <c r="D118" s="53"/>
      <c r="E118" s="50" t="s">
        <v>492</v>
      </c>
      <c r="F118" s="51"/>
      <c r="G118" s="55">
        <v>5694.99</v>
      </c>
      <c r="H118" s="17"/>
      <c r="I118" s="60"/>
      <c r="J118" s="219"/>
      <c r="K118" s="61"/>
    </row>
    <row r="119" spans="1:11" x14ac:dyDescent="0.25">
      <c r="A119" s="15"/>
      <c r="B119" s="15"/>
      <c r="C119" s="15"/>
      <c r="D119" s="53"/>
      <c r="E119" s="50" t="s">
        <v>493</v>
      </c>
      <c r="F119" s="56"/>
      <c r="G119" s="51">
        <v>4524.8999999999996</v>
      </c>
      <c r="H119" s="17"/>
      <c r="I119" s="60"/>
      <c r="J119" s="219"/>
      <c r="K119" s="60"/>
    </row>
    <row r="120" spans="1:11" x14ac:dyDescent="0.25">
      <c r="A120" s="15"/>
      <c r="B120" s="15"/>
      <c r="C120" s="15"/>
      <c r="D120" s="53"/>
      <c r="E120" s="50" t="s">
        <v>494</v>
      </c>
      <c r="F120" s="51"/>
      <c r="G120" s="55">
        <v>10454.209999999999</v>
      </c>
      <c r="H120" s="17"/>
      <c r="I120" s="60"/>
      <c r="J120" s="219"/>
      <c r="K120" s="60"/>
    </row>
    <row r="121" spans="1:11" x14ac:dyDescent="0.25">
      <c r="A121" s="15"/>
      <c r="B121" s="15"/>
      <c r="C121" s="15"/>
      <c r="D121" s="140"/>
      <c r="E121" s="50" t="s">
        <v>495</v>
      </c>
      <c r="F121" s="56"/>
      <c r="G121" s="51">
        <v>1243.9000000000001</v>
      </c>
      <c r="H121" s="17"/>
      <c r="I121" s="60"/>
      <c r="J121" s="219"/>
      <c r="K121" s="60"/>
    </row>
    <row r="122" spans="1:11" x14ac:dyDescent="0.25">
      <c r="A122" s="15"/>
      <c r="B122" s="15"/>
      <c r="C122" s="15"/>
      <c r="D122" s="140"/>
      <c r="E122" s="50" t="s">
        <v>496</v>
      </c>
      <c r="F122" s="51"/>
      <c r="G122" s="55">
        <v>77.5</v>
      </c>
      <c r="H122" s="17"/>
      <c r="I122" s="59"/>
      <c r="J122" s="224"/>
      <c r="K122" s="59"/>
    </row>
    <row r="123" spans="1:11" x14ac:dyDescent="0.25">
      <c r="A123" s="15"/>
      <c r="B123" s="15"/>
      <c r="C123" s="15"/>
      <c r="D123" s="140"/>
      <c r="E123" s="50" t="s">
        <v>497</v>
      </c>
      <c r="F123" s="56"/>
      <c r="G123" s="185" t="s">
        <v>12</v>
      </c>
      <c r="H123" s="17"/>
      <c r="I123" s="58" t="s">
        <v>13</v>
      </c>
      <c r="J123" s="218">
        <f>SUM(J109:J122)</f>
        <v>109186</v>
      </c>
      <c r="K123" s="58"/>
    </row>
    <row r="124" spans="1:11" x14ac:dyDescent="0.25">
      <c r="A124" s="15"/>
      <c r="B124" s="15"/>
      <c r="C124" s="15"/>
      <c r="D124" s="140"/>
      <c r="E124" s="50" t="s">
        <v>689</v>
      </c>
      <c r="F124" s="51"/>
      <c r="G124" s="55">
        <f>C103</f>
        <v>7964.0766666666668</v>
      </c>
      <c r="H124" s="17"/>
      <c r="I124" s="58"/>
      <c r="J124" s="218"/>
      <c r="K124" s="58"/>
    </row>
    <row r="125" spans="1:11" x14ac:dyDescent="0.25">
      <c r="A125" s="15"/>
      <c r="B125" s="15"/>
      <c r="C125" s="15"/>
      <c r="D125" s="140"/>
      <c r="E125" s="50" t="s">
        <v>688</v>
      </c>
      <c r="F125" s="56"/>
      <c r="G125" s="51">
        <f>K103</f>
        <v>13425.495000000001</v>
      </c>
      <c r="H125" s="17"/>
      <c r="I125" s="58"/>
      <c r="J125" s="218"/>
      <c r="K125" s="58"/>
    </row>
    <row r="126" spans="1:11" x14ac:dyDescent="0.25">
      <c r="A126" s="15"/>
      <c r="B126" s="15"/>
      <c r="C126" s="15"/>
      <c r="D126" s="140"/>
      <c r="E126" s="170"/>
      <c r="F126" s="170"/>
      <c r="G126" s="170"/>
      <c r="H126" s="17"/>
      <c r="I126" s="15"/>
      <c r="J126" s="15"/>
      <c r="K126" s="15"/>
    </row>
    <row r="127" spans="1:11" x14ac:dyDescent="0.25">
      <c r="A127" s="15"/>
      <c r="B127" s="15"/>
      <c r="C127" s="15"/>
      <c r="D127" s="53"/>
      <c r="E127" s="44" t="s">
        <v>13</v>
      </c>
      <c r="F127" s="56"/>
      <c r="G127" s="57">
        <f>SUM(G112:G125)</f>
        <v>54077.381666666675</v>
      </c>
      <c r="H127" s="38"/>
      <c r="I127" s="15"/>
      <c r="J127" s="15"/>
      <c r="K127" s="15"/>
    </row>
    <row r="128" spans="1:11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</row>
    <row r="129" spans="1:11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</row>
    <row r="130" spans="1:11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spans="1:11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</row>
    <row r="132" spans="1:11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</row>
    <row r="133" spans="1:11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</row>
    <row r="134" spans="1:11" x14ac:dyDescent="0.25">
      <c r="A134" s="15"/>
      <c r="B134" s="15"/>
      <c r="C134" s="39" t="s">
        <v>239</v>
      </c>
      <c r="D134" s="39"/>
      <c r="E134" s="40"/>
      <c r="F134" s="40">
        <f>C114-G127</f>
        <v>556522.22033333324</v>
      </c>
      <c r="G134" s="15"/>
      <c r="H134" s="15"/>
      <c r="I134" s="15"/>
      <c r="J134" s="15"/>
      <c r="K134" s="15"/>
    </row>
    <row r="135" spans="1:11" x14ac:dyDescent="0.25">
      <c r="A135" s="15"/>
      <c r="B135" s="37"/>
      <c r="C135" s="72"/>
      <c r="D135" s="72" t="s">
        <v>634</v>
      </c>
      <c r="E135" s="72"/>
      <c r="F135" s="216">
        <v>100000</v>
      </c>
      <c r="G135" s="15"/>
      <c r="H135" s="15"/>
      <c r="I135" s="15"/>
      <c r="J135" s="15"/>
      <c r="K135" s="15"/>
    </row>
    <row r="136" spans="1:11" x14ac:dyDescent="0.25">
      <c r="A136" s="88"/>
      <c r="B136" s="88"/>
      <c r="C136" s="88"/>
      <c r="D136" s="72" t="s">
        <v>690</v>
      </c>
      <c r="E136" s="72"/>
      <c r="F136" s="237">
        <v>100000</v>
      </c>
      <c r="G136" s="88"/>
      <c r="H136" s="88"/>
      <c r="I136" s="88"/>
      <c r="J136" s="88"/>
      <c r="K136" s="88"/>
    </row>
    <row r="137" spans="1:11" x14ac:dyDescent="0.25">
      <c r="A137" s="88"/>
      <c r="B137" s="88"/>
      <c r="C137" s="88"/>
      <c r="D137" s="72" t="s">
        <v>35</v>
      </c>
      <c r="E137" s="72"/>
      <c r="F137" s="114">
        <f>F134-F135-F136</f>
        <v>356522.22033333324</v>
      </c>
      <c r="G137" s="88"/>
      <c r="H137" s="88"/>
      <c r="I137" s="88"/>
      <c r="J137" s="88"/>
      <c r="K137" s="88"/>
    </row>
    <row r="138" spans="1:11" x14ac:dyDescent="0.25">
      <c r="A138" s="88"/>
      <c r="B138" s="88"/>
      <c r="C138" s="88"/>
      <c r="D138" s="72"/>
      <c r="E138" s="72"/>
      <c r="F138" s="72"/>
      <c r="G138" s="88"/>
      <c r="H138" s="88"/>
      <c r="I138" s="88"/>
      <c r="J138" s="88"/>
      <c r="K138" s="88"/>
    </row>
    <row r="139" spans="1:11" x14ac:dyDescent="0.25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</row>
  </sheetData>
  <conditionalFormatting sqref="E1 E3:E81 E83:E98">
    <cfRule type="cellIs" dxfId="43" priority="5" operator="equal">
      <formula>"K.KART"</formula>
    </cfRule>
    <cfRule type="cellIs" dxfId="42" priority="6" operator="equal">
      <formula>"AÇIK"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2517-27C1-4210-A120-FB2F8EC1A016}">
  <dimension ref="A1:K130"/>
  <sheetViews>
    <sheetView topLeftCell="A67" zoomScale="115" zoomScaleNormal="115" workbookViewId="0">
      <selection activeCell="C126" sqref="C126"/>
    </sheetView>
  </sheetViews>
  <sheetFormatPr defaultRowHeight="15" x14ac:dyDescent="0.25"/>
  <cols>
    <col min="1" max="1" width="23.7109375" customWidth="1"/>
    <col min="2" max="2" width="15.140625" customWidth="1"/>
    <col min="3" max="3" width="12.85546875" customWidth="1"/>
    <col min="4" max="4" width="13.28515625" customWidth="1"/>
    <col min="5" max="5" width="12.5703125" customWidth="1"/>
    <col min="6" max="6" width="22.5703125" customWidth="1"/>
    <col min="7" max="7" width="13.7109375" customWidth="1"/>
    <col min="8" max="8" width="12" customWidth="1"/>
    <col min="9" max="9" width="14.28515625" customWidth="1"/>
    <col min="10" max="10" width="14.140625" customWidth="1"/>
    <col min="11" max="11" width="13.7109375" customWidth="1"/>
  </cols>
  <sheetData>
    <row r="1" spans="1:11" x14ac:dyDescent="0.25">
      <c r="A1" s="41" t="s">
        <v>600</v>
      </c>
      <c r="B1" s="2"/>
      <c r="C1" s="1"/>
      <c r="D1" s="2"/>
      <c r="E1" s="3"/>
      <c r="F1" s="3"/>
      <c r="G1" s="4"/>
      <c r="H1" s="4"/>
      <c r="I1" s="4"/>
      <c r="J1" s="4"/>
      <c r="K1" s="2"/>
    </row>
    <row r="2" spans="1:11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40">
        <v>356522.22</v>
      </c>
      <c r="K2" s="5"/>
    </row>
    <row r="3" spans="1:11" x14ac:dyDescent="0.25">
      <c r="A3" s="6" t="s">
        <v>1</v>
      </c>
      <c r="B3" s="6" t="s">
        <v>2</v>
      </c>
      <c r="C3" s="7" t="s">
        <v>3</v>
      </c>
      <c r="D3" s="6" t="s">
        <v>4</v>
      </c>
      <c r="E3" s="6" t="s">
        <v>5</v>
      </c>
      <c r="F3" s="6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6" t="s">
        <v>11</v>
      </c>
    </row>
    <row r="4" spans="1:11" x14ac:dyDescent="0.25">
      <c r="A4" s="10" t="s">
        <v>602</v>
      </c>
      <c r="B4" s="10">
        <v>576399515</v>
      </c>
      <c r="C4" s="9">
        <v>45815</v>
      </c>
      <c r="D4" s="10" t="s">
        <v>603</v>
      </c>
      <c r="E4" s="10" t="s">
        <v>38</v>
      </c>
      <c r="F4" s="10" t="s">
        <v>604</v>
      </c>
      <c r="G4" s="16">
        <v>17887.09</v>
      </c>
      <c r="H4" s="17">
        <v>17035.32</v>
      </c>
      <c r="I4" s="17">
        <v>2555.25</v>
      </c>
      <c r="J4" s="17">
        <f t="shared" ref="J4:J27" si="0">I4*K4</f>
        <v>1533.1499999999999</v>
      </c>
      <c r="K4" s="18">
        <v>0.6</v>
      </c>
    </row>
    <row r="5" spans="1:11" x14ac:dyDescent="0.25">
      <c r="A5" s="10" t="s">
        <v>609</v>
      </c>
      <c r="B5" s="10">
        <v>574257273</v>
      </c>
      <c r="C5" s="9">
        <v>45811</v>
      </c>
      <c r="D5" s="10" t="s">
        <v>610</v>
      </c>
      <c r="E5" s="10" t="s">
        <v>38</v>
      </c>
      <c r="F5" s="10" t="s">
        <v>733</v>
      </c>
      <c r="G5" s="17">
        <v>28180.62</v>
      </c>
      <c r="H5" s="17">
        <v>26838.69</v>
      </c>
      <c r="I5" s="17">
        <v>4025.7</v>
      </c>
      <c r="J5" s="17">
        <f t="shared" si="0"/>
        <v>2415.4199999999996</v>
      </c>
      <c r="K5" s="18">
        <v>0.6</v>
      </c>
    </row>
    <row r="6" spans="1:11" x14ac:dyDescent="0.25">
      <c r="A6" s="10" t="s">
        <v>611</v>
      </c>
      <c r="B6" s="10">
        <v>574254890</v>
      </c>
      <c r="C6" s="9">
        <v>45811</v>
      </c>
      <c r="D6" s="19" t="s">
        <v>612</v>
      </c>
      <c r="E6" s="10" t="s">
        <v>41</v>
      </c>
      <c r="F6" s="10" t="s">
        <v>12</v>
      </c>
      <c r="G6" s="17">
        <v>18806.11</v>
      </c>
      <c r="H6" s="17">
        <v>17910.580000000002</v>
      </c>
      <c r="I6" s="17">
        <v>2686.5</v>
      </c>
      <c r="J6" s="17">
        <f t="shared" si="0"/>
        <v>1611.8999999999999</v>
      </c>
      <c r="K6" s="18">
        <v>0.6</v>
      </c>
    </row>
    <row r="7" spans="1:11" x14ac:dyDescent="0.25">
      <c r="A7" s="10" t="s">
        <v>293</v>
      </c>
      <c r="B7" s="10">
        <v>577282860</v>
      </c>
      <c r="C7" s="9">
        <v>45810</v>
      </c>
      <c r="D7" s="19" t="s">
        <v>43</v>
      </c>
      <c r="E7" s="10" t="s">
        <v>38</v>
      </c>
      <c r="F7" s="10" t="s">
        <v>293</v>
      </c>
      <c r="G7" s="17">
        <v>16104.72</v>
      </c>
      <c r="H7" s="17">
        <v>15337.83</v>
      </c>
      <c r="I7" s="17">
        <v>2300.6999999999998</v>
      </c>
      <c r="J7" s="17">
        <f t="shared" si="0"/>
        <v>1380.4199999999998</v>
      </c>
      <c r="K7" s="18">
        <v>0.6</v>
      </c>
    </row>
    <row r="8" spans="1:11" x14ac:dyDescent="0.25">
      <c r="A8" s="10" t="s">
        <v>273</v>
      </c>
      <c r="B8" s="10">
        <v>574260010</v>
      </c>
      <c r="C8" s="9">
        <v>45811</v>
      </c>
      <c r="D8" s="10" t="s">
        <v>617</v>
      </c>
      <c r="E8" s="10" t="s">
        <v>38</v>
      </c>
      <c r="F8" s="10" t="s">
        <v>733</v>
      </c>
      <c r="G8" s="17">
        <v>12172.38</v>
      </c>
      <c r="H8" s="17">
        <v>11592.73</v>
      </c>
      <c r="I8" s="17">
        <v>1738.8</v>
      </c>
      <c r="J8" s="17">
        <f t="shared" si="0"/>
        <v>1043.28</v>
      </c>
      <c r="K8" s="18">
        <v>0.6</v>
      </c>
    </row>
    <row r="9" spans="1:11" x14ac:dyDescent="0.25">
      <c r="A9" s="10" t="s">
        <v>623</v>
      </c>
      <c r="B9" s="10">
        <v>576960032</v>
      </c>
      <c r="C9" s="9">
        <v>45818</v>
      </c>
      <c r="D9" s="10" t="s">
        <v>624</v>
      </c>
      <c r="E9" s="10" t="s">
        <v>38</v>
      </c>
      <c r="F9" s="10" t="s">
        <v>623</v>
      </c>
      <c r="G9" s="17">
        <v>12585.34</v>
      </c>
      <c r="H9" s="17">
        <v>11986.04</v>
      </c>
      <c r="I9" s="17">
        <v>1797.9</v>
      </c>
      <c r="J9" s="17">
        <f t="shared" si="0"/>
        <v>1078.74</v>
      </c>
      <c r="K9" s="18">
        <v>0.6</v>
      </c>
    </row>
    <row r="10" spans="1:11" x14ac:dyDescent="0.25">
      <c r="A10" s="10" t="s">
        <v>625</v>
      </c>
      <c r="B10" s="10">
        <v>578524322</v>
      </c>
      <c r="C10" s="9">
        <v>45824</v>
      </c>
      <c r="D10" s="10" t="s">
        <v>626</v>
      </c>
      <c r="E10" s="10" t="s">
        <v>38</v>
      </c>
      <c r="F10" s="10" t="s">
        <v>625</v>
      </c>
      <c r="G10" s="17">
        <v>10359.81</v>
      </c>
      <c r="H10" s="17">
        <v>9866.48</v>
      </c>
      <c r="I10" s="17">
        <v>1480.05</v>
      </c>
      <c r="J10" s="17">
        <f t="shared" si="0"/>
        <v>888.03</v>
      </c>
      <c r="K10" s="18">
        <v>0.6</v>
      </c>
    </row>
    <row r="11" spans="1:11" x14ac:dyDescent="0.25">
      <c r="A11" s="10" t="s">
        <v>356</v>
      </c>
      <c r="B11" s="10">
        <v>578772055</v>
      </c>
      <c r="C11" s="9">
        <v>45819</v>
      </c>
      <c r="D11" s="10" t="s">
        <v>627</v>
      </c>
      <c r="E11" s="10" t="s">
        <v>38</v>
      </c>
      <c r="F11" s="10" t="s">
        <v>734</v>
      </c>
      <c r="G11" s="17">
        <v>14247.46</v>
      </c>
      <c r="H11" s="17">
        <v>13569.01</v>
      </c>
      <c r="I11" s="17">
        <v>2035.35</v>
      </c>
      <c r="J11" s="17">
        <f t="shared" si="0"/>
        <v>1221.2099999999998</v>
      </c>
      <c r="K11" s="18">
        <v>0.6</v>
      </c>
    </row>
    <row r="12" spans="1:11" x14ac:dyDescent="0.25">
      <c r="A12" s="10" t="s">
        <v>630</v>
      </c>
      <c r="B12" s="10">
        <v>579339038</v>
      </c>
      <c r="C12" s="9">
        <v>45823</v>
      </c>
      <c r="D12" s="10" t="s">
        <v>631</v>
      </c>
      <c r="E12" s="10" t="s">
        <v>38</v>
      </c>
      <c r="F12" s="10" t="s">
        <v>630</v>
      </c>
      <c r="G12" s="17">
        <v>9851.35</v>
      </c>
      <c r="H12" s="17">
        <v>9382.24</v>
      </c>
      <c r="I12" s="17">
        <v>1407.3</v>
      </c>
      <c r="J12" s="17">
        <f t="shared" si="0"/>
        <v>844.38</v>
      </c>
      <c r="K12" s="18">
        <v>0.6</v>
      </c>
    </row>
    <row r="13" spans="1:11" x14ac:dyDescent="0.25">
      <c r="A13" s="10" t="s">
        <v>640</v>
      </c>
      <c r="B13" s="10">
        <v>578925502</v>
      </c>
      <c r="C13" s="9">
        <v>45824</v>
      </c>
      <c r="D13" s="10" t="s">
        <v>641</v>
      </c>
      <c r="E13" s="10" t="s">
        <v>38</v>
      </c>
      <c r="F13" s="11" t="s">
        <v>733</v>
      </c>
      <c r="G13" s="17">
        <v>16079.33</v>
      </c>
      <c r="H13" s="17">
        <v>15313.66</v>
      </c>
      <c r="I13" s="17">
        <v>2296.9499999999998</v>
      </c>
      <c r="J13" s="17">
        <f t="shared" si="0"/>
        <v>1378.1699999999998</v>
      </c>
      <c r="K13" s="18">
        <v>0.6</v>
      </c>
    </row>
    <row r="14" spans="1:11" x14ac:dyDescent="0.25">
      <c r="A14" s="10" t="s">
        <v>642</v>
      </c>
      <c r="B14" s="10">
        <v>578530532</v>
      </c>
      <c r="C14" s="9">
        <v>45828</v>
      </c>
      <c r="D14" s="10" t="s">
        <v>643</v>
      </c>
      <c r="E14" s="10" t="s">
        <v>38</v>
      </c>
      <c r="F14" s="11" t="s">
        <v>642</v>
      </c>
      <c r="G14" s="17">
        <v>8168.55</v>
      </c>
      <c r="H14" s="17">
        <v>7779.57</v>
      </c>
      <c r="I14" s="17">
        <v>1167</v>
      </c>
      <c r="J14" s="17">
        <f t="shared" si="0"/>
        <v>700.19999999999993</v>
      </c>
      <c r="K14" s="18">
        <v>0.6</v>
      </c>
    </row>
    <row r="15" spans="1:11" x14ac:dyDescent="0.25">
      <c r="A15" s="10" t="s">
        <v>649</v>
      </c>
      <c r="B15" s="10">
        <v>578981324</v>
      </c>
      <c r="C15" s="9">
        <v>45827</v>
      </c>
      <c r="D15" s="10" t="s">
        <v>650</v>
      </c>
      <c r="E15" s="10" t="s">
        <v>38</v>
      </c>
      <c r="F15" s="10" t="s">
        <v>649</v>
      </c>
      <c r="G15" s="17">
        <v>10037.26</v>
      </c>
      <c r="H15" s="17">
        <v>9559.2900000000009</v>
      </c>
      <c r="I15" s="17">
        <v>1433.85</v>
      </c>
      <c r="J15" s="17">
        <f t="shared" si="0"/>
        <v>860.31</v>
      </c>
      <c r="K15" s="18">
        <v>0.6</v>
      </c>
    </row>
    <row r="16" spans="1:11" x14ac:dyDescent="0.25">
      <c r="A16" s="10" t="s">
        <v>292</v>
      </c>
      <c r="B16" s="10">
        <v>581320944</v>
      </c>
      <c r="C16" s="9">
        <v>45827</v>
      </c>
      <c r="D16" s="10" t="s">
        <v>653</v>
      </c>
      <c r="E16" s="10" t="s">
        <v>38</v>
      </c>
      <c r="F16" s="10" t="s">
        <v>292</v>
      </c>
      <c r="G16" s="17">
        <v>13089.65</v>
      </c>
      <c r="H16" s="17">
        <v>12466.34</v>
      </c>
      <c r="I16" s="17">
        <v>1869.9</v>
      </c>
      <c r="J16" s="17">
        <f t="shared" si="0"/>
        <v>1121.94</v>
      </c>
      <c r="K16" s="18">
        <v>0.6</v>
      </c>
    </row>
    <row r="17" spans="1:11" x14ac:dyDescent="0.25">
      <c r="A17" s="10" t="s">
        <v>654</v>
      </c>
      <c r="B17" s="10">
        <v>579668022</v>
      </c>
      <c r="C17" s="9">
        <v>45833</v>
      </c>
      <c r="D17" s="10" t="s">
        <v>655</v>
      </c>
      <c r="E17" s="10" t="s">
        <v>38</v>
      </c>
      <c r="F17" s="10" t="s">
        <v>654</v>
      </c>
      <c r="G17" s="17">
        <v>10030.16</v>
      </c>
      <c r="H17" s="17">
        <v>9552.5300000000007</v>
      </c>
      <c r="I17" s="17">
        <v>1432.8</v>
      </c>
      <c r="J17" s="17">
        <f t="shared" si="0"/>
        <v>859.68</v>
      </c>
      <c r="K17" s="18">
        <v>0.6</v>
      </c>
    </row>
    <row r="18" spans="1:11" x14ac:dyDescent="0.25">
      <c r="A18" s="10" t="s">
        <v>658</v>
      </c>
      <c r="B18" s="10">
        <v>580245270</v>
      </c>
      <c r="C18" s="9">
        <v>45836</v>
      </c>
      <c r="D18" s="10" t="s">
        <v>659</v>
      </c>
      <c r="E18" s="10" t="s">
        <v>38</v>
      </c>
      <c r="F18" s="10" t="s">
        <v>726</v>
      </c>
      <c r="G18" s="17">
        <v>34613.58</v>
      </c>
      <c r="H18" s="17">
        <v>32965.300000000003</v>
      </c>
      <c r="I18" s="17">
        <v>4944.75</v>
      </c>
      <c r="J18" s="17">
        <f t="shared" si="0"/>
        <v>2966.85</v>
      </c>
      <c r="K18" s="18">
        <v>0.6</v>
      </c>
    </row>
    <row r="19" spans="1:11" x14ac:dyDescent="0.25">
      <c r="A19" s="10" t="s">
        <v>660</v>
      </c>
      <c r="B19" s="10">
        <v>581100371</v>
      </c>
      <c r="C19" s="9">
        <v>45835</v>
      </c>
      <c r="D19" s="10" t="s">
        <v>661</v>
      </c>
      <c r="E19" s="10" t="s">
        <v>38</v>
      </c>
      <c r="F19" s="10" t="s">
        <v>660</v>
      </c>
      <c r="G19" s="17">
        <v>14000.49</v>
      </c>
      <c r="H19" s="17">
        <v>13333.8</v>
      </c>
      <c r="I19" s="17">
        <v>1999.95</v>
      </c>
      <c r="J19" s="17">
        <f t="shared" si="0"/>
        <v>1199.97</v>
      </c>
      <c r="K19" s="18">
        <v>0.6</v>
      </c>
    </row>
    <row r="20" spans="1:11" x14ac:dyDescent="0.25">
      <c r="A20" s="10" t="s">
        <v>662</v>
      </c>
      <c r="B20" s="10">
        <v>579791863</v>
      </c>
      <c r="C20" s="9">
        <v>45833</v>
      </c>
      <c r="D20" s="10" t="s">
        <v>663</v>
      </c>
      <c r="E20" s="10" t="s">
        <v>38</v>
      </c>
      <c r="F20" s="11" t="s">
        <v>662</v>
      </c>
      <c r="G20" s="17">
        <v>19342.05</v>
      </c>
      <c r="H20" s="17">
        <v>18421.009999999998</v>
      </c>
      <c r="I20" s="17">
        <v>2763.15</v>
      </c>
      <c r="J20" s="17">
        <f t="shared" si="0"/>
        <v>1657.89</v>
      </c>
      <c r="K20" s="18">
        <v>0.6</v>
      </c>
    </row>
    <row r="21" spans="1:11" x14ac:dyDescent="0.25">
      <c r="A21" s="10" t="s">
        <v>668</v>
      </c>
      <c r="B21" s="10">
        <v>580252669</v>
      </c>
      <c r="C21" s="9">
        <v>45836</v>
      </c>
      <c r="D21" s="10" t="s">
        <v>669</v>
      </c>
      <c r="E21" s="10" t="s">
        <v>38</v>
      </c>
      <c r="F21" s="11" t="s">
        <v>668</v>
      </c>
      <c r="G21" s="17">
        <v>12628.72</v>
      </c>
      <c r="H21" s="17">
        <v>12027.35</v>
      </c>
      <c r="I21" s="17">
        <v>1804.05</v>
      </c>
      <c r="J21" s="17">
        <f t="shared" si="0"/>
        <v>1082.4299999999998</v>
      </c>
      <c r="K21" s="18">
        <v>0.6</v>
      </c>
    </row>
    <row r="22" spans="1:11" x14ac:dyDescent="0.25">
      <c r="A22" s="10" t="s">
        <v>670</v>
      </c>
      <c r="B22" s="10">
        <v>581048884</v>
      </c>
      <c r="C22" s="9">
        <v>45826</v>
      </c>
      <c r="D22" s="10" t="s">
        <v>671</v>
      </c>
      <c r="E22" s="10" t="s">
        <v>38</v>
      </c>
      <c r="F22" s="11" t="s">
        <v>670</v>
      </c>
      <c r="G22" s="17">
        <v>46388.93</v>
      </c>
      <c r="H22" s="17">
        <v>44179.93</v>
      </c>
      <c r="I22" s="17">
        <v>6627</v>
      </c>
      <c r="J22" s="17">
        <f t="shared" si="0"/>
        <v>3976.2</v>
      </c>
      <c r="K22" s="18">
        <v>0.6</v>
      </c>
    </row>
    <row r="23" spans="1:11" x14ac:dyDescent="0.25">
      <c r="A23" s="147" t="s">
        <v>293</v>
      </c>
      <c r="B23" s="147">
        <v>498561662</v>
      </c>
      <c r="C23" s="148">
        <v>45810</v>
      </c>
      <c r="D23" s="147" t="s">
        <v>736</v>
      </c>
      <c r="E23" s="147" t="s">
        <v>38</v>
      </c>
      <c r="F23" s="144" t="s">
        <v>419</v>
      </c>
      <c r="G23" s="149">
        <v>2211.46</v>
      </c>
      <c r="H23" s="149">
        <v>2106.15</v>
      </c>
      <c r="I23" s="159">
        <v>-315.89999999999998</v>
      </c>
      <c r="J23" s="159">
        <f t="shared" si="0"/>
        <v>-189.54</v>
      </c>
      <c r="K23" s="184">
        <v>0.6</v>
      </c>
    </row>
    <row r="24" spans="1:11" x14ac:dyDescent="0.25">
      <c r="A24" s="10" t="s">
        <v>256</v>
      </c>
      <c r="B24" s="10">
        <v>547186387</v>
      </c>
      <c r="C24" s="9">
        <v>45824</v>
      </c>
      <c r="D24" s="10" t="s">
        <v>824</v>
      </c>
      <c r="E24" s="10" t="s">
        <v>41</v>
      </c>
      <c r="F24" s="11" t="s">
        <v>540</v>
      </c>
      <c r="G24" s="17">
        <v>2224.75</v>
      </c>
      <c r="H24" s="17">
        <v>2118.81</v>
      </c>
      <c r="I24" s="17">
        <v>317.81</v>
      </c>
      <c r="J24" s="17">
        <f t="shared" si="0"/>
        <v>190.68600000000001</v>
      </c>
      <c r="K24" s="18">
        <v>0.6</v>
      </c>
    </row>
    <row r="25" spans="1:11" x14ac:dyDescent="0.25">
      <c r="A25" s="10" t="s">
        <v>63</v>
      </c>
      <c r="B25" s="10">
        <v>506022652</v>
      </c>
      <c r="C25" s="9">
        <v>45827</v>
      </c>
      <c r="D25" s="10" t="s">
        <v>825</v>
      </c>
      <c r="E25" s="10" t="s">
        <v>41</v>
      </c>
      <c r="F25" s="11" t="s">
        <v>540</v>
      </c>
      <c r="G25" s="17">
        <v>135.06</v>
      </c>
      <c r="H25" s="17">
        <v>128.63</v>
      </c>
      <c r="I25" s="17">
        <v>19.29</v>
      </c>
      <c r="J25" s="17">
        <f t="shared" si="0"/>
        <v>11.574</v>
      </c>
      <c r="K25" s="18">
        <v>0.6</v>
      </c>
    </row>
    <row r="26" spans="1:11" x14ac:dyDescent="0.25">
      <c r="A26" s="10"/>
      <c r="B26" s="10"/>
      <c r="C26" s="9"/>
      <c r="D26" s="10"/>
      <c r="E26" s="10"/>
      <c r="F26" s="11"/>
      <c r="G26" s="17"/>
      <c r="H26" s="17"/>
      <c r="I26" s="17"/>
      <c r="J26" s="17">
        <f t="shared" si="0"/>
        <v>0</v>
      </c>
      <c r="K26" s="18">
        <v>0.6</v>
      </c>
    </row>
    <row r="27" spans="1:11" x14ac:dyDescent="0.25">
      <c r="A27" s="10"/>
      <c r="B27" s="10"/>
      <c r="C27" s="9"/>
      <c r="D27" s="10"/>
      <c r="E27" s="10"/>
      <c r="F27" s="11"/>
      <c r="G27" s="17"/>
      <c r="H27" s="17"/>
      <c r="I27" s="17"/>
      <c r="J27" s="17">
        <f t="shared" si="0"/>
        <v>0</v>
      </c>
      <c r="K27" s="18">
        <v>0.6</v>
      </c>
    </row>
    <row r="28" spans="1:11" x14ac:dyDescent="0.25">
      <c r="A28" s="10"/>
      <c r="B28" s="10"/>
      <c r="C28" s="9"/>
      <c r="D28" s="10"/>
      <c r="E28" s="10"/>
      <c r="F28" s="11"/>
      <c r="G28" s="17"/>
      <c r="H28" s="17"/>
      <c r="I28" s="17"/>
      <c r="J28" s="17"/>
      <c r="K28" s="18"/>
    </row>
    <row r="29" spans="1:11" x14ac:dyDescent="0.25">
      <c r="A29" s="10"/>
      <c r="B29" s="10"/>
      <c r="C29" s="9"/>
      <c r="D29" s="10"/>
      <c r="E29" s="10"/>
      <c r="F29" s="11"/>
      <c r="G29" s="17"/>
      <c r="H29" s="17"/>
      <c r="I29" s="17"/>
      <c r="J29" s="17"/>
      <c r="K29" s="18"/>
    </row>
    <row r="30" spans="1:11" x14ac:dyDescent="0.25">
      <c r="A30" s="10"/>
      <c r="B30" s="10"/>
      <c r="C30" s="9"/>
      <c r="D30" s="10"/>
      <c r="E30" s="10"/>
      <c r="F30" s="11"/>
      <c r="G30" s="17"/>
      <c r="H30" s="17"/>
      <c r="I30" s="17"/>
      <c r="J30" s="17"/>
      <c r="K30" s="18"/>
    </row>
    <row r="31" spans="1:11" x14ac:dyDescent="0.25">
      <c r="A31" s="10"/>
      <c r="B31" s="10"/>
      <c r="C31" s="9"/>
      <c r="D31" s="10"/>
      <c r="E31" s="10"/>
      <c r="F31" s="6" t="s">
        <v>13</v>
      </c>
      <c r="G31" s="8">
        <f>SUM(G4:G30)</f>
        <v>329144.86999999994</v>
      </c>
      <c r="H31" s="8">
        <f>SUM(H4:H30)</f>
        <v>313471.28999999998</v>
      </c>
      <c r="I31" s="8">
        <f>SUM(I4:I30)</f>
        <v>46388.15</v>
      </c>
      <c r="J31" s="8">
        <f>SUM(J4:J30)</f>
        <v>27832.89</v>
      </c>
      <c r="K31" s="6"/>
    </row>
    <row r="32" spans="1:11" x14ac:dyDescent="0.25">
      <c r="A32" s="10"/>
      <c r="B32" s="10"/>
      <c r="C32" s="9"/>
      <c r="D32" s="10"/>
      <c r="E32" s="10"/>
      <c r="F32" s="13" t="s">
        <v>14</v>
      </c>
      <c r="G32" s="21">
        <f>G6+G24+G25</f>
        <v>21165.920000000002</v>
      </c>
      <c r="H32" s="17"/>
      <c r="I32" s="17"/>
      <c r="J32" s="17"/>
      <c r="K32" s="10"/>
    </row>
    <row r="33" spans="1:11" x14ac:dyDescent="0.25">
      <c r="A33" s="10"/>
      <c r="B33" s="10"/>
      <c r="C33" s="9"/>
      <c r="D33" s="10"/>
      <c r="E33" s="45"/>
      <c r="F33" s="46" t="s">
        <v>15</v>
      </c>
      <c r="G33" s="47">
        <f>G32/6</f>
        <v>3527.6533333333336</v>
      </c>
      <c r="H33" s="17"/>
      <c r="I33" s="17"/>
      <c r="J33" s="17"/>
      <c r="K33" s="10"/>
    </row>
    <row r="34" spans="1:11" x14ac:dyDescent="0.25">
      <c r="A34" s="10"/>
      <c r="B34" s="10"/>
      <c r="C34" s="9"/>
      <c r="D34" s="10"/>
      <c r="E34" s="10"/>
      <c r="F34" s="10"/>
      <c r="G34" s="17"/>
      <c r="H34" s="17"/>
      <c r="I34" s="17"/>
      <c r="J34" s="17"/>
      <c r="K34" s="10"/>
    </row>
    <row r="35" spans="1:11" x14ac:dyDescent="0.25">
      <c r="A35" s="10" t="s">
        <v>16</v>
      </c>
      <c r="B35" s="10"/>
      <c r="C35" s="9"/>
      <c r="D35" s="10"/>
      <c r="E35" s="10"/>
      <c r="F35" s="10"/>
      <c r="G35" s="17"/>
      <c r="H35" s="17"/>
      <c r="I35" s="17"/>
      <c r="J35" s="17"/>
      <c r="K35" s="10"/>
    </row>
    <row r="36" spans="1:11" x14ac:dyDescent="0.25">
      <c r="A36" s="10" t="s">
        <v>602</v>
      </c>
      <c r="B36" s="20">
        <v>576469530</v>
      </c>
      <c r="C36" s="12">
        <v>45811</v>
      </c>
      <c r="D36" s="11" t="s">
        <v>603</v>
      </c>
      <c r="E36" s="11" t="s">
        <v>38</v>
      </c>
      <c r="F36" s="11" t="s">
        <v>604</v>
      </c>
      <c r="G36" s="16">
        <v>13250.07</v>
      </c>
      <c r="H36" s="16">
        <v>11830.42</v>
      </c>
      <c r="I36" s="17">
        <v>1183</v>
      </c>
      <c r="J36" s="17">
        <f t="shared" ref="J36:J70" si="1">I36*K36</f>
        <v>709.8</v>
      </c>
      <c r="K36" s="18">
        <v>0.6</v>
      </c>
    </row>
    <row r="37" spans="1:11" x14ac:dyDescent="0.25">
      <c r="A37" s="10" t="s">
        <v>607</v>
      </c>
      <c r="B37" s="11">
        <v>574240473</v>
      </c>
      <c r="C37" s="12">
        <v>45809</v>
      </c>
      <c r="D37" s="11" t="s">
        <v>608</v>
      </c>
      <c r="E37" s="11" t="s">
        <v>38</v>
      </c>
      <c r="F37" s="11" t="s">
        <v>57</v>
      </c>
      <c r="G37" s="16">
        <v>14094.68</v>
      </c>
      <c r="H37" s="16">
        <v>12778.16</v>
      </c>
      <c r="I37" s="17">
        <v>1277.8</v>
      </c>
      <c r="J37" s="17">
        <f t="shared" si="1"/>
        <v>766.68</v>
      </c>
      <c r="K37" s="18">
        <v>0.6</v>
      </c>
    </row>
    <row r="38" spans="1:11" x14ac:dyDescent="0.25">
      <c r="A38" s="10" t="s">
        <v>609</v>
      </c>
      <c r="B38" s="10">
        <v>576959046</v>
      </c>
      <c r="C38" s="9">
        <v>45809</v>
      </c>
      <c r="D38" s="10" t="s">
        <v>610</v>
      </c>
      <c r="E38" s="10" t="s">
        <v>38</v>
      </c>
      <c r="F38" s="10" t="s">
        <v>57</v>
      </c>
      <c r="G38" s="17">
        <v>13128</v>
      </c>
      <c r="H38" s="17">
        <v>11721.43</v>
      </c>
      <c r="I38" s="17">
        <v>1172.0999999999999</v>
      </c>
      <c r="J38" s="17">
        <f t="shared" si="1"/>
        <v>703.25999999999988</v>
      </c>
      <c r="K38" s="18">
        <v>0.6</v>
      </c>
    </row>
    <row r="39" spans="1:11" x14ac:dyDescent="0.25">
      <c r="A39" s="10" t="s">
        <v>613</v>
      </c>
      <c r="B39" s="20">
        <v>577438696</v>
      </c>
      <c r="C39" s="12">
        <v>45810</v>
      </c>
      <c r="D39" s="11" t="s">
        <v>614</v>
      </c>
      <c r="E39" s="11" t="s">
        <v>38</v>
      </c>
      <c r="F39" s="11" t="s">
        <v>613</v>
      </c>
      <c r="G39" s="16">
        <v>9623.2099999999991</v>
      </c>
      <c r="H39" s="16">
        <v>8666.8700000000008</v>
      </c>
      <c r="I39" s="17">
        <v>866.7</v>
      </c>
      <c r="J39" s="17">
        <f t="shared" si="1"/>
        <v>520.02</v>
      </c>
      <c r="K39" s="18">
        <v>0.6</v>
      </c>
    </row>
    <row r="40" spans="1:11" x14ac:dyDescent="0.25">
      <c r="A40" s="10" t="s">
        <v>293</v>
      </c>
      <c r="B40" s="11">
        <v>577361020</v>
      </c>
      <c r="C40" s="12">
        <v>45810</v>
      </c>
      <c r="D40" s="11" t="s">
        <v>43</v>
      </c>
      <c r="E40" s="11" t="s">
        <v>38</v>
      </c>
      <c r="F40" s="11" t="s">
        <v>57</v>
      </c>
      <c r="G40" s="16">
        <v>14587.14</v>
      </c>
      <c r="H40" s="16">
        <v>13024.21</v>
      </c>
      <c r="I40" s="17">
        <v>1302.4000000000001</v>
      </c>
      <c r="J40" s="17">
        <f t="shared" si="1"/>
        <v>781.44</v>
      </c>
      <c r="K40" s="18">
        <v>0.6</v>
      </c>
    </row>
    <row r="41" spans="1:11" x14ac:dyDescent="0.25">
      <c r="A41" s="10" t="s">
        <v>615</v>
      </c>
      <c r="B41" s="11">
        <v>574247772</v>
      </c>
      <c r="C41" s="12">
        <v>45810</v>
      </c>
      <c r="D41" s="11" t="s">
        <v>616</v>
      </c>
      <c r="E41" s="11" t="s">
        <v>38</v>
      </c>
      <c r="F41" s="11" t="s">
        <v>615</v>
      </c>
      <c r="G41" s="16">
        <v>11296.8</v>
      </c>
      <c r="H41" s="16">
        <v>10260.780000000001</v>
      </c>
      <c r="I41" s="17">
        <v>1026</v>
      </c>
      <c r="J41" s="17">
        <f t="shared" si="1"/>
        <v>615.6</v>
      </c>
      <c r="K41" s="18">
        <v>0.6</v>
      </c>
    </row>
    <row r="42" spans="1:11" x14ac:dyDescent="0.25">
      <c r="A42" s="10" t="s">
        <v>611</v>
      </c>
      <c r="B42" s="11">
        <v>576956561</v>
      </c>
      <c r="C42" s="12">
        <v>45810</v>
      </c>
      <c r="D42" s="11" t="s">
        <v>612</v>
      </c>
      <c r="E42" s="11" t="s">
        <v>38</v>
      </c>
      <c r="F42" s="11" t="s">
        <v>57</v>
      </c>
      <c r="G42" s="16">
        <v>6973.97</v>
      </c>
      <c r="H42" s="16">
        <v>6226.77</v>
      </c>
      <c r="I42" s="17">
        <v>622.70000000000005</v>
      </c>
      <c r="J42" s="17">
        <f t="shared" si="1"/>
        <v>373.62</v>
      </c>
      <c r="K42" s="18">
        <v>0.6</v>
      </c>
    </row>
    <row r="43" spans="1:11" x14ac:dyDescent="0.25">
      <c r="A43" s="10" t="s">
        <v>618</v>
      </c>
      <c r="B43" s="11">
        <v>574265921</v>
      </c>
      <c r="C43" s="12">
        <v>45812</v>
      </c>
      <c r="D43" s="11" t="s">
        <v>619</v>
      </c>
      <c r="E43" s="11" t="s">
        <v>38</v>
      </c>
      <c r="F43" s="11" t="s">
        <v>618</v>
      </c>
      <c r="G43" s="16">
        <v>21620.42</v>
      </c>
      <c r="H43" s="16">
        <v>19637.57</v>
      </c>
      <c r="I43" s="17">
        <v>1963.7</v>
      </c>
      <c r="J43" s="17">
        <f t="shared" si="1"/>
        <v>1178.22</v>
      </c>
      <c r="K43" s="18">
        <v>0.6</v>
      </c>
    </row>
    <row r="44" spans="1:11" x14ac:dyDescent="0.25">
      <c r="A44" s="10" t="s">
        <v>621</v>
      </c>
      <c r="B44" s="11">
        <v>578449081</v>
      </c>
      <c r="C44" s="12">
        <v>45818</v>
      </c>
      <c r="D44" s="11" t="s">
        <v>622</v>
      </c>
      <c r="E44" s="11" t="s">
        <v>38</v>
      </c>
      <c r="F44" s="11" t="s">
        <v>621</v>
      </c>
      <c r="G44" s="16">
        <v>8206.7900000000009</v>
      </c>
      <c r="H44" s="16">
        <v>7350.75</v>
      </c>
      <c r="I44" s="17">
        <v>735</v>
      </c>
      <c r="J44" s="17">
        <f t="shared" si="1"/>
        <v>441</v>
      </c>
      <c r="K44" s="18">
        <v>0.6</v>
      </c>
    </row>
    <row r="45" spans="1:11" x14ac:dyDescent="0.25">
      <c r="A45" s="10" t="s">
        <v>625</v>
      </c>
      <c r="B45" s="11">
        <v>578627769</v>
      </c>
      <c r="C45" s="12">
        <v>45823</v>
      </c>
      <c r="D45" s="11" t="s">
        <v>626</v>
      </c>
      <c r="E45" s="11" t="s">
        <v>38</v>
      </c>
      <c r="F45" s="11" t="s">
        <v>625</v>
      </c>
      <c r="G45" s="16">
        <v>6316.07</v>
      </c>
      <c r="H45" s="16">
        <v>5639.34</v>
      </c>
      <c r="I45" s="17">
        <v>563.9</v>
      </c>
      <c r="J45" s="17">
        <f t="shared" si="1"/>
        <v>338.34</v>
      </c>
      <c r="K45" s="18">
        <v>0.6</v>
      </c>
    </row>
    <row r="46" spans="1:11" x14ac:dyDescent="0.25">
      <c r="A46" s="10" t="s">
        <v>628</v>
      </c>
      <c r="B46" s="11">
        <v>578748970</v>
      </c>
      <c r="C46" s="12">
        <v>45819</v>
      </c>
      <c r="D46" s="11" t="s">
        <v>629</v>
      </c>
      <c r="E46" s="11" t="s">
        <v>41</v>
      </c>
      <c r="F46" s="11" t="s">
        <v>12</v>
      </c>
      <c r="G46" s="16">
        <v>11394.21</v>
      </c>
      <c r="H46" s="16">
        <v>10261.84</v>
      </c>
      <c r="I46" s="17">
        <v>1026.2</v>
      </c>
      <c r="J46" s="17">
        <f t="shared" si="1"/>
        <v>615.72</v>
      </c>
      <c r="K46" s="18">
        <v>0.6</v>
      </c>
    </row>
    <row r="47" spans="1:11" x14ac:dyDescent="0.25">
      <c r="A47" s="10" t="s">
        <v>512</v>
      </c>
      <c r="B47" s="10">
        <v>579514999</v>
      </c>
      <c r="C47" s="12">
        <v>45832</v>
      </c>
      <c r="D47" s="11" t="s">
        <v>632</v>
      </c>
      <c r="E47" s="11" t="s">
        <v>41</v>
      </c>
      <c r="F47" s="11" t="s">
        <v>12</v>
      </c>
      <c r="G47" s="16">
        <v>16537.55</v>
      </c>
      <c r="H47" s="16">
        <v>15020.88</v>
      </c>
      <c r="I47" s="17">
        <v>1502</v>
      </c>
      <c r="J47" s="17">
        <f t="shared" si="1"/>
        <v>901.19999999999993</v>
      </c>
      <c r="K47" s="18">
        <v>0.6</v>
      </c>
    </row>
    <row r="48" spans="1:11" x14ac:dyDescent="0.25">
      <c r="A48" s="10" t="s">
        <v>633</v>
      </c>
      <c r="B48" s="11">
        <v>578539194</v>
      </c>
      <c r="C48" s="12">
        <v>45821</v>
      </c>
      <c r="D48" s="11" t="s">
        <v>635</v>
      </c>
      <c r="E48" s="11" t="s">
        <v>38</v>
      </c>
      <c r="F48" s="11" t="s">
        <v>633</v>
      </c>
      <c r="G48" s="16">
        <v>13675.01</v>
      </c>
      <c r="H48" s="16">
        <v>12372.64</v>
      </c>
      <c r="I48" s="17">
        <v>1237.3</v>
      </c>
      <c r="J48" s="17">
        <f t="shared" si="1"/>
        <v>742.38</v>
      </c>
      <c r="K48" s="18">
        <v>0.6</v>
      </c>
    </row>
    <row r="49" spans="1:11" x14ac:dyDescent="0.25">
      <c r="A49" s="10" t="s">
        <v>636</v>
      </c>
      <c r="B49" s="11">
        <v>578559343</v>
      </c>
      <c r="C49" s="12">
        <v>45821</v>
      </c>
      <c r="D49" s="11" t="s">
        <v>637</v>
      </c>
      <c r="E49" s="11" t="s">
        <v>41</v>
      </c>
      <c r="F49" s="11" t="s">
        <v>12</v>
      </c>
      <c r="G49" s="16">
        <v>8717.49</v>
      </c>
      <c r="H49" s="16">
        <v>7887.25</v>
      </c>
      <c r="I49" s="17">
        <v>788.7</v>
      </c>
      <c r="J49" s="17">
        <f t="shared" si="1"/>
        <v>473.22</v>
      </c>
      <c r="K49" s="18">
        <v>0.6</v>
      </c>
    </row>
    <row r="50" spans="1:11" x14ac:dyDescent="0.25">
      <c r="A50" s="10" t="s">
        <v>644</v>
      </c>
      <c r="B50" s="11">
        <v>579085998</v>
      </c>
      <c r="C50" s="12">
        <v>45823</v>
      </c>
      <c r="D50" s="11" t="s">
        <v>641</v>
      </c>
      <c r="E50" s="11" t="s">
        <v>41</v>
      </c>
      <c r="F50" s="11" t="s">
        <v>12</v>
      </c>
      <c r="G50" s="16">
        <v>10940.02</v>
      </c>
      <c r="H50" s="16">
        <v>9767.8799999999992</v>
      </c>
      <c r="I50" s="17">
        <v>976.8</v>
      </c>
      <c r="J50" s="17">
        <f t="shared" si="1"/>
        <v>586.07999999999993</v>
      </c>
      <c r="K50" s="18">
        <v>0.6</v>
      </c>
    </row>
    <row r="51" spans="1:11" x14ac:dyDescent="0.25">
      <c r="A51" s="10" t="s">
        <v>642</v>
      </c>
      <c r="B51" s="11">
        <v>579083036</v>
      </c>
      <c r="C51" s="12">
        <v>45821</v>
      </c>
      <c r="D51" s="11" t="s">
        <v>643</v>
      </c>
      <c r="E51" s="11" t="s">
        <v>41</v>
      </c>
      <c r="F51" s="11" t="s">
        <v>12</v>
      </c>
      <c r="G51" s="16">
        <v>6973.98</v>
      </c>
      <c r="H51" s="16">
        <v>6226.77</v>
      </c>
      <c r="I51" s="17">
        <v>622.70000000000005</v>
      </c>
      <c r="J51" s="17">
        <f t="shared" si="1"/>
        <v>373.62</v>
      </c>
      <c r="K51" s="18">
        <v>0.6</v>
      </c>
    </row>
    <row r="52" spans="1:11" x14ac:dyDescent="0.25">
      <c r="A52" s="10" t="s">
        <v>645</v>
      </c>
      <c r="B52" s="11">
        <v>580127396</v>
      </c>
      <c r="C52" s="12">
        <v>45824</v>
      </c>
      <c r="D52" s="11" t="s">
        <v>646</v>
      </c>
      <c r="E52" s="11" t="s">
        <v>38</v>
      </c>
      <c r="F52" s="11" t="s">
        <v>645</v>
      </c>
      <c r="G52" s="16">
        <v>17887.599999999999</v>
      </c>
      <c r="H52" s="16">
        <v>16247.12</v>
      </c>
      <c r="I52" s="17">
        <v>1624.7</v>
      </c>
      <c r="J52" s="17">
        <f t="shared" si="1"/>
        <v>974.81999999999994</v>
      </c>
      <c r="K52" s="18">
        <v>0.6</v>
      </c>
    </row>
    <row r="53" spans="1:11" x14ac:dyDescent="0.25">
      <c r="A53" s="10" t="s">
        <v>647</v>
      </c>
      <c r="B53" s="11">
        <v>580368575</v>
      </c>
      <c r="C53" s="12">
        <v>45824</v>
      </c>
      <c r="D53" s="11" t="s">
        <v>648</v>
      </c>
      <c r="E53" s="11" t="s">
        <v>38</v>
      </c>
      <c r="F53" s="11" t="s">
        <v>647</v>
      </c>
      <c r="G53" s="16">
        <v>11296.8</v>
      </c>
      <c r="H53" s="16">
        <v>10260.780000000001</v>
      </c>
      <c r="I53" s="17">
        <v>1026</v>
      </c>
      <c r="J53" s="17">
        <f t="shared" si="1"/>
        <v>615.6</v>
      </c>
      <c r="K53" s="18">
        <v>0.6</v>
      </c>
    </row>
    <row r="54" spans="1:11" x14ac:dyDescent="0.25">
      <c r="A54" s="10" t="s">
        <v>649</v>
      </c>
      <c r="B54" s="11">
        <v>580420498</v>
      </c>
      <c r="C54" s="9">
        <v>45827</v>
      </c>
      <c r="D54" s="10" t="s">
        <v>650</v>
      </c>
      <c r="E54" s="11" t="s">
        <v>38</v>
      </c>
      <c r="F54" s="11" t="s">
        <v>649</v>
      </c>
      <c r="G54" s="16">
        <v>11158.07</v>
      </c>
      <c r="H54" s="16">
        <v>9962.5499999999993</v>
      </c>
      <c r="I54" s="17">
        <v>996.2</v>
      </c>
      <c r="J54" s="17">
        <f t="shared" si="1"/>
        <v>597.72</v>
      </c>
      <c r="K54" s="18">
        <v>0.6</v>
      </c>
    </row>
    <row r="55" spans="1:11" x14ac:dyDescent="0.25">
      <c r="A55" s="10" t="s">
        <v>654</v>
      </c>
      <c r="B55" s="11">
        <v>581424935</v>
      </c>
      <c r="C55" s="12">
        <v>45830</v>
      </c>
      <c r="D55" s="11" t="s">
        <v>655</v>
      </c>
      <c r="E55" s="11" t="s">
        <v>38</v>
      </c>
      <c r="F55" s="11" t="s">
        <v>654</v>
      </c>
      <c r="G55" s="16">
        <v>6973.98</v>
      </c>
      <c r="H55" s="16">
        <v>6226.77</v>
      </c>
      <c r="I55" s="17">
        <v>622.6</v>
      </c>
      <c r="J55" s="17">
        <f t="shared" si="1"/>
        <v>373.56</v>
      </c>
      <c r="K55" s="18">
        <v>0.6</v>
      </c>
    </row>
    <row r="56" spans="1:11" x14ac:dyDescent="0.25">
      <c r="A56" s="10" t="s">
        <v>242</v>
      </c>
      <c r="B56" s="11">
        <v>580342671</v>
      </c>
      <c r="C56" s="12">
        <v>45836</v>
      </c>
      <c r="D56" s="11" t="s">
        <v>243</v>
      </c>
      <c r="E56" s="11" t="s">
        <v>38</v>
      </c>
      <c r="F56" s="11" t="s">
        <v>57</v>
      </c>
      <c r="G56" s="16">
        <v>9117.0300000000007</v>
      </c>
      <c r="H56" s="16">
        <v>8140.21</v>
      </c>
      <c r="I56" s="17">
        <v>814</v>
      </c>
      <c r="J56" s="17">
        <f t="shared" si="1"/>
        <v>488.4</v>
      </c>
      <c r="K56" s="18">
        <v>0.6</v>
      </c>
    </row>
    <row r="57" spans="1:11" x14ac:dyDescent="0.25">
      <c r="A57" s="10" t="s">
        <v>656</v>
      </c>
      <c r="B57" s="11">
        <v>581602207</v>
      </c>
      <c r="C57" s="12">
        <v>45838</v>
      </c>
      <c r="D57" s="11" t="s">
        <v>657</v>
      </c>
      <c r="E57" s="11" t="s">
        <v>41</v>
      </c>
      <c r="F57" s="11" t="s">
        <v>12</v>
      </c>
      <c r="G57" s="16">
        <v>6513.07</v>
      </c>
      <c r="H57" s="16">
        <v>5815.22</v>
      </c>
      <c r="I57" s="17">
        <v>581.5</v>
      </c>
      <c r="J57" s="17">
        <f t="shared" si="1"/>
        <v>348.9</v>
      </c>
      <c r="K57" s="18">
        <v>0.6</v>
      </c>
    </row>
    <row r="58" spans="1:11" x14ac:dyDescent="0.25">
      <c r="A58" s="10" t="s">
        <v>664</v>
      </c>
      <c r="B58" s="11">
        <v>579793659</v>
      </c>
      <c r="C58" s="12">
        <v>45833</v>
      </c>
      <c r="D58" s="11" t="s">
        <v>665</v>
      </c>
      <c r="E58" s="11" t="s">
        <v>38</v>
      </c>
      <c r="F58" s="11" t="s">
        <v>664</v>
      </c>
      <c r="G58" s="16">
        <v>11296.8</v>
      </c>
      <c r="H58" s="16">
        <v>10260.780000000001</v>
      </c>
      <c r="I58" s="17">
        <v>1026</v>
      </c>
      <c r="J58" s="17">
        <f t="shared" si="1"/>
        <v>615.6</v>
      </c>
      <c r="K58" s="18">
        <v>0.6</v>
      </c>
    </row>
    <row r="59" spans="1:11" x14ac:dyDescent="0.25">
      <c r="A59" s="10" t="s">
        <v>666</v>
      </c>
      <c r="B59" s="11">
        <v>579791215</v>
      </c>
      <c r="C59" s="12">
        <v>45833</v>
      </c>
      <c r="D59" s="11" t="s">
        <v>667</v>
      </c>
      <c r="E59" s="11" t="s">
        <v>38</v>
      </c>
      <c r="F59" s="11" t="s">
        <v>307</v>
      </c>
      <c r="G59" s="16">
        <v>17887.61</v>
      </c>
      <c r="H59" s="16">
        <v>16247.12</v>
      </c>
      <c r="I59" s="17">
        <v>1624.7</v>
      </c>
      <c r="J59" s="17">
        <f t="shared" si="1"/>
        <v>974.81999999999994</v>
      </c>
      <c r="K59" s="18">
        <v>0.6</v>
      </c>
    </row>
    <row r="60" spans="1:11" x14ac:dyDescent="0.25">
      <c r="A60" s="10" t="s">
        <v>668</v>
      </c>
      <c r="B60" s="11">
        <v>582885463</v>
      </c>
      <c r="C60" s="12">
        <v>45836</v>
      </c>
      <c r="D60" s="11" t="s">
        <v>669</v>
      </c>
      <c r="E60" s="11" t="s">
        <v>38</v>
      </c>
      <c r="F60" s="11" t="s">
        <v>668</v>
      </c>
      <c r="G60" s="16">
        <v>13250.1</v>
      </c>
      <c r="H60" s="16">
        <v>11830.43</v>
      </c>
      <c r="I60" s="17">
        <v>1183</v>
      </c>
      <c r="J60" s="17">
        <f t="shared" si="1"/>
        <v>709.8</v>
      </c>
      <c r="K60" s="18">
        <v>0.6</v>
      </c>
    </row>
    <row r="61" spans="1:11" x14ac:dyDescent="0.25">
      <c r="A61" s="11" t="s">
        <v>670</v>
      </c>
      <c r="B61" s="11">
        <v>582876447</v>
      </c>
      <c r="C61" s="12">
        <v>45838</v>
      </c>
      <c r="D61" s="11" t="s">
        <v>671</v>
      </c>
      <c r="E61" s="11" t="s">
        <v>38</v>
      </c>
      <c r="F61" s="11" t="s">
        <v>670</v>
      </c>
      <c r="G61" s="16">
        <v>8368.01</v>
      </c>
      <c r="H61" s="16">
        <v>7471.44</v>
      </c>
      <c r="I61" s="17">
        <v>747.1</v>
      </c>
      <c r="J61" s="17">
        <f t="shared" si="1"/>
        <v>448.26</v>
      </c>
      <c r="K61" s="18">
        <v>0.6</v>
      </c>
    </row>
    <row r="62" spans="1:11" x14ac:dyDescent="0.25">
      <c r="A62" s="11" t="s">
        <v>672</v>
      </c>
      <c r="B62" s="11">
        <v>583059762</v>
      </c>
      <c r="C62" s="12">
        <v>45834</v>
      </c>
      <c r="D62" s="11" t="s">
        <v>673</v>
      </c>
      <c r="E62" s="11" t="s">
        <v>38</v>
      </c>
      <c r="F62" s="10" t="s">
        <v>57</v>
      </c>
      <c r="G62" s="16">
        <v>11296.87</v>
      </c>
      <c r="H62" s="16">
        <v>10260.799999999999</v>
      </c>
      <c r="I62" s="16">
        <v>1026</v>
      </c>
      <c r="J62" s="17">
        <f t="shared" si="1"/>
        <v>615.6</v>
      </c>
      <c r="K62" s="18">
        <v>0.6</v>
      </c>
    </row>
    <row r="63" spans="1:11" x14ac:dyDescent="0.25">
      <c r="A63" s="11" t="s">
        <v>674</v>
      </c>
      <c r="B63" s="11">
        <v>583179428</v>
      </c>
      <c r="C63" s="12">
        <v>45834</v>
      </c>
      <c r="D63" s="11" t="s">
        <v>675</v>
      </c>
      <c r="E63" s="11" t="s">
        <v>38</v>
      </c>
      <c r="F63" s="10" t="s">
        <v>674</v>
      </c>
      <c r="G63" s="16">
        <v>15341.83</v>
      </c>
      <c r="H63" s="16">
        <v>13781.07</v>
      </c>
      <c r="I63" s="16">
        <v>1378.1</v>
      </c>
      <c r="J63" s="17">
        <f t="shared" si="1"/>
        <v>826.8599999999999</v>
      </c>
      <c r="K63" s="18">
        <v>0.6</v>
      </c>
    </row>
    <row r="64" spans="1:11" x14ac:dyDescent="0.25">
      <c r="A64" s="11" t="s">
        <v>676</v>
      </c>
      <c r="B64" s="11">
        <v>580224109</v>
      </c>
      <c r="C64" s="12">
        <v>45835</v>
      </c>
      <c r="D64" s="174" t="s">
        <v>728</v>
      </c>
      <c r="E64" s="11" t="s">
        <v>38</v>
      </c>
      <c r="F64" s="10" t="s">
        <v>676</v>
      </c>
      <c r="G64" s="16">
        <v>11296.8</v>
      </c>
      <c r="H64" s="16">
        <v>10260.780000000001</v>
      </c>
      <c r="I64" s="16">
        <v>1026</v>
      </c>
      <c r="J64" s="17">
        <f t="shared" si="1"/>
        <v>615.6</v>
      </c>
      <c r="K64" s="18">
        <v>0.6</v>
      </c>
    </row>
    <row r="65" spans="1:11" x14ac:dyDescent="0.25">
      <c r="A65" s="147" t="s">
        <v>737</v>
      </c>
      <c r="B65" s="147">
        <v>571465588</v>
      </c>
      <c r="C65" s="148">
        <v>45811</v>
      </c>
      <c r="D65" s="147" t="s">
        <v>551</v>
      </c>
      <c r="E65" s="147" t="s">
        <v>38</v>
      </c>
      <c r="F65" s="144" t="s">
        <v>419</v>
      </c>
      <c r="G65" s="149">
        <v>17706.79</v>
      </c>
      <c r="H65" s="149">
        <v>16082.89</v>
      </c>
      <c r="I65" s="159">
        <v>-1608.2</v>
      </c>
      <c r="J65" s="159">
        <f t="shared" si="1"/>
        <v>-964.92</v>
      </c>
      <c r="K65" s="184">
        <v>0.6</v>
      </c>
    </row>
    <row r="66" spans="1:11" x14ac:dyDescent="0.25">
      <c r="A66" s="11"/>
      <c r="B66" s="11"/>
      <c r="C66" s="12"/>
      <c r="D66" s="11"/>
      <c r="E66" s="11"/>
      <c r="F66" s="10"/>
      <c r="G66" s="16"/>
      <c r="H66" s="16"/>
      <c r="I66" s="16"/>
      <c r="J66" s="17">
        <f t="shared" si="1"/>
        <v>0</v>
      </c>
      <c r="K66" s="18">
        <v>0.6</v>
      </c>
    </row>
    <row r="67" spans="1:11" x14ac:dyDescent="0.25">
      <c r="A67" s="11"/>
      <c r="B67" s="11"/>
      <c r="C67" s="12"/>
      <c r="D67" s="11"/>
      <c r="E67" s="11"/>
      <c r="F67" s="10"/>
      <c r="G67" s="16"/>
      <c r="H67" s="16"/>
      <c r="I67" s="16"/>
      <c r="J67" s="17">
        <f t="shared" si="1"/>
        <v>0</v>
      </c>
      <c r="K67" s="18">
        <v>0.6</v>
      </c>
    </row>
    <row r="68" spans="1:11" x14ac:dyDescent="0.25">
      <c r="A68" s="11"/>
      <c r="B68" s="11"/>
      <c r="C68" s="12"/>
      <c r="D68" s="11"/>
      <c r="E68" s="11"/>
      <c r="F68" s="10"/>
      <c r="G68" s="16"/>
      <c r="H68" s="16"/>
      <c r="I68" s="16"/>
      <c r="J68" s="17">
        <f t="shared" si="1"/>
        <v>0</v>
      </c>
      <c r="K68" s="18">
        <v>0.6</v>
      </c>
    </row>
    <row r="69" spans="1:11" x14ac:dyDescent="0.25">
      <c r="A69" s="11"/>
      <c r="B69" s="11"/>
      <c r="C69" s="12"/>
      <c r="D69" s="11"/>
      <c r="E69" s="11"/>
      <c r="F69" s="10"/>
      <c r="G69" s="16"/>
      <c r="H69" s="16"/>
      <c r="I69" s="16"/>
      <c r="J69" s="17">
        <f t="shared" si="1"/>
        <v>0</v>
      </c>
      <c r="K69" s="18">
        <v>0.6</v>
      </c>
    </row>
    <row r="70" spans="1:11" x14ac:dyDescent="0.25">
      <c r="A70" s="11"/>
      <c r="B70" s="174"/>
      <c r="C70" s="12"/>
      <c r="D70" s="11"/>
      <c r="E70" s="11"/>
      <c r="F70" s="10"/>
      <c r="G70" s="16"/>
      <c r="H70" s="16"/>
      <c r="I70" s="16"/>
      <c r="J70" s="17">
        <f t="shared" si="1"/>
        <v>0</v>
      </c>
      <c r="K70" s="18">
        <v>0.6</v>
      </c>
    </row>
    <row r="71" spans="1:11" x14ac:dyDescent="0.25">
      <c r="A71" s="10"/>
      <c r="B71" s="10"/>
      <c r="C71" s="9"/>
      <c r="D71" s="10"/>
      <c r="E71" s="10"/>
      <c r="F71" s="6" t="s">
        <v>13</v>
      </c>
      <c r="G71" s="8">
        <f>SUM(G36:G70)</f>
        <v>356726.76999999996</v>
      </c>
      <c r="H71" s="8">
        <f>SUM(H36:H70)</f>
        <v>321521.52</v>
      </c>
      <c r="I71" s="8">
        <f>SUM(I36:I70)</f>
        <v>28934.699999999997</v>
      </c>
      <c r="J71" s="8">
        <f>SUM(J36:J70)</f>
        <v>17360.82</v>
      </c>
      <c r="K71" s="6"/>
    </row>
    <row r="72" spans="1:11" x14ac:dyDescent="0.25">
      <c r="A72" s="10"/>
      <c r="B72" s="10"/>
      <c r="C72" s="9"/>
      <c r="D72" s="10"/>
      <c r="E72" s="10"/>
      <c r="F72" s="13" t="s">
        <v>14</v>
      </c>
      <c r="G72" s="21">
        <f>G46+G47+G49+G50+G51+G57</f>
        <v>61076.32</v>
      </c>
      <c r="H72" s="17"/>
      <c r="I72" s="17"/>
      <c r="J72" s="17"/>
      <c r="K72" s="10"/>
    </row>
    <row r="73" spans="1:11" x14ac:dyDescent="0.25">
      <c r="A73" s="15"/>
      <c r="B73" s="15"/>
      <c r="C73" s="15"/>
      <c r="D73" s="15"/>
      <c r="E73" s="15"/>
      <c r="F73" s="22"/>
      <c r="G73" s="15"/>
      <c r="H73" s="15"/>
      <c r="I73" s="15"/>
      <c r="J73" s="15"/>
      <c r="K73" s="15"/>
    </row>
    <row r="74" spans="1:11" x14ac:dyDescent="0.25">
      <c r="A74" s="10" t="s">
        <v>17</v>
      </c>
      <c r="B74" s="10"/>
      <c r="C74" s="9"/>
      <c r="D74" s="10"/>
      <c r="E74" s="10"/>
      <c r="F74" s="10"/>
      <c r="G74" s="17"/>
      <c r="H74" s="17"/>
      <c r="I74" s="17"/>
      <c r="J74" s="17"/>
      <c r="K74" s="10"/>
    </row>
    <row r="75" spans="1:11" x14ac:dyDescent="0.25">
      <c r="A75" s="10" t="s">
        <v>601</v>
      </c>
      <c r="B75" s="10">
        <v>572955716</v>
      </c>
      <c r="C75" s="9">
        <v>45809</v>
      </c>
      <c r="D75" s="10" t="s">
        <v>12</v>
      </c>
      <c r="E75" s="10" t="s">
        <v>38</v>
      </c>
      <c r="F75" s="14" t="s">
        <v>57</v>
      </c>
      <c r="G75" s="48">
        <v>12436.51</v>
      </c>
      <c r="H75" s="48">
        <v>11836.41</v>
      </c>
      <c r="I75" s="48">
        <v>1775.4</v>
      </c>
      <c r="J75" s="17">
        <f t="shared" ref="J75:J84" si="2">I75*K75</f>
        <v>1065.24</v>
      </c>
      <c r="K75" s="18">
        <v>0.6</v>
      </c>
    </row>
    <row r="76" spans="1:11" x14ac:dyDescent="0.25">
      <c r="A76" s="10"/>
      <c r="B76" s="10"/>
      <c r="C76" s="9"/>
      <c r="D76" s="10"/>
      <c r="E76" s="10"/>
      <c r="F76" s="14"/>
      <c r="G76" s="48"/>
      <c r="H76" s="48"/>
      <c r="I76" s="48"/>
      <c r="J76" s="17">
        <f t="shared" si="2"/>
        <v>0</v>
      </c>
      <c r="K76" s="18">
        <v>0.6</v>
      </c>
    </row>
    <row r="77" spans="1:11" x14ac:dyDescent="0.25">
      <c r="A77" s="10"/>
      <c r="B77" s="10"/>
      <c r="C77" s="9"/>
      <c r="D77" s="10"/>
      <c r="E77" s="10"/>
      <c r="F77" s="14"/>
      <c r="G77" s="48"/>
      <c r="H77" s="48"/>
      <c r="I77" s="48"/>
      <c r="J77" s="17">
        <f t="shared" si="2"/>
        <v>0</v>
      </c>
      <c r="K77" s="18">
        <v>0.6</v>
      </c>
    </row>
    <row r="78" spans="1:11" x14ac:dyDescent="0.25">
      <c r="A78" s="10"/>
      <c r="B78" s="10"/>
      <c r="C78" s="9"/>
      <c r="D78" s="10"/>
      <c r="E78" s="10"/>
      <c r="F78" s="14"/>
      <c r="G78" s="48"/>
      <c r="H78" s="48"/>
      <c r="I78" s="48"/>
      <c r="J78" s="17">
        <f t="shared" si="2"/>
        <v>0</v>
      </c>
      <c r="K78" s="18">
        <v>0.6</v>
      </c>
    </row>
    <row r="79" spans="1:11" x14ac:dyDescent="0.25">
      <c r="A79" s="10"/>
      <c r="B79" s="10"/>
      <c r="C79" s="9"/>
      <c r="D79" s="10"/>
      <c r="E79" s="10"/>
      <c r="F79" s="14"/>
      <c r="G79" s="48"/>
      <c r="H79" s="48"/>
      <c r="I79" s="48"/>
      <c r="J79" s="17">
        <f t="shared" si="2"/>
        <v>0</v>
      </c>
      <c r="K79" s="18">
        <v>0.6</v>
      </c>
    </row>
    <row r="80" spans="1:11" x14ac:dyDescent="0.25">
      <c r="A80" s="10"/>
      <c r="B80" s="10"/>
      <c r="C80" s="9"/>
      <c r="D80" s="10"/>
      <c r="E80" s="10"/>
      <c r="F80" s="14"/>
      <c r="G80" s="48"/>
      <c r="H80" s="48"/>
      <c r="I80" s="48"/>
      <c r="J80" s="17">
        <f t="shared" si="2"/>
        <v>0</v>
      </c>
      <c r="K80" s="18">
        <v>0.6</v>
      </c>
    </row>
    <row r="81" spans="1:11" x14ac:dyDescent="0.25">
      <c r="A81" s="10"/>
      <c r="B81" s="10"/>
      <c r="C81" s="9"/>
      <c r="D81" s="10"/>
      <c r="E81" s="10"/>
      <c r="F81" s="14"/>
      <c r="G81" s="48"/>
      <c r="H81" s="48"/>
      <c r="I81" s="48"/>
      <c r="J81" s="17">
        <f t="shared" si="2"/>
        <v>0</v>
      </c>
      <c r="K81" s="18">
        <v>0.6</v>
      </c>
    </row>
    <row r="82" spans="1:11" x14ac:dyDescent="0.25">
      <c r="A82" s="10"/>
      <c r="B82" s="10"/>
      <c r="C82" s="9"/>
      <c r="D82" s="10"/>
      <c r="E82" s="10"/>
      <c r="F82" s="14"/>
      <c r="G82" s="48"/>
      <c r="H82" s="48"/>
      <c r="I82" s="48"/>
      <c r="J82" s="17">
        <f t="shared" si="2"/>
        <v>0</v>
      </c>
      <c r="K82" s="18">
        <v>0.6</v>
      </c>
    </row>
    <row r="83" spans="1:11" x14ac:dyDescent="0.25">
      <c r="A83" s="10"/>
      <c r="B83" s="10"/>
      <c r="C83" s="9"/>
      <c r="D83" s="10"/>
      <c r="E83" s="10"/>
      <c r="F83" s="14"/>
      <c r="G83" s="48"/>
      <c r="H83" s="48"/>
      <c r="I83" s="48"/>
      <c r="J83" s="17">
        <f t="shared" si="2"/>
        <v>0</v>
      </c>
      <c r="K83" s="18">
        <v>0.6</v>
      </c>
    </row>
    <row r="84" spans="1:11" x14ac:dyDescent="0.25">
      <c r="A84" s="10"/>
      <c r="B84" s="10"/>
      <c r="C84" s="9"/>
      <c r="D84" s="10"/>
      <c r="E84" s="10"/>
      <c r="F84" s="14"/>
      <c r="G84" s="48"/>
      <c r="H84" s="48"/>
      <c r="I84" s="48"/>
      <c r="J84" s="17">
        <f t="shared" si="2"/>
        <v>0</v>
      </c>
      <c r="K84" s="18">
        <v>0.6</v>
      </c>
    </row>
    <row r="85" spans="1:11" x14ac:dyDescent="0.25">
      <c r="A85" s="10"/>
      <c r="B85" s="10"/>
      <c r="C85" s="9"/>
      <c r="D85" s="10"/>
      <c r="E85" s="10"/>
      <c r="F85" s="14"/>
      <c r="G85" s="48"/>
      <c r="H85" s="48"/>
      <c r="I85" s="48"/>
      <c r="J85" s="48"/>
      <c r="K85" s="18"/>
    </row>
    <row r="86" spans="1:11" x14ac:dyDescent="0.25">
      <c r="A86" s="10"/>
      <c r="B86" s="10"/>
      <c r="C86" s="9"/>
      <c r="D86" s="10"/>
      <c r="E86" s="10"/>
      <c r="F86" s="14"/>
      <c r="G86" s="48"/>
      <c r="H86" s="48"/>
      <c r="I86" s="48"/>
      <c r="J86" s="48"/>
      <c r="K86" s="18"/>
    </row>
    <row r="87" spans="1:11" x14ac:dyDescent="0.25">
      <c r="A87" s="10"/>
      <c r="B87" s="10"/>
      <c r="C87" s="9"/>
      <c r="D87" s="10"/>
      <c r="E87" s="10"/>
      <c r="F87" s="11"/>
      <c r="G87" s="49"/>
      <c r="H87" s="49"/>
      <c r="I87" s="48"/>
      <c r="J87" s="48"/>
      <c r="K87" s="18"/>
    </row>
    <row r="88" spans="1:11" x14ac:dyDescent="0.25">
      <c r="A88" s="10"/>
      <c r="B88" s="10"/>
      <c r="C88" s="9"/>
      <c r="D88" s="10"/>
      <c r="E88" s="10"/>
      <c r="F88" s="6" t="s">
        <v>13</v>
      </c>
      <c r="G88" s="8">
        <f>SUM(G75:G87)</f>
        <v>12436.51</v>
      </c>
      <c r="H88" s="8">
        <f>SUM(H75:H87)</f>
        <v>11836.41</v>
      </c>
      <c r="I88" s="8">
        <f>SUM(I75:I87)</f>
        <v>1775.4</v>
      </c>
      <c r="J88" s="8">
        <f>SUM(J75:J87)</f>
        <v>1065.24</v>
      </c>
      <c r="K88" s="6"/>
    </row>
    <row r="89" spans="1:11" x14ac:dyDescent="0.25">
      <c r="A89" s="10"/>
      <c r="B89" s="10"/>
      <c r="C89" s="9"/>
      <c r="D89" s="10"/>
      <c r="E89" s="10"/>
      <c r="F89" s="13" t="s">
        <v>14</v>
      </c>
      <c r="G89" s="21" t="s">
        <v>12</v>
      </c>
      <c r="H89" s="17"/>
      <c r="I89" s="17"/>
      <c r="J89" s="17"/>
      <c r="K89" s="10"/>
    </row>
    <row r="90" spans="1:11" x14ac:dyDescent="0.25">
      <c r="A90" s="10"/>
      <c r="B90" s="10"/>
      <c r="C90" s="9"/>
      <c r="D90" s="13"/>
      <c r="E90" s="13" t="s">
        <v>18</v>
      </c>
      <c r="F90" s="13"/>
      <c r="G90" s="21" t="s">
        <v>12</v>
      </c>
      <c r="H90" s="17"/>
      <c r="I90" s="17"/>
      <c r="J90" s="17"/>
      <c r="K90" s="10"/>
    </row>
    <row r="91" spans="1:11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</row>
    <row r="92" spans="1:11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</row>
    <row r="93" spans="1:11" x14ac:dyDescent="0.25">
      <c r="A93" s="23"/>
      <c r="B93" s="23"/>
      <c r="C93" s="23"/>
      <c r="D93" s="24"/>
      <c r="E93" s="23"/>
      <c r="F93" s="23"/>
      <c r="G93" s="23"/>
      <c r="H93" s="24"/>
      <c r="I93" s="24"/>
      <c r="J93" s="24"/>
      <c r="K93" s="24"/>
    </row>
    <row r="94" spans="1:11" x14ac:dyDescent="0.25">
      <c r="A94" s="25" t="s">
        <v>19</v>
      </c>
      <c r="B94" s="26"/>
      <c r="C94" s="27">
        <f>G32</f>
        <v>21165.920000000002</v>
      </c>
      <c r="D94" s="24"/>
      <c r="E94" s="135" t="s">
        <v>20</v>
      </c>
      <c r="F94" s="25"/>
      <c r="G94" s="27">
        <f>G73</f>
        <v>0</v>
      </c>
      <c r="H94" s="43"/>
      <c r="I94" s="25" t="s">
        <v>21</v>
      </c>
      <c r="J94" s="25"/>
      <c r="K94" s="239" t="str">
        <f>G89</f>
        <v>-</v>
      </c>
    </row>
    <row r="95" spans="1:11" x14ac:dyDescent="0.25">
      <c r="A95" s="26" t="s">
        <v>22</v>
      </c>
      <c r="B95" s="26"/>
      <c r="C95" s="27">
        <f>G33</f>
        <v>3527.6533333333336</v>
      </c>
      <c r="D95" s="136"/>
      <c r="E95" s="137"/>
      <c r="F95" s="137"/>
      <c r="G95" s="26" t="s">
        <v>12</v>
      </c>
      <c r="H95" s="24"/>
      <c r="I95" s="26" t="s">
        <v>23</v>
      </c>
      <c r="J95" s="26"/>
      <c r="K95" s="240" t="str">
        <f>G90</f>
        <v>-</v>
      </c>
    </row>
    <row r="96" spans="1:11" x14ac:dyDescent="0.25">
      <c r="A96" s="26" t="s">
        <v>24</v>
      </c>
      <c r="B96" s="26"/>
      <c r="C96" s="27">
        <f>J31</f>
        <v>27832.89</v>
      </c>
      <c r="D96" s="136"/>
      <c r="E96" s="137" t="s">
        <v>25</v>
      </c>
      <c r="F96" s="137"/>
      <c r="G96" s="27">
        <f>J71</f>
        <v>17360.82</v>
      </c>
      <c r="H96" s="24"/>
      <c r="I96" s="26" t="s">
        <v>26</v>
      </c>
      <c r="J96" s="26"/>
      <c r="K96" s="240">
        <f>J88</f>
        <v>1065.24</v>
      </c>
    </row>
    <row r="97" spans="1:11" x14ac:dyDescent="0.25">
      <c r="A97" s="26"/>
      <c r="B97" s="26"/>
      <c r="C97" s="27"/>
      <c r="D97" s="136"/>
      <c r="E97" s="137"/>
      <c r="F97" s="137"/>
      <c r="G97" s="27"/>
      <c r="H97" s="24"/>
      <c r="I97" s="26"/>
      <c r="J97" s="26"/>
      <c r="K97" s="31"/>
    </row>
    <row r="98" spans="1:11" x14ac:dyDescent="0.25">
      <c r="A98" s="26"/>
      <c r="B98" s="26"/>
      <c r="C98" s="26"/>
      <c r="D98" s="24"/>
      <c r="E98" s="26"/>
      <c r="F98" s="26"/>
      <c r="G98" s="26"/>
      <c r="H98" s="24"/>
      <c r="I98" s="31"/>
      <c r="J98" s="31"/>
      <c r="K98" s="31"/>
    </row>
    <row r="99" spans="1:11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</row>
    <row r="100" spans="1:11" x14ac:dyDescent="0.25">
      <c r="A100" s="42" t="s">
        <v>27</v>
      </c>
      <c r="B100" s="32"/>
      <c r="C100" s="32"/>
      <c r="D100" s="15"/>
      <c r="E100" s="42" t="s">
        <v>28</v>
      </c>
      <c r="F100" s="32"/>
      <c r="G100" s="32"/>
      <c r="H100" s="15"/>
      <c r="I100" s="58" t="s">
        <v>104</v>
      </c>
      <c r="J100" s="59"/>
      <c r="K100" s="59"/>
    </row>
    <row r="101" spans="1:11" x14ac:dyDescent="0.25">
      <c r="A101" s="33"/>
      <c r="B101" s="33"/>
      <c r="C101" s="34"/>
      <c r="D101" s="15"/>
      <c r="E101" s="10"/>
      <c r="F101" s="10"/>
      <c r="G101" s="10"/>
      <c r="H101" s="17"/>
      <c r="I101" s="60" t="s">
        <v>735</v>
      </c>
      <c r="J101" s="219">
        <v>50000</v>
      </c>
      <c r="K101" s="61">
        <v>45854</v>
      </c>
    </row>
    <row r="102" spans="1:11" x14ac:dyDescent="0.25">
      <c r="A102" s="44" t="s">
        <v>29</v>
      </c>
      <c r="B102" s="44"/>
      <c r="C102" s="222">
        <f>J2</f>
        <v>356522.22</v>
      </c>
      <c r="D102" s="53"/>
      <c r="E102" s="54" t="s">
        <v>30</v>
      </c>
      <c r="F102" s="54"/>
      <c r="G102" s="54"/>
      <c r="H102" s="17"/>
      <c r="I102" s="60" t="s">
        <v>606</v>
      </c>
      <c r="J102" s="219">
        <v>14340</v>
      </c>
      <c r="K102" s="61">
        <v>45854</v>
      </c>
    </row>
    <row r="103" spans="1:11" x14ac:dyDescent="0.25">
      <c r="A103" s="44" t="s">
        <v>31</v>
      </c>
      <c r="B103" s="44"/>
      <c r="C103" s="220">
        <f>C96+G96+K96</f>
        <v>46258.95</v>
      </c>
      <c r="D103" s="53"/>
      <c r="E103" s="54" t="s">
        <v>32</v>
      </c>
      <c r="F103" s="54"/>
      <c r="G103" s="55">
        <f>G34</f>
        <v>0</v>
      </c>
      <c r="H103" s="35"/>
      <c r="I103" s="60" t="s">
        <v>153</v>
      </c>
      <c r="J103" s="219">
        <v>3650</v>
      </c>
      <c r="K103" s="61">
        <v>45860</v>
      </c>
    </row>
    <row r="104" spans="1:11" x14ac:dyDescent="0.25">
      <c r="A104" s="63" t="s">
        <v>109</v>
      </c>
      <c r="B104" s="139"/>
      <c r="C104" s="221">
        <f>J114</f>
        <v>105360</v>
      </c>
      <c r="D104" s="53"/>
      <c r="E104" s="54" t="s">
        <v>33</v>
      </c>
      <c r="F104" s="54"/>
      <c r="G104" s="55">
        <f>G72</f>
        <v>61076.32</v>
      </c>
      <c r="H104" s="36"/>
      <c r="I104" s="60" t="s">
        <v>623</v>
      </c>
      <c r="J104" s="219">
        <v>9760</v>
      </c>
      <c r="K104" s="61">
        <v>45864</v>
      </c>
    </row>
    <row r="105" spans="1:11" x14ac:dyDescent="0.25">
      <c r="A105" s="138" t="s">
        <v>472</v>
      </c>
      <c r="B105" s="138"/>
      <c r="C105" s="138"/>
      <c r="D105" s="53"/>
      <c r="E105" s="50" t="s">
        <v>740</v>
      </c>
      <c r="F105" s="51"/>
      <c r="G105" s="55">
        <v>7397.7</v>
      </c>
      <c r="H105" s="36"/>
      <c r="I105" s="60" t="s">
        <v>292</v>
      </c>
      <c r="J105" s="219">
        <v>19160</v>
      </c>
      <c r="K105" s="61">
        <v>45868</v>
      </c>
    </row>
    <row r="106" spans="1:11" x14ac:dyDescent="0.25">
      <c r="A106" s="138" t="s">
        <v>13</v>
      </c>
      <c r="B106" s="138"/>
      <c r="C106" s="139">
        <f>C102+C103+C104</f>
        <v>508141.17</v>
      </c>
      <c r="D106" s="53"/>
      <c r="E106" s="50" t="s">
        <v>741</v>
      </c>
      <c r="F106" s="56"/>
      <c r="G106" s="57">
        <v>43.43</v>
      </c>
      <c r="H106" s="17"/>
      <c r="I106" s="60" t="s">
        <v>818</v>
      </c>
      <c r="J106" s="219">
        <v>8450</v>
      </c>
      <c r="K106" s="61">
        <v>45869</v>
      </c>
    </row>
    <row r="107" spans="1:11" x14ac:dyDescent="0.25">
      <c r="A107" s="15"/>
      <c r="B107" s="15"/>
      <c r="C107" s="15"/>
      <c r="D107" s="53"/>
      <c r="E107" s="50" t="s">
        <v>742</v>
      </c>
      <c r="F107" s="51"/>
      <c r="G107" s="55">
        <v>5694.99</v>
      </c>
      <c r="H107" s="17"/>
      <c r="I107" s="60"/>
      <c r="J107" s="219"/>
      <c r="K107" s="61"/>
    </row>
    <row r="108" spans="1:11" x14ac:dyDescent="0.25">
      <c r="A108" s="15"/>
      <c r="B108" s="15"/>
      <c r="C108" s="15"/>
      <c r="D108" s="53"/>
      <c r="E108" s="50" t="s">
        <v>743</v>
      </c>
      <c r="F108" s="56"/>
      <c r="G108" s="51">
        <v>4524.8999999999996</v>
      </c>
      <c r="H108" s="17"/>
      <c r="I108" s="60"/>
      <c r="J108" s="219"/>
      <c r="K108" s="61"/>
    </row>
    <row r="109" spans="1:11" x14ac:dyDescent="0.25">
      <c r="A109" s="15"/>
      <c r="B109" s="15"/>
      <c r="C109" s="15"/>
      <c r="D109" s="53"/>
      <c r="E109" s="50" t="s">
        <v>744</v>
      </c>
      <c r="F109" s="51"/>
      <c r="G109" s="55">
        <v>10454.209999999999</v>
      </c>
      <c r="H109" s="17"/>
      <c r="I109" s="60"/>
      <c r="J109" s="219"/>
      <c r="K109" s="61"/>
    </row>
    <row r="110" spans="1:11" x14ac:dyDescent="0.25">
      <c r="A110" s="15"/>
      <c r="B110" s="15"/>
      <c r="C110" s="15"/>
      <c r="D110" s="53"/>
      <c r="E110" s="50" t="s">
        <v>745</v>
      </c>
      <c r="F110" s="56"/>
      <c r="G110" s="51">
        <v>1243.9000000000001</v>
      </c>
      <c r="H110" s="17"/>
      <c r="I110" s="60"/>
      <c r="J110" s="219"/>
      <c r="K110" s="61"/>
    </row>
    <row r="111" spans="1:11" x14ac:dyDescent="0.25">
      <c r="A111" s="15"/>
      <c r="B111" s="15"/>
      <c r="C111" s="15"/>
      <c r="D111" s="53"/>
      <c r="E111" s="50" t="s">
        <v>746</v>
      </c>
      <c r="F111" s="51"/>
      <c r="G111" s="55">
        <v>77.5</v>
      </c>
      <c r="H111" s="17"/>
      <c r="I111" s="60"/>
      <c r="J111" s="219"/>
      <c r="K111" s="60"/>
    </row>
    <row r="112" spans="1:11" x14ac:dyDescent="0.25">
      <c r="A112" s="15"/>
      <c r="B112" s="15"/>
      <c r="C112" s="15"/>
      <c r="D112" s="53"/>
      <c r="E112" s="50" t="s">
        <v>747</v>
      </c>
      <c r="F112" s="56"/>
      <c r="G112" s="185" t="s">
        <v>12</v>
      </c>
      <c r="H112" s="17"/>
      <c r="I112" s="59"/>
      <c r="J112" s="224"/>
      <c r="K112" s="59"/>
    </row>
    <row r="113" spans="1:11" x14ac:dyDescent="0.25">
      <c r="A113" s="15"/>
      <c r="B113" s="15"/>
      <c r="C113" s="15"/>
      <c r="D113" s="140"/>
      <c r="E113" s="50" t="s">
        <v>748</v>
      </c>
      <c r="F113" s="51"/>
      <c r="G113" s="55">
        <v>7964.08</v>
      </c>
      <c r="H113" s="17"/>
      <c r="I113" s="59"/>
      <c r="J113" s="59"/>
      <c r="K113" s="59"/>
    </row>
    <row r="114" spans="1:11" x14ac:dyDescent="0.25">
      <c r="A114" s="15"/>
      <c r="B114" s="15"/>
      <c r="C114" s="15"/>
      <c r="D114" s="140"/>
      <c r="E114" s="50" t="s">
        <v>749</v>
      </c>
      <c r="F114" s="56"/>
      <c r="G114" s="51">
        <v>13425.5</v>
      </c>
      <c r="H114" s="17"/>
      <c r="I114" s="58" t="s">
        <v>13</v>
      </c>
      <c r="J114" s="218">
        <f>J101+J102+J103+J104+J105+J106</f>
        <v>105360</v>
      </c>
      <c r="K114" s="58"/>
    </row>
    <row r="115" spans="1:11" x14ac:dyDescent="0.25">
      <c r="A115" s="15"/>
      <c r="B115" s="15"/>
      <c r="C115" s="15"/>
      <c r="D115" s="140"/>
      <c r="E115" s="50" t="s">
        <v>738</v>
      </c>
      <c r="F115" s="51"/>
      <c r="G115" s="51">
        <f>G33</f>
        <v>3527.6533333333336</v>
      </c>
      <c r="H115" s="17"/>
      <c r="I115" s="58"/>
      <c r="J115" s="58"/>
      <c r="K115" s="58"/>
    </row>
    <row r="116" spans="1:11" x14ac:dyDescent="0.25">
      <c r="A116" s="15"/>
      <c r="B116" s="15"/>
      <c r="C116" s="15"/>
      <c r="D116" s="140"/>
      <c r="E116" s="50" t="s">
        <v>739</v>
      </c>
      <c r="F116" s="56"/>
      <c r="G116" s="51" t="s">
        <v>12</v>
      </c>
      <c r="H116" s="17"/>
      <c r="I116" s="58"/>
      <c r="J116" s="58"/>
      <c r="K116" s="58"/>
    </row>
    <row r="117" spans="1:11" x14ac:dyDescent="0.25">
      <c r="A117" s="15"/>
      <c r="B117" s="15"/>
      <c r="C117" s="15"/>
      <c r="D117" s="140"/>
      <c r="E117" s="170"/>
      <c r="F117" s="170"/>
      <c r="G117" s="170"/>
      <c r="H117" s="17"/>
      <c r="I117" s="15"/>
      <c r="J117" s="15"/>
      <c r="K117" s="15"/>
    </row>
    <row r="118" spans="1:11" x14ac:dyDescent="0.25">
      <c r="A118" s="15"/>
      <c r="B118" s="15"/>
      <c r="C118" s="15"/>
      <c r="D118" s="53"/>
      <c r="E118" s="44" t="s">
        <v>13</v>
      </c>
      <c r="F118" s="56"/>
      <c r="G118" s="57">
        <f>SUM(G104:G114)</f>
        <v>111902.52999999998</v>
      </c>
      <c r="H118" s="38"/>
      <c r="I118" s="15"/>
      <c r="J118" s="15"/>
      <c r="K118" s="15"/>
    </row>
    <row r="119" spans="1:11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</row>
    <row r="120" spans="1:11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</row>
    <row r="121" spans="1:11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</row>
    <row r="122" spans="1:11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</row>
    <row r="123" spans="1:11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</row>
    <row r="124" spans="1:11" x14ac:dyDescent="0.25">
      <c r="A124" s="15"/>
      <c r="B124" s="15"/>
      <c r="C124" s="15"/>
      <c r="D124" s="15"/>
      <c r="E124" s="15"/>
      <c r="F124" s="217"/>
      <c r="G124" s="15"/>
      <c r="H124" s="15"/>
      <c r="I124" s="15"/>
      <c r="J124" s="15"/>
      <c r="K124" s="15"/>
    </row>
    <row r="125" spans="1:11" x14ac:dyDescent="0.25">
      <c r="A125" s="15"/>
      <c r="B125" s="15"/>
      <c r="C125" s="39" t="s">
        <v>239</v>
      </c>
      <c r="D125" s="39"/>
      <c r="E125" s="40"/>
      <c r="F125" s="134">
        <f>C106-G118</f>
        <v>396238.64</v>
      </c>
      <c r="G125" s="15"/>
      <c r="H125" s="15"/>
      <c r="I125" s="15"/>
      <c r="J125" s="15"/>
      <c r="K125" s="15"/>
    </row>
    <row r="126" spans="1:11" x14ac:dyDescent="0.25">
      <c r="A126" s="15"/>
      <c r="B126" s="37"/>
      <c r="C126" s="72" t="s">
        <v>732</v>
      </c>
      <c r="D126" s="72"/>
      <c r="E126" s="72"/>
      <c r="F126" s="216">
        <v>100000</v>
      </c>
      <c r="G126" s="15"/>
      <c r="H126" s="15"/>
      <c r="I126" s="15"/>
      <c r="J126" s="15"/>
      <c r="K126" s="15"/>
    </row>
    <row r="127" spans="1:11" x14ac:dyDescent="0.25">
      <c r="A127" s="88"/>
      <c r="B127" s="88"/>
      <c r="C127" s="88"/>
      <c r="D127" s="88"/>
      <c r="E127" s="88"/>
      <c r="F127" s="217"/>
      <c r="G127" s="88"/>
      <c r="H127" s="88"/>
      <c r="I127" s="88"/>
      <c r="J127" s="88"/>
      <c r="K127" s="88"/>
    </row>
    <row r="128" spans="1:11" x14ac:dyDescent="0.25">
      <c r="A128" s="88"/>
      <c r="B128" s="88"/>
      <c r="C128" s="88"/>
      <c r="D128" s="72" t="s">
        <v>35</v>
      </c>
      <c r="E128" s="72"/>
      <c r="F128" s="206">
        <f>F125-F126</f>
        <v>296238.64</v>
      </c>
      <c r="G128" s="88"/>
      <c r="H128" s="88"/>
      <c r="I128" s="88"/>
      <c r="J128" s="88"/>
      <c r="K128" s="88"/>
    </row>
    <row r="129" spans="1:11" x14ac:dyDescent="0.25">
      <c r="A129" s="88"/>
      <c r="B129" s="88"/>
      <c r="C129" s="88"/>
      <c r="D129" s="72"/>
      <c r="E129" s="72"/>
      <c r="F129" s="72"/>
      <c r="G129" s="88"/>
      <c r="H129" s="88"/>
      <c r="I129" s="88"/>
      <c r="J129" s="88"/>
      <c r="K129" s="88"/>
    </row>
    <row r="130" spans="1:11" x14ac:dyDescent="0.25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</row>
  </sheetData>
  <conditionalFormatting sqref="E1">
    <cfRule type="cellIs" dxfId="41" priority="11" operator="equal">
      <formula>"K.KART"</formula>
    </cfRule>
    <cfRule type="cellIs" dxfId="40" priority="12" operator="equal">
      <formula>"AÇIK"</formula>
    </cfRule>
  </conditionalFormatting>
  <conditionalFormatting sqref="E3:E72">
    <cfRule type="cellIs" dxfId="39" priority="1" operator="equal">
      <formula>"K.KART"</formula>
    </cfRule>
    <cfRule type="cellIs" dxfId="38" priority="2" operator="equal">
      <formula>"AÇIK"</formula>
    </cfRule>
  </conditionalFormatting>
  <conditionalFormatting sqref="E74:E90">
    <cfRule type="cellIs" dxfId="37" priority="9" operator="equal">
      <formula>"K.KART"</formula>
    </cfRule>
    <cfRule type="cellIs" dxfId="36" priority="10" operator="equal">
      <formula>"AÇIK"</formula>
    </cfRule>
  </conditionalFormatting>
  <conditionalFormatting sqref="F5">
    <cfRule type="cellIs" dxfId="35" priority="5" operator="equal">
      <formula>"K.KART"</formula>
    </cfRule>
    <cfRule type="cellIs" dxfId="34" priority="6" operator="equal">
      <formula>"AÇIK"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50B0-BF04-44B9-8854-1CA1C3BDD8A6}">
  <dimension ref="A1:K191"/>
  <sheetViews>
    <sheetView topLeftCell="A97" workbookViewId="0">
      <selection activeCell="E122" sqref="E122"/>
    </sheetView>
  </sheetViews>
  <sheetFormatPr defaultRowHeight="15" x14ac:dyDescent="0.25"/>
  <cols>
    <col min="1" max="1" width="26.5703125" customWidth="1"/>
    <col min="2" max="2" width="13.42578125" customWidth="1"/>
    <col min="3" max="3" width="12.140625" customWidth="1"/>
    <col min="4" max="4" width="15" customWidth="1"/>
    <col min="5" max="5" width="12.42578125" customWidth="1"/>
    <col min="6" max="6" width="26" customWidth="1"/>
    <col min="7" max="7" width="14.5703125" customWidth="1"/>
    <col min="8" max="8" width="16.140625" customWidth="1"/>
    <col min="9" max="9" width="18.28515625" customWidth="1"/>
    <col min="10" max="10" width="19" customWidth="1"/>
    <col min="11" max="11" width="16.7109375" style="88" customWidth="1"/>
  </cols>
  <sheetData>
    <row r="1" spans="1:11" x14ac:dyDescent="0.25">
      <c r="A1" s="186" t="s">
        <v>691</v>
      </c>
      <c r="B1" s="72"/>
      <c r="C1" s="187"/>
      <c r="D1" s="72"/>
      <c r="E1" s="188"/>
      <c r="F1" s="188"/>
      <c r="G1" s="114"/>
      <c r="H1" s="114"/>
      <c r="I1" s="114"/>
      <c r="J1" s="225"/>
      <c r="K1" s="72"/>
    </row>
    <row r="2" spans="1:11" x14ac:dyDescent="0.25">
      <c r="A2" s="189" t="s">
        <v>0</v>
      </c>
      <c r="B2" s="189"/>
      <c r="C2" s="189"/>
      <c r="D2" s="189"/>
      <c r="E2" s="189"/>
      <c r="F2" s="189"/>
      <c r="G2" s="189"/>
      <c r="H2" s="189"/>
      <c r="I2" s="189"/>
      <c r="J2" s="210">
        <v>296238.64</v>
      </c>
      <c r="K2" s="189"/>
    </row>
    <row r="3" spans="1:11" x14ac:dyDescent="0.25">
      <c r="A3" s="190" t="s">
        <v>1</v>
      </c>
      <c r="B3" s="190" t="s">
        <v>2</v>
      </c>
      <c r="C3" s="191" t="s">
        <v>3</v>
      </c>
      <c r="D3" s="190" t="s">
        <v>4</v>
      </c>
      <c r="E3" s="190" t="s">
        <v>5</v>
      </c>
      <c r="F3" s="190" t="s">
        <v>6</v>
      </c>
      <c r="G3" s="192" t="s">
        <v>7</v>
      </c>
      <c r="H3" s="192" t="s">
        <v>8</v>
      </c>
      <c r="I3" s="192" t="s">
        <v>9</v>
      </c>
      <c r="J3" s="226" t="s">
        <v>10</v>
      </c>
      <c r="K3" s="190" t="s">
        <v>11</v>
      </c>
    </row>
    <row r="4" spans="1:11" x14ac:dyDescent="0.25">
      <c r="A4" s="37" t="s">
        <v>656</v>
      </c>
      <c r="B4" s="37">
        <v>581599502</v>
      </c>
      <c r="C4" s="193">
        <v>45842</v>
      </c>
      <c r="D4" s="37" t="s">
        <v>657</v>
      </c>
      <c r="E4" s="37" t="s">
        <v>41</v>
      </c>
      <c r="F4" s="37" t="s">
        <v>12</v>
      </c>
      <c r="G4" s="194">
        <v>9899.77</v>
      </c>
      <c r="H4" s="35">
        <v>9428.35</v>
      </c>
      <c r="I4" s="35">
        <v>1414.2</v>
      </c>
      <c r="J4" s="227">
        <f t="shared" ref="J4:J26" si="0">I4*K4</f>
        <v>848.52</v>
      </c>
      <c r="K4" s="195">
        <v>0.6</v>
      </c>
    </row>
    <row r="5" spans="1:11" x14ac:dyDescent="0.25">
      <c r="A5" s="197" t="s">
        <v>692</v>
      </c>
      <c r="B5" s="37">
        <v>582752156</v>
      </c>
      <c r="C5" s="193">
        <v>45839</v>
      </c>
      <c r="D5" s="37" t="s">
        <v>693</v>
      </c>
      <c r="E5" s="37" t="s">
        <v>38</v>
      </c>
      <c r="F5" s="37" t="s">
        <v>57</v>
      </c>
      <c r="G5" s="35">
        <v>12971.2</v>
      </c>
      <c r="H5" s="35">
        <v>12353.51</v>
      </c>
      <c r="I5" s="35">
        <v>1852.95</v>
      </c>
      <c r="J5" s="227">
        <f t="shared" si="0"/>
        <v>1111.77</v>
      </c>
      <c r="K5" s="195">
        <v>0.6</v>
      </c>
    </row>
    <row r="6" spans="1:11" x14ac:dyDescent="0.25">
      <c r="A6" s="37" t="s">
        <v>699</v>
      </c>
      <c r="B6" s="37">
        <v>585929419</v>
      </c>
      <c r="C6" s="193">
        <v>45847</v>
      </c>
      <c r="D6" s="196" t="s">
        <v>700</v>
      </c>
      <c r="E6" s="37" t="s">
        <v>38</v>
      </c>
      <c r="F6" s="37" t="s">
        <v>367</v>
      </c>
      <c r="G6" s="35">
        <v>10971.85</v>
      </c>
      <c r="H6" s="35">
        <v>10449.379999999999</v>
      </c>
      <c r="I6" s="35">
        <v>1567.5</v>
      </c>
      <c r="J6" s="227">
        <f t="shared" si="0"/>
        <v>940.5</v>
      </c>
      <c r="K6" s="195">
        <v>0.6</v>
      </c>
    </row>
    <row r="7" spans="1:11" x14ac:dyDescent="0.25">
      <c r="A7" s="37" t="s">
        <v>701</v>
      </c>
      <c r="B7" s="37">
        <v>586911003</v>
      </c>
      <c r="C7" s="193">
        <v>45858</v>
      </c>
      <c r="D7" s="196" t="s">
        <v>702</v>
      </c>
      <c r="E7" s="37" t="s">
        <v>38</v>
      </c>
      <c r="F7" s="37" t="s">
        <v>703</v>
      </c>
      <c r="G7" s="35">
        <v>11417.17</v>
      </c>
      <c r="H7" s="35">
        <v>10873.49</v>
      </c>
      <c r="I7" s="35">
        <v>1630.95</v>
      </c>
      <c r="J7" s="227">
        <f t="shared" si="0"/>
        <v>978.56999999999994</v>
      </c>
      <c r="K7" s="195">
        <v>0.6</v>
      </c>
    </row>
    <row r="8" spans="1:11" x14ac:dyDescent="0.25">
      <c r="A8" s="37" t="s">
        <v>704</v>
      </c>
      <c r="B8" s="37">
        <v>584467874</v>
      </c>
      <c r="C8" s="193">
        <v>45850</v>
      </c>
      <c r="D8" s="37" t="s">
        <v>705</v>
      </c>
      <c r="E8" s="37" t="s">
        <v>38</v>
      </c>
      <c r="F8" s="37" t="s">
        <v>704</v>
      </c>
      <c r="G8" s="35">
        <v>12294</v>
      </c>
      <c r="H8" s="35">
        <v>11708.56</v>
      </c>
      <c r="I8" s="35">
        <v>1756.2</v>
      </c>
      <c r="J8" s="227">
        <f t="shared" si="0"/>
        <v>1053.72</v>
      </c>
      <c r="K8" s="195">
        <v>0.6</v>
      </c>
    </row>
    <row r="9" spans="1:11" x14ac:dyDescent="0.25">
      <c r="A9" s="37" t="s">
        <v>706</v>
      </c>
      <c r="B9" s="37">
        <v>586894004</v>
      </c>
      <c r="C9" s="193">
        <v>45850</v>
      </c>
      <c r="D9" s="37" t="s">
        <v>707</v>
      </c>
      <c r="E9" s="37" t="s">
        <v>38</v>
      </c>
      <c r="F9" s="37" t="s">
        <v>708</v>
      </c>
      <c r="G9" s="35">
        <v>12828.95</v>
      </c>
      <c r="H9" s="35">
        <v>12218.03</v>
      </c>
      <c r="I9" s="35">
        <v>1832.7</v>
      </c>
      <c r="J9" s="227">
        <f t="shared" si="0"/>
        <v>1099.6199999999999</v>
      </c>
      <c r="K9" s="195">
        <v>0.6</v>
      </c>
    </row>
    <row r="10" spans="1:11" x14ac:dyDescent="0.25">
      <c r="A10" s="197" t="s">
        <v>709</v>
      </c>
      <c r="B10" s="37">
        <v>586981748</v>
      </c>
      <c r="C10" s="193">
        <v>45849</v>
      </c>
      <c r="D10" s="37" t="s">
        <v>710</v>
      </c>
      <c r="E10" s="37" t="s">
        <v>38</v>
      </c>
      <c r="F10" s="37" t="s">
        <v>57</v>
      </c>
      <c r="G10" s="35">
        <v>14711.23</v>
      </c>
      <c r="H10" s="35">
        <v>14010.7</v>
      </c>
      <c r="I10" s="35">
        <v>2101.5</v>
      </c>
      <c r="J10" s="227">
        <f t="shared" si="0"/>
        <v>1260.8999999999999</v>
      </c>
      <c r="K10" s="195">
        <v>0.6</v>
      </c>
    </row>
    <row r="11" spans="1:11" x14ac:dyDescent="0.25">
      <c r="A11" s="37" t="s">
        <v>93</v>
      </c>
      <c r="B11" s="37">
        <v>588113282</v>
      </c>
      <c r="C11" s="193">
        <v>45863</v>
      </c>
      <c r="D11" s="37" t="s">
        <v>719</v>
      </c>
      <c r="E11" s="37" t="s">
        <v>41</v>
      </c>
      <c r="F11" s="197" t="s">
        <v>12</v>
      </c>
      <c r="G11" s="35">
        <v>16207.95</v>
      </c>
      <c r="H11" s="35">
        <v>15436.14</v>
      </c>
      <c r="I11" s="35">
        <v>2315.4</v>
      </c>
      <c r="J11" s="227">
        <f t="shared" si="0"/>
        <v>1389.24</v>
      </c>
      <c r="K11" s="195">
        <v>0.6</v>
      </c>
    </row>
    <row r="12" spans="1:11" x14ac:dyDescent="0.25">
      <c r="A12" s="37" t="s">
        <v>723</v>
      </c>
      <c r="B12" s="37">
        <v>587041819</v>
      </c>
      <c r="C12" s="193">
        <v>45858</v>
      </c>
      <c r="D12" s="37" t="s">
        <v>724</v>
      </c>
      <c r="E12" s="37" t="s">
        <v>38</v>
      </c>
      <c r="F12" s="197" t="s">
        <v>725</v>
      </c>
      <c r="G12" s="35">
        <v>12584.76</v>
      </c>
      <c r="H12" s="35">
        <v>11985.49</v>
      </c>
      <c r="I12" s="35">
        <v>1797.75</v>
      </c>
      <c r="J12" s="227">
        <f t="shared" si="0"/>
        <v>1078.6499999999999</v>
      </c>
      <c r="K12" s="195">
        <v>0.6</v>
      </c>
    </row>
    <row r="13" spans="1:11" x14ac:dyDescent="0.25">
      <c r="A13" s="10" t="s">
        <v>727</v>
      </c>
      <c r="B13" s="10">
        <v>588589732</v>
      </c>
      <c r="C13" s="9">
        <v>45868</v>
      </c>
      <c r="D13" s="10" t="s">
        <v>729</v>
      </c>
      <c r="E13" s="10" t="s">
        <v>41</v>
      </c>
      <c r="F13" s="11" t="s">
        <v>12</v>
      </c>
      <c r="G13" s="17">
        <v>11753.27</v>
      </c>
      <c r="H13" s="17">
        <v>11193.59</v>
      </c>
      <c r="I13" s="35">
        <v>1679.03</v>
      </c>
      <c r="J13" s="227">
        <f t="shared" si="0"/>
        <v>1007.4179999999999</v>
      </c>
      <c r="K13" s="195">
        <v>0.6</v>
      </c>
    </row>
    <row r="14" spans="1:11" x14ac:dyDescent="0.25">
      <c r="A14" s="37" t="s">
        <v>730</v>
      </c>
      <c r="B14" s="37">
        <v>588585519</v>
      </c>
      <c r="C14" s="193">
        <v>45867</v>
      </c>
      <c r="D14" s="37" t="s">
        <v>731</v>
      </c>
      <c r="E14" s="37" t="s">
        <v>38</v>
      </c>
      <c r="F14" s="37" t="s">
        <v>758</v>
      </c>
      <c r="G14" s="35">
        <v>15678.76</v>
      </c>
      <c r="H14" s="35">
        <v>14932.16</v>
      </c>
      <c r="I14" s="35">
        <v>2239.83</v>
      </c>
      <c r="J14" s="227">
        <f t="shared" si="0"/>
        <v>1343.8979999999999</v>
      </c>
      <c r="K14" s="195">
        <v>0.6</v>
      </c>
    </row>
    <row r="15" spans="1:11" x14ac:dyDescent="0.25">
      <c r="A15" s="37" t="s">
        <v>706</v>
      </c>
      <c r="B15" s="37">
        <v>586894004</v>
      </c>
      <c r="C15" s="193">
        <v>45850</v>
      </c>
      <c r="D15" s="37" t="s">
        <v>707</v>
      </c>
      <c r="E15" s="37" t="s">
        <v>38</v>
      </c>
      <c r="F15" s="244" t="s">
        <v>714</v>
      </c>
      <c r="G15" s="35">
        <v>641.03</v>
      </c>
      <c r="H15" s="35">
        <v>610.5</v>
      </c>
      <c r="I15" s="35">
        <v>91.5</v>
      </c>
      <c r="J15" s="227">
        <f t="shared" ref="J15" si="1">I15*K15</f>
        <v>54.9</v>
      </c>
      <c r="K15" s="195">
        <v>0.6</v>
      </c>
    </row>
    <row r="16" spans="1:11" x14ac:dyDescent="0.25">
      <c r="A16" s="37" t="s">
        <v>397</v>
      </c>
      <c r="B16" s="37">
        <v>565343938</v>
      </c>
      <c r="C16" s="193">
        <v>45841</v>
      </c>
      <c r="D16" s="37" t="s">
        <v>398</v>
      </c>
      <c r="E16" s="37" t="s">
        <v>41</v>
      </c>
      <c r="F16" s="244" t="s">
        <v>714</v>
      </c>
      <c r="G16" s="35">
        <v>842.49</v>
      </c>
      <c r="H16" s="35">
        <v>802.37</v>
      </c>
      <c r="I16" s="35">
        <v>120.35</v>
      </c>
      <c r="J16" s="227">
        <f t="shared" si="0"/>
        <v>72.209999999999994</v>
      </c>
      <c r="K16" s="195">
        <v>0.6</v>
      </c>
    </row>
    <row r="17" spans="1:11" x14ac:dyDescent="0.25">
      <c r="A17" s="245" t="s">
        <v>381</v>
      </c>
      <c r="B17" s="245">
        <v>561349586</v>
      </c>
      <c r="C17" s="246">
        <v>45862</v>
      </c>
      <c r="D17" s="245" t="s">
        <v>687</v>
      </c>
      <c r="E17" s="245" t="s">
        <v>38</v>
      </c>
      <c r="F17" s="147" t="s">
        <v>419</v>
      </c>
      <c r="G17" s="247">
        <v>19435.88</v>
      </c>
      <c r="H17" s="247">
        <v>18510.37</v>
      </c>
      <c r="I17" s="159">
        <v>-2776.57</v>
      </c>
      <c r="J17" s="146">
        <f t="shared" ref="J17:J18" si="2">I17*K17</f>
        <v>-1665.942</v>
      </c>
      <c r="K17" s="172">
        <v>0.6</v>
      </c>
    </row>
    <row r="18" spans="1:11" x14ac:dyDescent="0.25">
      <c r="A18" s="245" t="s">
        <v>572</v>
      </c>
      <c r="B18" s="245">
        <v>574018333</v>
      </c>
      <c r="C18" s="246">
        <v>45860</v>
      </c>
      <c r="D18" s="245" t="s">
        <v>573</v>
      </c>
      <c r="E18" s="245" t="s">
        <v>38</v>
      </c>
      <c r="F18" s="147" t="s">
        <v>419</v>
      </c>
      <c r="G18" s="247">
        <v>14093.92</v>
      </c>
      <c r="H18" s="247">
        <v>13422.78</v>
      </c>
      <c r="I18" s="159">
        <v>-2013.43</v>
      </c>
      <c r="J18" s="146">
        <f t="shared" si="2"/>
        <v>-1208.058</v>
      </c>
      <c r="K18" s="172">
        <v>0.6</v>
      </c>
    </row>
    <row r="19" spans="1:11" x14ac:dyDescent="0.25">
      <c r="A19" s="144" t="s">
        <v>48</v>
      </c>
      <c r="B19" s="144">
        <v>454135720</v>
      </c>
      <c r="C19" s="145">
        <v>45855</v>
      </c>
      <c r="D19" s="144" t="s">
        <v>841</v>
      </c>
      <c r="E19" s="144" t="s">
        <v>41</v>
      </c>
      <c r="F19" s="147" t="s">
        <v>419</v>
      </c>
      <c r="G19" s="146">
        <v>7483.16</v>
      </c>
      <c r="H19" s="146">
        <v>7126.81</v>
      </c>
      <c r="I19" s="159">
        <v>-1049.3699999999999</v>
      </c>
      <c r="J19" s="146">
        <f t="shared" si="0"/>
        <v>-629.62199999999996</v>
      </c>
      <c r="K19" s="172">
        <v>0.6</v>
      </c>
    </row>
    <row r="20" spans="1:11" x14ac:dyDescent="0.25">
      <c r="A20" s="144" t="s">
        <v>139</v>
      </c>
      <c r="B20" s="144">
        <v>529846939</v>
      </c>
      <c r="C20" s="145">
        <v>45863</v>
      </c>
      <c r="D20" s="144" t="s">
        <v>140</v>
      </c>
      <c r="E20" s="144" t="s">
        <v>41</v>
      </c>
      <c r="F20" s="147" t="s">
        <v>419</v>
      </c>
      <c r="G20" s="146">
        <v>6110.84</v>
      </c>
      <c r="H20" s="146">
        <v>5819.85</v>
      </c>
      <c r="I20" s="159">
        <v>-872.97</v>
      </c>
      <c r="J20" s="146">
        <f t="shared" ref="J20" si="3">I20*K20</f>
        <v>-523.78200000000004</v>
      </c>
      <c r="K20" s="172">
        <v>0.6</v>
      </c>
    </row>
    <row r="21" spans="1:11" x14ac:dyDescent="0.25">
      <c r="A21" s="37"/>
      <c r="B21" s="37"/>
      <c r="C21" s="193"/>
      <c r="D21" s="37"/>
      <c r="E21" s="37"/>
      <c r="F21" s="197"/>
      <c r="G21" s="35"/>
      <c r="H21" s="35"/>
      <c r="I21" s="35"/>
      <c r="J21" s="227">
        <f t="shared" si="0"/>
        <v>0</v>
      </c>
      <c r="K21" s="195">
        <v>0.6</v>
      </c>
    </row>
    <row r="22" spans="1:11" x14ac:dyDescent="0.25">
      <c r="A22" s="37"/>
      <c r="B22" s="37"/>
      <c r="C22" s="193"/>
      <c r="D22" s="37"/>
      <c r="E22" s="37"/>
      <c r="F22" s="197"/>
      <c r="G22" s="35"/>
      <c r="H22" s="35"/>
      <c r="I22" s="35"/>
      <c r="J22" s="227">
        <f t="shared" si="0"/>
        <v>0</v>
      </c>
      <c r="K22" s="195">
        <v>0.6</v>
      </c>
    </row>
    <row r="23" spans="1:11" x14ac:dyDescent="0.25">
      <c r="A23" s="37"/>
      <c r="B23" s="37"/>
      <c r="C23" s="193"/>
      <c r="D23" s="37"/>
      <c r="E23" s="37"/>
      <c r="F23" s="197"/>
      <c r="G23" s="35"/>
      <c r="H23" s="35"/>
      <c r="I23" s="35"/>
      <c r="J23" s="227">
        <f t="shared" si="0"/>
        <v>0</v>
      </c>
      <c r="K23" s="195">
        <v>0.6</v>
      </c>
    </row>
    <row r="24" spans="1:11" x14ac:dyDescent="0.25">
      <c r="A24" s="37"/>
      <c r="B24" s="37"/>
      <c r="C24" s="193"/>
      <c r="D24" s="37"/>
      <c r="E24" s="37"/>
      <c r="F24" s="197"/>
      <c r="G24" s="35"/>
      <c r="H24" s="35"/>
      <c r="I24" s="35"/>
      <c r="J24" s="227">
        <f t="shared" si="0"/>
        <v>0</v>
      </c>
      <c r="K24" s="195">
        <v>0.6</v>
      </c>
    </row>
    <row r="25" spans="1:11" x14ac:dyDescent="0.25">
      <c r="A25" s="37"/>
      <c r="B25" s="37"/>
      <c r="C25" s="193"/>
      <c r="D25" s="37"/>
      <c r="E25" s="37"/>
      <c r="F25" s="197"/>
      <c r="G25" s="35"/>
      <c r="H25" s="35"/>
      <c r="I25" s="35"/>
      <c r="J25" s="227">
        <f t="shared" si="0"/>
        <v>0</v>
      </c>
      <c r="K25" s="195">
        <v>0.6</v>
      </c>
    </row>
    <row r="26" spans="1:11" x14ac:dyDescent="0.25">
      <c r="A26" s="37"/>
      <c r="B26" s="37"/>
      <c r="C26" s="193"/>
      <c r="D26" s="37"/>
      <c r="E26" s="37"/>
      <c r="F26" s="197"/>
      <c r="G26" s="35"/>
      <c r="H26" s="35"/>
      <c r="I26" s="35"/>
      <c r="J26" s="227">
        <f t="shared" si="0"/>
        <v>0</v>
      </c>
      <c r="K26" s="195">
        <v>0.6</v>
      </c>
    </row>
    <row r="27" spans="1:11" x14ac:dyDescent="0.25">
      <c r="A27" s="37"/>
      <c r="B27" s="37"/>
      <c r="C27" s="193"/>
      <c r="D27" s="37"/>
      <c r="E27" s="37"/>
      <c r="F27" s="197"/>
      <c r="G27" s="35"/>
      <c r="H27" s="35"/>
      <c r="I27" s="35"/>
      <c r="J27" s="227"/>
      <c r="K27" s="195"/>
    </row>
    <row r="28" spans="1:11" x14ac:dyDescent="0.25">
      <c r="A28" s="37"/>
      <c r="B28" s="37"/>
      <c r="C28" s="193"/>
      <c r="D28" s="37"/>
      <c r="E28" s="37"/>
      <c r="F28" s="197"/>
      <c r="G28" s="35"/>
      <c r="H28" s="35"/>
      <c r="I28" s="35"/>
      <c r="J28" s="227"/>
      <c r="K28" s="195"/>
    </row>
    <row r="29" spans="1:11" x14ac:dyDescent="0.25">
      <c r="A29" s="37"/>
      <c r="B29" s="37"/>
      <c r="C29" s="193"/>
      <c r="D29" s="37"/>
      <c r="E29" s="37"/>
      <c r="F29" s="197"/>
      <c r="G29" s="35"/>
      <c r="H29" s="35"/>
      <c r="I29" s="35"/>
      <c r="J29" s="227"/>
      <c r="K29" s="195"/>
    </row>
    <row r="30" spans="1:11" x14ac:dyDescent="0.25">
      <c r="A30" s="37"/>
      <c r="B30" s="37"/>
      <c r="C30" s="193"/>
      <c r="D30" s="37"/>
      <c r="E30" s="37"/>
      <c r="F30" s="190" t="s">
        <v>13</v>
      </c>
      <c r="G30" s="192">
        <f>SUM(G4:G29)</f>
        <v>189926.23</v>
      </c>
      <c r="H30" s="192">
        <f>SUM(H4:H29)</f>
        <v>180882.08</v>
      </c>
      <c r="I30" s="192">
        <f>SUM(I4:I29)</f>
        <v>13687.520000000002</v>
      </c>
      <c r="J30" s="226">
        <f>SUM(J4:J29)</f>
        <v>8212.5119999999988</v>
      </c>
      <c r="K30" s="190"/>
    </row>
    <row r="31" spans="1:11" x14ac:dyDescent="0.25">
      <c r="A31" s="37"/>
      <c r="B31" s="37"/>
      <c r="C31" s="193"/>
      <c r="D31" s="37"/>
      <c r="E31" s="37"/>
      <c r="F31" s="198" t="s">
        <v>14</v>
      </c>
      <c r="G31" s="199">
        <f>G4+G11+G13+G16</f>
        <v>38703.480000000003</v>
      </c>
      <c r="H31" s="35"/>
      <c r="I31" s="35"/>
      <c r="J31" s="227"/>
      <c r="K31" s="37"/>
    </row>
    <row r="32" spans="1:11" x14ac:dyDescent="0.25">
      <c r="A32" s="37"/>
      <c r="B32" s="37"/>
      <c r="C32" s="193"/>
      <c r="D32" s="37"/>
      <c r="E32" s="200"/>
      <c r="F32" s="201" t="s">
        <v>15</v>
      </c>
      <c r="G32" s="202">
        <f>G31/6</f>
        <v>6450.5800000000008</v>
      </c>
      <c r="H32" s="35"/>
      <c r="I32" s="35"/>
      <c r="J32" s="227"/>
      <c r="K32" s="37"/>
    </row>
    <row r="33" spans="1:11" x14ac:dyDescent="0.25">
      <c r="A33" s="37"/>
      <c r="B33" s="37"/>
      <c r="C33" s="193"/>
      <c r="D33" s="37"/>
      <c r="E33" s="37"/>
      <c r="F33" s="37"/>
      <c r="G33" s="35"/>
      <c r="H33" s="35"/>
      <c r="I33" s="35"/>
      <c r="J33" s="227"/>
      <c r="K33" s="37"/>
    </row>
    <row r="34" spans="1:11" x14ac:dyDescent="0.25">
      <c r="A34" s="37" t="s">
        <v>16</v>
      </c>
      <c r="B34" s="37"/>
      <c r="C34" s="193"/>
      <c r="D34" s="37"/>
      <c r="E34" s="37"/>
      <c r="F34" s="37"/>
      <c r="G34" s="35"/>
      <c r="H34" s="35"/>
      <c r="I34" s="35"/>
      <c r="J34" s="227"/>
      <c r="K34" s="37"/>
    </row>
    <row r="35" spans="1:11" x14ac:dyDescent="0.25">
      <c r="A35" s="37" t="s">
        <v>694</v>
      </c>
      <c r="B35" s="203">
        <v>582819883</v>
      </c>
      <c r="C35" s="204">
        <v>45840</v>
      </c>
      <c r="D35" s="197" t="s">
        <v>695</v>
      </c>
      <c r="E35" s="197" t="s">
        <v>38</v>
      </c>
      <c r="F35" s="197" t="s">
        <v>57</v>
      </c>
      <c r="G35" s="194">
        <v>11523.6</v>
      </c>
      <c r="H35" s="194">
        <v>10466.77</v>
      </c>
      <c r="I35" s="35">
        <v>1046.5999999999999</v>
      </c>
      <c r="J35" s="227">
        <f t="shared" ref="J35:J63" si="4">I35*K35</f>
        <v>627.95999999999992</v>
      </c>
      <c r="K35" s="195">
        <v>0.6</v>
      </c>
    </row>
    <row r="36" spans="1:11" x14ac:dyDescent="0.25">
      <c r="A36" s="37" t="s">
        <v>696</v>
      </c>
      <c r="B36" s="197">
        <v>582830845</v>
      </c>
      <c r="C36" s="204">
        <v>45841</v>
      </c>
      <c r="D36" s="197" t="s">
        <v>697</v>
      </c>
      <c r="E36" s="197" t="s">
        <v>41</v>
      </c>
      <c r="F36" s="197" t="s">
        <v>12</v>
      </c>
      <c r="G36" s="194">
        <v>15064.71</v>
      </c>
      <c r="H36" s="194">
        <v>13683.1</v>
      </c>
      <c r="I36" s="35">
        <v>1368.3</v>
      </c>
      <c r="J36" s="227">
        <f t="shared" si="4"/>
        <v>820.9799999999999</v>
      </c>
      <c r="K36" s="195">
        <v>0.6</v>
      </c>
    </row>
    <row r="37" spans="1:11" x14ac:dyDescent="0.25">
      <c r="A37" s="37" t="s">
        <v>699</v>
      </c>
      <c r="B37" s="37">
        <v>585930110</v>
      </c>
      <c r="C37" s="193">
        <v>45851</v>
      </c>
      <c r="D37" s="37" t="s">
        <v>700</v>
      </c>
      <c r="E37" s="37" t="s">
        <v>38</v>
      </c>
      <c r="F37" s="37" t="s">
        <v>367</v>
      </c>
      <c r="G37" s="35">
        <v>11159.04</v>
      </c>
      <c r="H37" s="35">
        <v>9963.43</v>
      </c>
      <c r="I37" s="35">
        <v>996.3</v>
      </c>
      <c r="J37" s="227">
        <f t="shared" si="4"/>
        <v>597.78</v>
      </c>
      <c r="K37" s="195">
        <v>0.6</v>
      </c>
    </row>
    <row r="38" spans="1:11" x14ac:dyDescent="0.25">
      <c r="A38" s="37" t="s">
        <v>701</v>
      </c>
      <c r="B38" s="203">
        <v>586913212</v>
      </c>
      <c r="C38" s="204">
        <v>45854</v>
      </c>
      <c r="D38" s="197" t="s">
        <v>702</v>
      </c>
      <c r="E38" s="197" t="s">
        <v>38</v>
      </c>
      <c r="F38" s="197" t="s">
        <v>703</v>
      </c>
      <c r="G38" s="194">
        <v>8536.01</v>
      </c>
      <c r="H38" s="194">
        <v>7621.44</v>
      </c>
      <c r="I38" s="35">
        <v>762.1</v>
      </c>
      <c r="J38" s="227">
        <f t="shared" si="4"/>
        <v>457.26</v>
      </c>
      <c r="K38" s="195">
        <v>0.6</v>
      </c>
    </row>
    <row r="39" spans="1:11" x14ac:dyDescent="0.25">
      <c r="A39" s="37" t="s">
        <v>704</v>
      </c>
      <c r="B39" s="197">
        <v>586886096</v>
      </c>
      <c r="C39" s="204">
        <v>45849</v>
      </c>
      <c r="D39" s="197" t="s">
        <v>705</v>
      </c>
      <c r="E39" s="197" t="s">
        <v>38</v>
      </c>
      <c r="F39" s="197" t="s">
        <v>704</v>
      </c>
      <c r="G39" s="194">
        <v>7112.99</v>
      </c>
      <c r="H39" s="194">
        <v>6350.88</v>
      </c>
      <c r="I39" s="35">
        <v>635</v>
      </c>
      <c r="J39" s="227">
        <f t="shared" si="4"/>
        <v>381</v>
      </c>
      <c r="K39" s="195">
        <v>0.6</v>
      </c>
    </row>
    <row r="40" spans="1:11" x14ac:dyDescent="0.25">
      <c r="A40" s="37" t="s">
        <v>706</v>
      </c>
      <c r="B40" s="197">
        <v>586895371</v>
      </c>
      <c r="C40" s="204">
        <v>45850</v>
      </c>
      <c r="D40" s="197" t="s">
        <v>707</v>
      </c>
      <c r="E40" s="197" t="s">
        <v>38</v>
      </c>
      <c r="F40" s="197" t="s">
        <v>706</v>
      </c>
      <c r="G40" s="194">
        <v>11381.07</v>
      </c>
      <c r="H40" s="194">
        <v>10161.66</v>
      </c>
      <c r="I40" s="35">
        <v>1016.1</v>
      </c>
      <c r="J40" s="227">
        <f t="shared" si="4"/>
        <v>609.66</v>
      </c>
      <c r="K40" s="195">
        <v>0.6</v>
      </c>
    </row>
    <row r="41" spans="1:11" x14ac:dyDescent="0.25">
      <c r="A41" s="37" t="s">
        <v>712</v>
      </c>
      <c r="B41" s="197">
        <v>587355001</v>
      </c>
      <c r="C41" s="204">
        <v>45852</v>
      </c>
      <c r="D41" s="197" t="s">
        <v>713</v>
      </c>
      <c r="E41" s="197" t="s">
        <v>38</v>
      </c>
      <c r="F41" s="197" t="s">
        <v>57</v>
      </c>
      <c r="G41" s="194">
        <v>15064.75</v>
      </c>
      <c r="H41" s="194">
        <v>13683.15</v>
      </c>
      <c r="I41" s="35">
        <v>1368.3</v>
      </c>
      <c r="J41" s="227">
        <f t="shared" si="4"/>
        <v>820.9799999999999</v>
      </c>
      <c r="K41" s="195">
        <v>0.6</v>
      </c>
    </row>
    <row r="42" spans="1:11" x14ac:dyDescent="0.25">
      <c r="A42" s="37" t="s">
        <v>715</v>
      </c>
      <c r="B42" s="197">
        <v>587902713</v>
      </c>
      <c r="C42" s="204">
        <v>45854</v>
      </c>
      <c r="D42" s="197" t="s">
        <v>716</v>
      </c>
      <c r="E42" s="197" t="s">
        <v>38</v>
      </c>
      <c r="F42" s="197" t="s">
        <v>715</v>
      </c>
      <c r="G42" s="194">
        <v>17574.48</v>
      </c>
      <c r="H42" s="194">
        <v>15962.69</v>
      </c>
      <c r="I42" s="35">
        <v>1596.2</v>
      </c>
      <c r="J42" s="227">
        <f t="shared" si="4"/>
        <v>957.72</v>
      </c>
      <c r="K42" s="195">
        <v>0.6</v>
      </c>
    </row>
    <row r="43" spans="1:11" x14ac:dyDescent="0.25">
      <c r="A43" s="37" t="s">
        <v>717</v>
      </c>
      <c r="B43" s="197">
        <v>588246583</v>
      </c>
      <c r="C43" s="204">
        <v>45855</v>
      </c>
      <c r="D43" s="197" t="s">
        <v>718</v>
      </c>
      <c r="E43" s="197" t="s">
        <v>38</v>
      </c>
      <c r="F43" s="197" t="s">
        <v>717</v>
      </c>
      <c r="G43" s="194">
        <v>19205.240000000002</v>
      </c>
      <c r="H43" s="194">
        <v>17443.919999999998</v>
      </c>
      <c r="I43" s="35">
        <v>1744.4</v>
      </c>
      <c r="J43" s="227">
        <f t="shared" si="4"/>
        <v>1046.6400000000001</v>
      </c>
      <c r="K43" s="195">
        <v>0.6</v>
      </c>
    </row>
    <row r="44" spans="1:11" x14ac:dyDescent="0.25">
      <c r="A44" s="37" t="s">
        <v>93</v>
      </c>
      <c r="B44" s="197">
        <v>588547198</v>
      </c>
      <c r="C44" s="204">
        <v>45863</v>
      </c>
      <c r="D44" s="197" t="s">
        <v>719</v>
      </c>
      <c r="E44" s="197" t="s">
        <v>41</v>
      </c>
      <c r="F44" s="197" t="s">
        <v>12</v>
      </c>
      <c r="G44" s="194">
        <v>12832.89</v>
      </c>
      <c r="H44" s="194">
        <v>11557.57</v>
      </c>
      <c r="I44" s="35">
        <v>1155.7</v>
      </c>
      <c r="J44" s="227">
        <f t="shared" si="4"/>
        <v>693.42</v>
      </c>
      <c r="K44" s="195">
        <v>0.6</v>
      </c>
    </row>
    <row r="45" spans="1:11" x14ac:dyDescent="0.25">
      <c r="A45" s="37" t="s">
        <v>720</v>
      </c>
      <c r="B45" s="197">
        <v>586533404</v>
      </c>
      <c r="C45" s="204">
        <v>45856</v>
      </c>
      <c r="D45" s="197" t="s">
        <v>721</v>
      </c>
      <c r="E45" s="197" t="s">
        <v>38</v>
      </c>
      <c r="F45" s="197" t="s">
        <v>722</v>
      </c>
      <c r="G45" s="194">
        <v>15064.7</v>
      </c>
      <c r="H45" s="194">
        <v>13683.1</v>
      </c>
      <c r="I45" s="35">
        <v>1368.3</v>
      </c>
      <c r="J45" s="227">
        <f t="shared" si="4"/>
        <v>820.9799999999999</v>
      </c>
      <c r="K45" s="195">
        <v>0.6</v>
      </c>
    </row>
    <row r="46" spans="1:11" x14ac:dyDescent="0.25">
      <c r="A46" s="37" t="s">
        <v>723</v>
      </c>
      <c r="B46" s="37">
        <v>588672132</v>
      </c>
      <c r="C46" s="204">
        <v>45858</v>
      </c>
      <c r="D46" s="197" t="s">
        <v>724</v>
      </c>
      <c r="E46" s="197" t="s">
        <v>38</v>
      </c>
      <c r="F46" s="197" t="s">
        <v>725</v>
      </c>
      <c r="G46" s="194">
        <v>13335.09</v>
      </c>
      <c r="H46" s="194">
        <v>11906.32</v>
      </c>
      <c r="I46" s="35">
        <v>1190.5999999999999</v>
      </c>
      <c r="J46" s="227">
        <f t="shared" si="4"/>
        <v>714.3599999999999</v>
      </c>
      <c r="K46" s="195">
        <v>0.6</v>
      </c>
    </row>
    <row r="47" spans="1:11" x14ac:dyDescent="0.25">
      <c r="A47" s="11" t="s">
        <v>727</v>
      </c>
      <c r="B47" s="11">
        <v>590348619</v>
      </c>
      <c r="C47" s="12">
        <v>45868</v>
      </c>
      <c r="D47" s="11" t="s">
        <v>729</v>
      </c>
      <c r="E47" s="11" t="s">
        <v>41</v>
      </c>
      <c r="F47" s="10" t="s">
        <v>12</v>
      </c>
      <c r="G47" s="16">
        <v>8535.99</v>
      </c>
      <c r="H47" s="16">
        <v>7621.43</v>
      </c>
      <c r="I47" s="35">
        <v>762.14</v>
      </c>
      <c r="J47" s="227">
        <f t="shared" si="4"/>
        <v>457.28399999999999</v>
      </c>
      <c r="K47" s="195">
        <v>0.6</v>
      </c>
    </row>
    <row r="48" spans="1:11" x14ac:dyDescent="0.25">
      <c r="A48" s="37" t="s">
        <v>579</v>
      </c>
      <c r="B48" s="197">
        <v>574517290</v>
      </c>
      <c r="C48" s="204">
        <v>45866</v>
      </c>
      <c r="D48" s="197" t="s">
        <v>828</v>
      </c>
      <c r="E48" s="197" t="s">
        <v>41</v>
      </c>
      <c r="F48" s="223" t="s">
        <v>813</v>
      </c>
      <c r="G48" s="194">
        <v>87.46</v>
      </c>
      <c r="H48" s="194">
        <v>83.3</v>
      </c>
      <c r="I48" s="35">
        <v>8.32</v>
      </c>
      <c r="J48" s="227">
        <f t="shared" si="4"/>
        <v>4.992</v>
      </c>
      <c r="K48" s="195">
        <v>0.6</v>
      </c>
    </row>
    <row r="49" spans="1:11" x14ac:dyDescent="0.25">
      <c r="A49" s="245" t="s">
        <v>842</v>
      </c>
      <c r="B49" s="249">
        <v>504654457</v>
      </c>
      <c r="C49" s="250">
        <v>45847</v>
      </c>
      <c r="D49" s="249" t="s">
        <v>843</v>
      </c>
      <c r="E49" s="197" t="s">
        <v>38</v>
      </c>
      <c r="F49" s="147" t="s">
        <v>419</v>
      </c>
      <c r="G49" s="248">
        <v>865.18</v>
      </c>
      <c r="H49" s="248">
        <v>787.21</v>
      </c>
      <c r="I49" s="159">
        <v>-78.739999999999995</v>
      </c>
      <c r="J49" s="146">
        <f>I49*K49</f>
        <v>-47.243999999999993</v>
      </c>
      <c r="K49" s="172">
        <v>0.6</v>
      </c>
    </row>
    <row r="50" spans="1:11" x14ac:dyDescent="0.25">
      <c r="A50" s="245" t="s">
        <v>572</v>
      </c>
      <c r="B50" s="249">
        <v>574020863</v>
      </c>
      <c r="C50" s="250">
        <v>45860</v>
      </c>
      <c r="D50" s="249" t="s">
        <v>573</v>
      </c>
      <c r="E50" s="197" t="s">
        <v>38</v>
      </c>
      <c r="F50" s="147" t="s">
        <v>419</v>
      </c>
      <c r="G50" s="248">
        <v>11537.7</v>
      </c>
      <c r="H50" s="248">
        <v>10301.52</v>
      </c>
      <c r="I50" s="159">
        <v>-792.03</v>
      </c>
      <c r="J50" s="146">
        <f t="shared" ref="J50" si="5">I50*K50</f>
        <v>-475.21799999999996</v>
      </c>
      <c r="K50" s="172">
        <v>0.6</v>
      </c>
    </row>
    <row r="51" spans="1:11" x14ac:dyDescent="0.25">
      <c r="A51" s="245" t="s">
        <v>139</v>
      </c>
      <c r="B51" s="249">
        <v>532826934</v>
      </c>
      <c r="C51" s="250">
        <v>45862</v>
      </c>
      <c r="D51" s="249" t="s">
        <v>140</v>
      </c>
      <c r="E51" s="197" t="s">
        <v>38</v>
      </c>
      <c r="F51" s="147" t="s">
        <v>419</v>
      </c>
      <c r="G51" s="248">
        <v>2416.3000000000002</v>
      </c>
      <c r="H51" s="248">
        <v>2157.41</v>
      </c>
      <c r="I51" s="159">
        <v>-166.31</v>
      </c>
      <c r="J51" s="146">
        <f t="shared" ref="J51" si="6">I51*K51</f>
        <v>-99.786000000000001</v>
      </c>
      <c r="K51" s="172">
        <v>0.6</v>
      </c>
    </row>
    <row r="52" spans="1:11" x14ac:dyDescent="0.25">
      <c r="A52" s="245" t="s">
        <v>844</v>
      </c>
      <c r="B52" s="249">
        <v>514255388</v>
      </c>
      <c r="C52" s="250">
        <v>45866</v>
      </c>
      <c r="D52" s="249" t="s">
        <v>845</v>
      </c>
      <c r="E52" s="197" t="s">
        <v>41</v>
      </c>
      <c r="F52" s="147" t="s">
        <v>419</v>
      </c>
      <c r="G52" s="146">
        <v>1606.9</v>
      </c>
      <c r="H52" s="146">
        <v>1453.87</v>
      </c>
      <c r="I52" s="159">
        <v>-145.38999999999999</v>
      </c>
      <c r="J52" s="146">
        <f t="shared" si="4"/>
        <v>-87.233999999999995</v>
      </c>
      <c r="K52" s="172">
        <v>0.6</v>
      </c>
    </row>
    <row r="53" spans="1:11" x14ac:dyDescent="0.25">
      <c r="A53" s="245" t="s">
        <v>712</v>
      </c>
      <c r="B53" s="249">
        <v>517010959</v>
      </c>
      <c r="C53" s="246">
        <v>45852</v>
      </c>
      <c r="D53" s="245" t="s">
        <v>846</v>
      </c>
      <c r="E53" s="197" t="s">
        <v>41</v>
      </c>
      <c r="F53" s="147" t="s">
        <v>419</v>
      </c>
      <c r="G53" s="146">
        <v>2693.61</v>
      </c>
      <c r="H53" s="146">
        <v>2437.0700000000002</v>
      </c>
      <c r="I53" s="159">
        <v>-243.7</v>
      </c>
      <c r="J53" s="146">
        <f t="shared" si="4"/>
        <v>-146.22</v>
      </c>
      <c r="K53" s="172">
        <v>0.6</v>
      </c>
    </row>
    <row r="54" spans="1:11" x14ac:dyDescent="0.25">
      <c r="A54" s="37"/>
      <c r="B54" s="197"/>
      <c r="C54" s="204"/>
      <c r="D54" s="197"/>
      <c r="E54" s="197"/>
      <c r="F54" s="197"/>
      <c r="G54" s="194"/>
      <c r="H54" s="194"/>
      <c r="I54" s="35"/>
      <c r="J54" s="227">
        <f t="shared" si="4"/>
        <v>0</v>
      </c>
      <c r="K54" s="195">
        <v>0.6</v>
      </c>
    </row>
    <row r="55" spans="1:11" x14ac:dyDescent="0.25">
      <c r="A55" s="37"/>
      <c r="B55" s="197"/>
      <c r="C55" s="204"/>
      <c r="D55" s="197"/>
      <c r="E55" s="197"/>
      <c r="F55" s="197"/>
      <c r="G55" s="194"/>
      <c r="H55" s="194"/>
      <c r="I55" s="35"/>
      <c r="J55" s="227">
        <f t="shared" si="4"/>
        <v>0</v>
      </c>
      <c r="K55" s="195">
        <v>0.6</v>
      </c>
    </row>
    <row r="56" spans="1:11" x14ac:dyDescent="0.25">
      <c r="A56" s="37"/>
      <c r="B56" s="197"/>
      <c r="C56" s="204"/>
      <c r="D56" s="197"/>
      <c r="E56" s="197"/>
      <c r="F56" s="197"/>
      <c r="G56" s="194"/>
      <c r="H56" s="194"/>
      <c r="I56" s="35"/>
      <c r="J56" s="227">
        <f t="shared" si="4"/>
        <v>0</v>
      </c>
      <c r="K56" s="195">
        <v>0.6</v>
      </c>
    </row>
    <row r="57" spans="1:11" x14ac:dyDescent="0.25">
      <c r="A57" s="197"/>
      <c r="B57" s="197"/>
      <c r="C57" s="204"/>
      <c r="D57" s="197"/>
      <c r="E57" s="197"/>
      <c r="F57" s="37"/>
      <c r="G57" s="194"/>
      <c r="H57" s="194"/>
      <c r="I57" s="194"/>
      <c r="J57" s="227">
        <f t="shared" si="4"/>
        <v>0</v>
      </c>
      <c r="K57" s="195">
        <v>0.6</v>
      </c>
    </row>
    <row r="58" spans="1:11" x14ac:dyDescent="0.25">
      <c r="A58" s="197"/>
      <c r="B58" s="197"/>
      <c r="C58" s="204"/>
      <c r="D58" s="197"/>
      <c r="E58" s="197"/>
      <c r="F58" s="37"/>
      <c r="G58" s="194"/>
      <c r="H58" s="194"/>
      <c r="I58" s="194"/>
      <c r="J58" s="227">
        <f t="shared" si="4"/>
        <v>0</v>
      </c>
      <c r="K58" s="195">
        <v>0.6</v>
      </c>
    </row>
    <row r="59" spans="1:11" x14ac:dyDescent="0.25">
      <c r="A59" s="197"/>
      <c r="B59" s="197"/>
      <c r="C59" s="204"/>
      <c r="D59" s="197"/>
      <c r="E59" s="197"/>
      <c r="F59" s="37"/>
      <c r="G59" s="194"/>
      <c r="H59" s="194"/>
      <c r="I59" s="194"/>
      <c r="J59" s="227">
        <f t="shared" si="4"/>
        <v>0</v>
      </c>
      <c r="K59" s="195">
        <v>0.6</v>
      </c>
    </row>
    <row r="60" spans="1:11" x14ac:dyDescent="0.25">
      <c r="A60" s="197"/>
      <c r="B60" s="197"/>
      <c r="C60" s="204"/>
      <c r="D60" s="197"/>
      <c r="E60" s="197"/>
      <c r="F60" s="37"/>
      <c r="G60" s="194"/>
      <c r="H60" s="194"/>
      <c r="I60" s="194"/>
      <c r="J60" s="227">
        <f t="shared" si="4"/>
        <v>0</v>
      </c>
      <c r="K60" s="195">
        <v>0.6</v>
      </c>
    </row>
    <row r="61" spans="1:11" x14ac:dyDescent="0.25">
      <c r="A61" s="197"/>
      <c r="B61" s="197"/>
      <c r="C61" s="204"/>
      <c r="D61" s="197"/>
      <c r="E61" s="197"/>
      <c r="F61" s="37"/>
      <c r="G61" s="194"/>
      <c r="H61" s="194"/>
      <c r="I61" s="194"/>
      <c r="J61" s="227">
        <f t="shared" si="4"/>
        <v>0</v>
      </c>
      <c r="K61" s="195">
        <v>0.6</v>
      </c>
    </row>
    <row r="62" spans="1:11" x14ac:dyDescent="0.25">
      <c r="A62" s="197"/>
      <c r="B62" s="197"/>
      <c r="C62" s="204"/>
      <c r="D62" s="197"/>
      <c r="E62" s="197"/>
      <c r="F62" s="37"/>
      <c r="G62" s="194"/>
      <c r="H62" s="194"/>
      <c r="I62" s="194"/>
      <c r="J62" s="227">
        <f t="shared" si="4"/>
        <v>0</v>
      </c>
      <c r="K62" s="195">
        <v>0.6</v>
      </c>
    </row>
    <row r="63" spans="1:11" x14ac:dyDescent="0.25">
      <c r="A63" s="197"/>
      <c r="B63" s="205"/>
      <c r="C63" s="204"/>
      <c r="D63" s="197"/>
      <c r="E63" s="197"/>
      <c r="F63" s="37"/>
      <c r="G63" s="194"/>
      <c r="H63" s="194"/>
      <c r="I63" s="194"/>
      <c r="J63" s="227">
        <f t="shared" si="4"/>
        <v>0</v>
      </c>
      <c r="K63" s="195">
        <v>0.6</v>
      </c>
    </row>
    <row r="64" spans="1:11" x14ac:dyDescent="0.25">
      <c r="A64" s="37"/>
      <c r="B64" s="37"/>
      <c r="C64" s="193"/>
      <c r="D64" s="37"/>
      <c r="E64" s="37"/>
      <c r="F64" s="190" t="s">
        <v>13</v>
      </c>
      <c r="G64" s="192">
        <f>SUM(G35:G63)</f>
        <v>185597.70999999996</v>
      </c>
      <c r="H64" s="192">
        <f>SUM(H35:H63)</f>
        <v>167325.83999999997</v>
      </c>
      <c r="I64" s="192">
        <f>SUM(I35:I63)</f>
        <v>13592.19</v>
      </c>
      <c r="J64" s="226">
        <f>SUM(J35:J63)</f>
        <v>8155.3139999999976</v>
      </c>
      <c r="K64" s="190"/>
    </row>
    <row r="65" spans="1:11" x14ac:dyDescent="0.25">
      <c r="A65" s="37"/>
      <c r="B65" s="37"/>
      <c r="C65" s="193"/>
      <c r="D65" s="37"/>
      <c r="E65" s="37"/>
      <c r="F65" s="198" t="s">
        <v>14</v>
      </c>
      <c r="G65" s="199">
        <f>G36+G44+G47+G48</f>
        <v>36521.049999999996</v>
      </c>
      <c r="H65" s="35"/>
      <c r="I65" s="35"/>
      <c r="J65" s="227"/>
      <c r="K65" s="37"/>
    </row>
    <row r="66" spans="1:11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228"/>
      <c r="K66" s="37"/>
    </row>
    <row r="67" spans="1:11" x14ac:dyDescent="0.25">
      <c r="A67" s="37" t="s">
        <v>17</v>
      </c>
      <c r="B67" s="37"/>
      <c r="C67" s="193"/>
      <c r="D67" s="37"/>
      <c r="E67" s="37"/>
      <c r="F67" s="37"/>
      <c r="G67" s="35"/>
      <c r="H67" s="35"/>
      <c r="I67" s="35"/>
      <c r="J67" s="227"/>
      <c r="K67" s="37"/>
    </row>
    <row r="68" spans="1:11" x14ac:dyDescent="0.25">
      <c r="A68" s="37" t="s">
        <v>711</v>
      </c>
      <c r="B68" s="37">
        <v>586659731</v>
      </c>
      <c r="C68" s="193">
        <v>45848</v>
      </c>
      <c r="D68" s="37" t="s">
        <v>12</v>
      </c>
      <c r="E68" s="37" t="s">
        <v>41</v>
      </c>
      <c r="F68" s="37" t="s">
        <v>12</v>
      </c>
      <c r="G68" s="206">
        <v>97871.75</v>
      </c>
      <c r="H68" s="206">
        <v>93175.83</v>
      </c>
      <c r="I68" s="206">
        <v>13976</v>
      </c>
      <c r="J68" s="227">
        <f t="shared" ref="J68:J77" si="7">I68*K68</f>
        <v>8385.6</v>
      </c>
      <c r="K68" s="195">
        <v>0.6</v>
      </c>
    </row>
    <row r="69" spans="1:11" x14ac:dyDescent="0.25">
      <c r="A69" s="147" t="s">
        <v>826</v>
      </c>
      <c r="B69" s="147">
        <v>586659731</v>
      </c>
      <c r="C69" s="148">
        <v>45849</v>
      </c>
      <c r="D69" s="147" t="s">
        <v>12</v>
      </c>
      <c r="E69" s="147" t="s">
        <v>41</v>
      </c>
      <c r="F69" s="144" t="s">
        <v>827</v>
      </c>
      <c r="G69" s="149">
        <v>29819.89</v>
      </c>
      <c r="H69" s="149">
        <v>28389.07</v>
      </c>
      <c r="I69" s="159">
        <v>-4258.3500000000004</v>
      </c>
      <c r="J69" s="159">
        <f t="shared" si="7"/>
        <v>-2555.0100000000002</v>
      </c>
      <c r="K69" s="184">
        <v>0.6</v>
      </c>
    </row>
    <row r="70" spans="1:11" x14ac:dyDescent="0.25">
      <c r="A70" s="37"/>
      <c r="B70" s="37"/>
      <c r="C70" s="193"/>
      <c r="D70" s="37"/>
      <c r="E70" s="37"/>
      <c r="F70" s="37"/>
      <c r="G70" s="206"/>
      <c r="H70" s="206"/>
      <c r="I70" s="206"/>
      <c r="J70" s="227">
        <f t="shared" si="7"/>
        <v>0</v>
      </c>
      <c r="K70" s="195">
        <v>0.6</v>
      </c>
    </row>
    <row r="71" spans="1:11" x14ac:dyDescent="0.25">
      <c r="A71" s="37"/>
      <c r="B71" s="37"/>
      <c r="C71" s="193"/>
      <c r="D71" s="37"/>
      <c r="E71" s="37"/>
      <c r="F71" s="37"/>
      <c r="G71" s="206"/>
      <c r="H71" s="206"/>
      <c r="I71" s="206"/>
      <c r="J71" s="227">
        <f t="shared" si="7"/>
        <v>0</v>
      </c>
      <c r="K71" s="195">
        <v>0.6</v>
      </c>
    </row>
    <row r="72" spans="1:11" x14ac:dyDescent="0.25">
      <c r="A72" s="37"/>
      <c r="B72" s="37"/>
      <c r="C72" s="193"/>
      <c r="D72" s="37"/>
      <c r="E72" s="37"/>
      <c r="F72" s="37"/>
      <c r="G72" s="206"/>
      <c r="H72" s="206"/>
      <c r="I72" s="206"/>
      <c r="J72" s="227">
        <f t="shared" si="7"/>
        <v>0</v>
      </c>
      <c r="K72" s="195">
        <v>0.6</v>
      </c>
    </row>
    <row r="73" spans="1:11" x14ac:dyDescent="0.25">
      <c r="A73" s="37"/>
      <c r="B73" s="37"/>
      <c r="C73" s="193"/>
      <c r="D73" s="37"/>
      <c r="E73" s="37"/>
      <c r="F73" s="37"/>
      <c r="G73" s="206"/>
      <c r="H73" s="206"/>
      <c r="I73" s="206"/>
      <c r="J73" s="227">
        <f t="shared" si="7"/>
        <v>0</v>
      </c>
      <c r="K73" s="195">
        <v>0.6</v>
      </c>
    </row>
    <row r="74" spans="1:11" x14ac:dyDescent="0.25">
      <c r="A74" s="37"/>
      <c r="B74" s="37"/>
      <c r="C74" s="193"/>
      <c r="D74" s="37"/>
      <c r="E74" s="37"/>
      <c r="F74" s="37"/>
      <c r="G74" s="206"/>
      <c r="H74" s="206"/>
      <c r="I74" s="206"/>
      <c r="J74" s="227">
        <f t="shared" si="7"/>
        <v>0</v>
      </c>
      <c r="K74" s="195">
        <v>0.6</v>
      </c>
    </row>
    <row r="75" spans="1:11" x14ac:dyDescent="0.25">
      <c r="A75" s="37"/>
      <c r="B75" s="37"/>
      <c r="C75" s="193"/>
      <c r="D75" s="37"/>
      <c r="E75" s="37"/>
      <c r="F75" s="37"/>
      <c r="G75" s="206"/>
      <c r="H75" s="206"/>
      <c r="I75" s="206"/>
      <c r="J75" s="227">
        <f t="shared" si="7"/>
        <v>0</v>
      </c>
      <c r="K75" s="195">
        <v>0.6</v>
      </c>
    </row>
    <row r="76" spans="1:11" x14ac:dyDescent="0.25">
      <c r="A76" s="37"/>
      <c r="B76" s="37"/>
      <c r="C76" s="193"/>
      <c r="D76" s="37"/>
      <c r="E76" s="37"/>
      <c r="F76" s="37"/>
      <c r="G76" s="206"/>
      <c r="H76" s="206"/>
      <c r="I76" s="206"/>
      <c r="J76" s="227">
        <f t="shared" si="7"/>
        <v>0</v>
      </c>
      <c r="K76" s="195">
        <v>0.6</v>
      </c>
    </row>
    <row r="77" spans="1:11" x14ac:dyDescent="0.25">
      <c r="A77" s="37"/>
      <c r="B77" s="37"/>
      <c r="C77" s="193"/>
      <c r="D77" s="37"/>
      <c r="E77" s="37"/>
      <c r="F77" s="37"/>
      <c r="G77" s="206"/>
      <c r="H77" s="206"/>
      <c r="I77" s="206"/>
      <c r="J77" s="227">
        <f t="shared" si="7"/>
        <v>0</v>
      </c>
      <c r="K77" s="195">
        <v>0.6</v>
      </c>
    </row>
    <row r="78" spans="1:11" x14ac:dyDescent="0.25">
      <c r="A78" s="37"/>
      <c r="B78" s="37"/>
      <c r="C78" s="193"/>
      <c r="D78" s="37"/>
      <c r="E78" s="37"/>
      <c r="F78" s="37"/>
      <c r="G78" s="206"/>
      <c r="H78" s="206"/>
      <c r="I78" s="206"/>
      <c r="J78" s="229"/>
      <c r="K78" s="195"/>
    </row>
    <row r="79" spans="1:11" x14ac:dyDescent="0.25">
      <c r="A79" s="37"/>
      <c r="B79" s="37"/>
      <c r="C79" s="193"/>
      <c r="D79" s="37"/>
      <c r="E79" s="37"/>
      <c r="F79" s="37"/>
      <c r="G79" s="206"/>
      <c r="H79" s="206"/>
      <c r="I79" s="206"/>
      <c r="J79" s="229"/>
      <c r="K79" s="195"/>
    </row>
    <row r="80" spans="1:11" x14ac:dyDescent="0.25">
      <c r="A80" s="37"/>
      <c r="B80" s="37"/>
      <c r="C80" s="193"/>
      <c r="D80" s="37"/>
      <c r="E80" s="37"/>
      <c r="F80" s="197"/>
      <c r="G80" s="207"/>
      <c r="H80" s="207"/>
      <c r="I80" s="206"/>
      <c r="J80" s="229"/>
      <c r="K80" s="195"/>
    </row>
    <row r="81" spans="1:11" x14ac:dyDescent="0.25">
      <c r="A81" s="37"/>
      <c r="B81" s="37"/>
      <c r="C81" s="193"/>
      <c r="D81" s="37"/>
      <c r="E81" s="37"/>
      <c r="F81" s="190" t="s">
        <v>13</v>
      </c>
      <c r="G81" s="192">
        <f>SUM(G68:G80)</f>
        <v>127691.64</v>
      </c>
      <c r="H81" s="192">
        <f>SUM(H68:H80)</f>
        <v>121564.9</v>
      </c>
      <c r="I81" s="192">
        <f>SUM(I68:I80)</f>
        <v>9717.65</v>
      </c>
      <c r="J81" s="226">
        <f>SUM(J68:J80)</f>
        <v>5830.59</v>
      </c>
      <c r="K81" s="190"/>
    </row>
    <row r="82" spans="1:11" x14ac:dyDescent="0.25">
      <c r="A82" s="37"/>
      <c r="B82" s="37"/>
      <c r="C82" s="193"/>
      <c r="D82" s="37"/>
      <c r="E82" s="37"/>
      <c r="F82" s="198" t="s">
        <v>14</v>
      </c>
      <c r="G82" s="199">
        <f>G68</f>
        <v>97871.75</v>
      </c>
      <c r="H82" s="35"/>
      <c r="I82" s="35"/>
      <c r="J82" s="227"/>
      <c r="K82" s="37"/>
    </row>
    <row r="83" spans="1:11" x14ac:dyDescent="0.25">
      <c r="A83" s="37"/>
      <c r="B83" s="37"/>
      <c r="C83" s="193"/>
      <c r="D83" s="198"/>
      <c r="E83" s="198" t="s">
        <v>18</v>
      </c>
      <c r="F83" s="198"/>
      <c r="G83" s="199">
        <f>G82/6</f>
        <v>16311.958333333334</v>
      </c>
      <c r="H83" s="35"/>
      <c r="I83" s="35"/>
      <c r="J83" s="227"/>
      <c r="K83" s="37"/>
    </row>
    <row r="84" spans="1:11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228"/>
      <c r="K84" s="37"/>
    </row>
    <row r="85" spans="1:11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228"/>
      <c r="K85" s="37"/>
    </row>
    <row r="86" spans="1:11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228"/>
      <c r="K86" s="37"/>
    </row>
    <row r="87" spans="1:11" x14ac:dyDescent="0.25">
      <c r="A87" s="176" t="s">
        <v>19</v>
      </c>
      <c r="B87" s="208"/>
      <c r="C87" s="209">
        <f>G31</f>
        <v>38703.480000000003</v>
      </c>
      <c r="D87" s="37"/>
      <c r="E87" s="177" t="s">
        <v>20</v>
      </c>
      <c r="F87" s="176"/>
      <c r="G87" s="209">
        <f>G66</f>
        <v>0</v>
      </c>
      <c r="H87" s="176"/>
      <c r="I87" s="176" t="s">
        <v>21</v>
      </c>
      <c r="J87" s="230"/>
      <c r="K87" s="40">
        <f>G82</f>
        <v>97871.75</v>
      </c>
    </row>
    <row r="88" spans="1:11" x14ac:dyDescent="0.25">
      <c r="A88" s="208" t="s">
        <v>22</v>
      </c>
      <c r="B88" s="208"/>
      <c r="C88" s="209">
        <f>G32</f>
        <v>6450.5800000000008</v>
      </c>
      <c r="D88" s="211"/>
      <c r="E88" s="212"/>
      <c r="F88" s="212"/>
      <c r="G88" s="208" t="s">
        <v>12</v>
      </c>
      <c r="H88" s="37"/>
      <c r="I88" s="208" t="s">
        <v>23</v>
      </c>
      <c r="J88" s="213"/>
      <c r="K88" s="209">
        <f>G83</f>
        <v>16311.958333333334</v>
      </c>
    </row>
    <row r="89" spans="1:11" x14ac:dyDescent="0.25">
      <c r="A89" s="208" t="s">
        <v>24</v>
      </c>
      <c r="B89" s="208"/>
      <c r="C89" s="209">
        <f>J30</f>
        <v>8212.5119999999988</v>
      </c>
      <c r="D89" s="211"/>
      <c r="E89" s="212" t="s">
        <v>25</v>
      </c>
      <c r="F89" s="212"/>
      <c r="G89" s="209">
        <f>J64</f>
        <v>8155.3139999999976</v>
      </c>
      <c r="H89" s="37"/>
      <c r="I89" s="208" t="s">
        <v>26</v>
      </c>
      <c r="J89" s="213"/>
      <c r="K89" s="209">
        <f>J81</f>
        <v>5830.59</v>
      </c>
    </row>
    <row r="90" spans="1:11" x14ac:dyDescent="0.25">
      <c r="A90" s="208"/>
      <c r="B90" s="208"/>
      <c r="C90" s="209"/>
      <c r="D90" s="211"/>
      <c r="E90" s="212"/>
      <c r="F90" s="212"/>
      <c r="G90" s="209"/>
      <c r="H90" s="37"/>
      <c r="I90" s="208"/>
      <c r="J90" s="213"/>
      <c r="K90" s="208"/>
    </row>
    <row r="91" spans="1:11" x14ac:dyDescent="0.25">
      <c r="A91" s="208"/>
      <c r="B91" s="208"/>
      <c r="C91" s="208"/>
      <c r="D91" s="37"/>
      <c r="E91" s="208"/>
      <c r="F91" s="208"/>
      <c r="G91" s="208"/>
      <c r="H91" s="37"/>
      <c r="I91" s="208"/>
      <c r="J91" s="213"/>
      <c r="K91" s="208"/>
    </row>
    <row r="92" spans="1:11" x14ac:dyDescent="0.25">
      <c r="A92" s="37"/>
      <c r="B92" s="37"/>
      <c r="C92" s="37"/>
      <c r="D92" s="37"/>
      <c r="E92" s="37"/>
      <c r="F92" s="37"/>
      <c r="G92" s="37"/>
      <c r="H92" s="37"/>
      <c r="I92" s="37"/>
      <c r="J92" s="228"/>
      <c r="K92" s="37"/>
    </row>
    <row r="93" spans="1:11" x14ac:dyDescent="0.25">
      <c r="A93" s="177" t="s">
        <v>27</v>
      </c>
      <c r="B93" s="176"/>
      <c r="C93" s="176"/>
      <c r="D93" s="37"/>
      <c r="E93" s="177" t="s">
        <v>28</v>
      </c>
      <c r="F93" s="176"/>
      <c r="G93" s="176"/>
      <c r="H93" s="37"/>
      <c r="I93" s="58" t="s">
        <v>104</v>
      </c>
      <c r="J93" s="231"/>
      <c r="K93" s="58"/>
    </row>
    <row r="94" spans="1:11" x14ac:dyDescent="0.25">
      <c r="A94" s="138"/>
      <c r="B94" s="138"/>
      <c r="C94" s="214"/>
      <c r="D94" s="37"/>
      <c r="E94" s="37"/>
      <c r="F94" s="37"/>
      <c r="G94" s="37"/>
      <c r="H94" s="35"/>
      <c r="I94" s="58" t="s">
        <v>819</v>
      </c>
      <c r="J94" s="233">
        <v>8500</v>
      </c>
      <c r="K94" s="141">
        <v>45890</v>
      </c>
    </row>
    <row r="95" spans="1:11" x14ac:dyDescent="0.25">
      <c r="A95" s="56" t="s">
        <v>29</v>
      </c>
      <c r="B95" s="56"/>
      <c r="C95" s="243">
        <f>J2</f>
        <v>296238.64</v>
      </c>
      <c r="D95" s="211"/>
      <c r="E95" s="212" t="s">
        <v>30</v>
      </c>
      <c r="F95" s="212"/>
      <c r="G95" s="212"/>
      <c r="H95" s="35"/>
      <c r="I95" s="58" t="s">
        <v>820</v>
      </c>
      <c r="J95" s="233">
        <v>31650</v>
      </c>
      <c r="K95" s="141">
        <v>45890</v>
      </c>
    </row>
    <row r="96" spans="1:11" x14ac:dyDescent="0.25">
      <c r="A96" s="56" t="s">
        <v>31</v>
      </c>
      <c r="B96" s="56"/>
      <c r="C96" s="139">
        <f>C89+G89+K89</f>
        <v>22198.415999999997</v>
      </c>
      <c r="D96" s="211"/>
      <c r="E96" s="212" t="s">
        <v>32</v>
      </c>
      <c r="F96" s="212"/>
      <c r="G96" s="215">
        <f>G33</f>
        <v>0</v>
      </c>
      <c r="H96" s="35"/>
      <c r="I96" s="58" t="s">
        <v>821</v>
      </c>
      <c r="J96" s="233">
        <v>8600</v>
      </c>
      <c r="K96" s="141">
        <v>45880</v>
      </c>
    </row>
    <row r="97" spans="1:11" x14ac:dyDescent="0.25">
      <c r="A97" s="138" t="s">
        <v>109</v>
      </c>
      <c r="B97" s="139"/>
      <c r="C97" s="139">
        <f>J107</f>
        <v>108347</v>
      </c>
      <c r="D97" s="211"/>
      <c r="E97" s="212" t="s">
        <v>33</v>
      </c>
      <c r="F97" s="212"/>
      <c r="G97" s="215">
        <f>G65</f>
        <v>36521.049999999996</v>
      </c>
      <c r="H97" s="35"/>
      <c r="I97" s="58" t="s">
        <v>822</v>
      </c>
      <c r="J97" s="233">
        <v>10200</v>
      </c>
      <c r="K97" s="141">
        <v>45881</v>
      </c>
    </row>
    <row r="98" spans="1:11" x14ac:dyDescent="0.25">
      <c r="A98" s="138" t="s">
        <v>472</v>
      </c>
      <c r="B98" s="138"/>
      <c r="C98" s="139">
        <f>G19+G20+G52+G53+G69</f>
        <v>47714.399999999994</v>
      </c>
      <c r="D98" s="211"/>
      <c r="E98" s="50" t="s">
        <v>829</v>
      </c>
      <c r="F98" s="51"/>
      <c r="G98" s="242">
        <v>5694.99</v>
      </c>
      <c r="H98" s="35"/>
      <c r="I98" s="58" t="s">
        <v>823</v>
      </c>
      <c r="J98" s="233">
        <v>9797</v>
      </c>
      <c r="K98" s="141">
        <v>45884</v>
      </c>
    </row>
    <row r="99" spans="1:11" x14ac:dyDescent="0.25">
      <c r="A99" s="138" t="s">
        <v>13</v>
      </c>
      <c r="B99" s="138"/>
      <c r="C99" s="139">
        <f>C95+C96+C97+C98</f>
        <v>474498.45600000001</v>
      </c>
      <c r="D99" s="211"/>
      <c r="E99" s="50" t="s">
        <v>830</v>
      </c>
      <c r="F99" s="56"/>
      <c r="G99" s="185">
        <v>4524.8999999999996</v>
      </c>
      <c r="H99" s="35"/>
      <c r="I99" s="58" t="s">
        <v>605</v>
      </c>
      <c r="J99" s="233">
        <v>12750</v>
      </c>
      <c r="K99" s="141">
        <v>45877</v>
      </c>
    </row>
    <row r="100" spans="1:11" x14ac:dyDescent="0.25">
      <c r="A100" s="37"/>
      <c r="B100" s="37"/>
      <c r="C100" s="37"/>
      <c r="D100" s="211"/>
      <c r="E100" s="50" t="s">
        <v>831</v>
      </c>
      <c r="F100" s="51"/>
      <c r="G100" s="242">
        <v>10454.209999999999</v>
      </c>
      <c r="H100" s="35"/>
      <c r="I100" s="58" t="s">
        <v>230</v>
      </c>
      <c r="J100" s="233">
        <v>14480</v>
      </c>
      <c r="K100" s="141">
        <v>45875</v>
      </c>
    </row>
    <row r="101" spans="1:11" x14ac:dyDescent="0.25">
      <c r="A101" s="37"/>
      <c r="B101" s="37"/>
      <c r="C101" s="37"/>
      <c r="D101" s="211"/>
      <c r="E101" s="50" t="s">
        <v>832</v>
      </c>
      <c r="F101" s="56"/>
      <c r="G101" s="185">
        <v>1243.9000000000001</v>
      </c>
      <c r="H101" s="35"/>
      <c r="I101" s="58" t="s">
        <v>397</v>
      </c>
      <c r="J101" s="233">
        <v>2370</v>
      </c>
      <c r="K101" s="141">
        <v>45874</v>
      </c>
    </row>
    <row r="102" spans="1:11" x14ac:dyDescent="0.25">
      <c r="A102" s="37"/>
      <c r="B102" s="37"/>
      <c r="C102" s="37"/>
      <c r="D102" s="211"/>
      <c r="E102" s="50" t="s">
        <v>833</v>
      </c>
      <c r="F102" s="51"/>
      <c r="G102" s="242">
        <v>77.5</v>
      </c>
      <c r="H102" s="35"/>
      <c r="I102" s="58" t="s">
        <v>907</v>
      </c>
      <c r="J102" s="233">
        <v>10000</v>
      </c>
      <c r="K102" s="141">
        <v>45898</v>
      </c>
    </row>
    <row r="103" spans="1:11" x14ac:dyDescent="0.25">
      <c r="A103" s="37"/>
      <c r="B103" s="37"/>
      <c r="C103" s="37"/>
      <c r="D103" s="211"/>
      <c r="E103" s="50" t="s">
        <v>834</v>
      </c>
      <c r="F103" s="56"/>
      <c r="G103" s="185" t="s">
        <v>12</v>
      </c>
      <c r="H103" s="35"/>
      <c r="I103" s="58"/>
      <c r="J103" s="233"/>
      <c r="K103" s="141"/>
    </row>
    <row r="104" spans="1:11" x14ac:dyDescent="0.25">
      <c r="A104" s="37"/>
      <c r="B104" s="37"/>
      <c r="C104" s="37"/>
      <c r="D104" s="211"/>
      <c r="E104" s="50" t="s">
        <v>835</v>
      </c>
      <c r="F104" s="51"/>
      <c r="G104" s="242">
        <v>7964.08</v>
      </c>
      <c r="H104" s="35"/>
      <c r="I104" s="58"/>
      <c r="J104" s="233"/>
      <c r="K104" s="58"/>
    </row>
    <row r="105" spans="1:11" x14ac:dyDescent="0.25">
      <c r="A105" s="37"/>
      <c r="B105" s="37"/>
      <c r="C105" s="37"/>
      <c r="D105" s="211"/>
      <c r="E105" s="50" t="s">
        <v>836</v>
      </c>
      <c r="F105" s="56"/>
      <c r="G105" s="185">
        <v>13425.5</v>
      </c>
      <c r="H105" s="35"/>
      <c r="I105" s="58"/>
      <c r="J105" s="233"/>
      <c r="K105" s="58"/>
    </row>
    <row r="106" spans="1:11" x14ac:dyDescent="0.25">
      <c r="A106" s="37"/>
      <c r="B106" s="37"/>
      <c r="C106" s="37"/>
      <c r="D106" s="211"/>
      <c r="E106" s="50" t="s">
        <v>837</v>
      </c>
      <c r="F106" s="51"/>
      <c r="G106" s="185">
        <v>3527.65</v>
      </c>
      <c r="H106" s="35"/>
      <c r="I106" s="58"/>
      <c r="J106" s="231"/>
      <c r="K106" s="58"/>
    </row>
    <row r="107" spans="1:11" x14ac:dyDescent="0.25">
      <c r="A107" s="37"/>
      <c r="B107" s="37"/>
      <c r="C107" s="37"/>
      <c r="D107" s="211"/>
      <c r="E107" s="50" t="s">
        <v>838</v>
      </c>
      <c r="F107" s="56"/>
      <c r="G107" s="185" t="s">
        <v>12</v>
      </c>
      <c r="H107" s="35"/>
      <c r="I107" s="58" t="s">
        <v>13</v>
      </c>
      <c r="J107" s="234">
        <f>J94+J95+J96+J97+J98+J99+J100+J101+J102</f>
        <v>108347</v>
      </c>
      <c r="K107" s="58"/>
    </row>
    <row r="108" spans="1:11" x14ac:dyDescent="0.25">
      <c r="A108" s="37"/>
      <c r="B108" s="37"/>
      <c r="C108" s="37"/>
      <c r="D108" s="211"/>
      <c r="E108" s="50" t="s">
        <v>840</v>
      </c>
      <c r="F108" s="51"/>
      <c r="G108" s="241">
        <f>G32</f>
        <v>6450.5800000000008</v>
      </c>
      <c r="H108" s="35"/>
      <c r="I108" s="37"/>
      <c r="J108" s="228"/>
      <c r="K108" s="37"/>
    </row>
    <row r="109" spans="1:11" x14ac:dyDescent="0.25">
      <c r="A109" s="37"/>
      <c r="B109" s="37"/>
      <c r="C109" s="37"/>
      <c r="D109" s="211"/>
      <c r="E109" s="50" t="s">
        <v>839</v>
      </c>
      <c r="F109" s="56"/>
      <c r="G109" s="241">
        <f>G83</f>
        <v>16311.958333333334</v>
      </c>
      <c r="H109" s="35"/>
      <c r="I109" s="37"/>
      <c r="J109" s="228"/>
      <c r="K109" s="37"/>
    </row>
    <row r="110" spans="1:11" x14ac:dyDescent="0.25">
      <c r="A110" s="37"/>
      <c r="B110" s="37"/>
      <c r="C110" s="37"/>
      <c r="D110" s="211"/>
      <c r="E110" s="57"/>
      <c r="F110" s="57"/>
      <c r="G110" s="57"/>
      <c r="H110" s="35"/>
      <c r="I110" s="37"/>
      <c r="J110" s="228"/>
      <c r="K110" s="37"/>
    </row>
    <row r="111" spans="1:11" x14ac:dyDescent="0.25">
      <c r="A111" s="37"/>
      <c r="B111" s="37"/>
      <c r="C111" s="37"/>
      <c r="D111" s="211"/>
      <c r="E111" s="56" t="s">
        <v>13</v>
      </c>
      <c r="F111" s="56"/>
      <c r="G111" s="57">
        <f>SUM(G97:G110)</f>
        <v>106196.31833333331</v>
      </c>
      <c r="H111" s="35"/>
      <c r="I111" s="37"/>
      <c r="J111" s="228"/>
      <c r="K111" s="37"/>
    </row>
    <row r="112" spans="1:11" x14ac:dyDescent="0.25">
      <c r="A112" s="37"/>
      <c r="B112" s="37"/>
      <c r="C112" s="37"/>
      <c r="D112" s="37"/>
      <c r="E112" s="37"/>
      <c r="F112" s="37"/>
      <c r="G112" s="37"/>
      <c r="H112" s="37"/>
      <c r="I112" s="37"/>
      <c r="J112" s="228"/>
      <c r="K112" s="37"/>
    </row>
    <row r="113" spans="1:11" x14ac:dyDescent="0.25">
      <c r="A113" s="37"/>
      <c r="B113" s="37"/>
      <c r="C113" s="37"/>
      <c r="D113" s="37"/>
      <c r="E113" s="37"/>
      <c r="F113" s="37"/>
      <c r="G113" s="37"/>
      <c r="H113" s="37"/>
      <c r="I113" s="37"/>
      <c r="J113" s="228"/>
      <c r="K113" s="37"/>
    </row>
    <row r="114" spans="1:11" x14ac:dyDescent="0.25">
      <c r="A114" s="37"/>
      <c r="B114" s="37"/>
      <c r="C114" s="37"/>
      <c r="D114" s="37"/>
      <c r="E114" s="37"/>
      <c r="F114" s="37"/>
      <c r="G114" s="37"/>
      <c r="H114" s="37"/>
      <c r="I114" s="37"/>
      <c r="J114" s="228"/>
      <c r="K114" s="37"/>
    </row>
    <row r="115" spans="1:11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228"/>
      <c r="K115" s="37"/>
    </row>
    <row r="116" spans="1:11" x14ac:dyDescent="0.25">
      <c r="A116" s="37"/>
      <c r="B116" s="37"/>
      <c r="C116" s="37"/>
      <c r="D116" s="37"/>
      <c r="E116" s="37"/>
      <c r="F116" s="37"/>
      <c r="G116" s="37"/>
      <c r="H116" s="37"/>
      <c r="I116" s="37"/>
      <c r="J116" s="228"/>
      <c r="K116" s="37"/>
    </row>
    <row r="117" spans="1:11" x14ac:dyDescent="0.25">
      <c r="A117" s="37"/>
      <c r="B117" s="37"/>
      <c r="C117" s="37"/>
      <c r="D117" s="37"/>
      <c r="E117" s="37"/>
      <c r="F117" s="37"/>
      <c r="G117" s="37"/>
      <c r="H117" s="37"/>
      <c r="I117" s="37"/>
      <c r="J117" s="228"/>
      <c r="K117" s="37"/>
    </row>
    <row r="118" spans="1:11" x14ac:dyDescent="0.25">
      <c r="A118" s="37"/>
      <c r="B118" s="37"/>
      <c r="C118" s="39" t="s">
        <v>239</v>
      </c>
      <c r="D118" s="39"/>
      <c r="E118" s="40"/>
      <c r="F118" s="40">
        <f>C99-G111</f>
        <v>368302.13766666671</v>
      </c>
      <c r="G118" s="37"/>
      <c r="H118" s="37"/>
      <c r="I118" s="37"/>
      <c r="J118" s="228"/>
      <c r="K118" s="37"/>
    </row>
    <row r="119" spans="1:11" x14ac:dyDescent="0.25">
      <c r="A119" s="37"/>
      <c r="B119" s="37"/>
      <c r="C119" s="72" t="s">
        <v>883</v>
      </c>
      <c r="D119" s="72"/>
      <c r="E119" s="72"/>
      <c r="F119" s="235">
        <v>100000</v>
      </c>
      <c r="G119" s="37"/>
      <c r="H119" s="37"/>
      <c r="I119" s="37"/>
      <c r="J119" s="228"/>
      <c r="K119" s="37"/>
    </row>
    <row r="120" spans="1:11" x14ac:dyDescent="0.25">
      <c r="A120" s="72"/>
      <c r="B120" s="72"/>
      <c r="C120" s="72"/>
      <c r="D120" s="72"/>
      <c r="E120" s="72"/>
      <c r="F120" s="72"/>
      <c r="G120" s="72"/>
      <c r="H120" s="72"/>
      <c r="I120" s="72"/>
      <c r="J120" s="232"/>
      <c r="K120" s="72"/>
    </row>
    <row r="121" spans="1:11" x14ac:dyDescent="0.25">
      <c r="A121" s="72"/>
      <c r="B121" s="72"/>
      <c r="C121" s="72"/>
      <c r="D121" s="72" t="s">
        <v>35</v>
      </c>
      <c r="E121" s="72"/>
      <c r="F121" s="114">
        <f>F118-F119</f>
        <v>268302.13766666671</v>
      </c>
      <c r="G121" s="72"/>
      <c r="H121" s="72"/>
      <c r="I121" s="72"/>
      <c r="J121" s="232"/>
      <c r="K121" s="72"/>
    </row>
    <row r="122" spans="1:11" x14ac:dyDescent="0.25">
      <c r="A122" s="72"/>
      <c r="B122" s="72"/>
      <c r="C122" s="72"/>
      <c r="D122" s="72"/>
      <c r="E122" s="72"/>
      <c r="F122" s="72"/>
      <c r="G122" s="72"/>
      <c r="H122" s="72"/>
      <c r="I122" s="72"/>
      <c r="J122" s="232"/>
      <c r="K122" s="72"/>
    </row>
    <row r="123" spans="1:11" x14ac:dyDescent="0.25">
      <c r="A123" s="72"/>
      <c r="B123" s="72"/>
      <c r="C123" s="72"/>
      <c r="D123" s="72"/>
      <c r="E123" s="72"/>
      <c r="F123" s="72"/>
      <c r="G123" s="72"/>
      <c r="H123" s="72"/>
      <c r="I123" s="72"/>
      <c r="J123" s="232"/>
      <c r="K123" s="72"/>
    </row>
    <row r="124" spans="1:11" x14ac:dyDescent="0.25">
      <c r="K124"/>
    </row>
    <row r="125" spans="1:11" x14ac:dyDescent="0.25">
      <c r="K125"/>
    </row>
    <row r="126" spans="1:11" x14ac:dyDescent="0.25">
      <c r="K126"/>
    </row>
    <row r="127" spans="1:11" x14ac:dyDescent="0.25">
      <c r="K127"/>
    </row>
    <row r="128" spans="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</sheetData>
  <conditionalFormatting sqref="E1 E3:E65">
    <cfRule type="cellIs" dxfId="33" priority="15" operator="equal">
      <formula>"K.KART"</formula>
    </cfRule>
    <cfRule type="cellIs" dxfId="32" priority="16" operator="equal">
      <formula>"AÇIK"</formula>
    </cfRule>
  </conditionalFormatting>
  <conditionalFormatting sqref="E67:E83">
    <cfRule type="cellIs" dxfId="31" priority="5" operator="equal">
      <formula>"K.KART"</formula>
    </cfRule>
    <cfRule type="cellIs" dxfId="30" priority="6" operator="equal">
      <formula>"AÇIK"</formula>
    </cfRule>
  </conditionalFormatting>
  <conditionalFormatting sqref="F5">
    <cfRule type="cellIs" dxfId="29" priority="11" operator="equal">
      <formula>"K.KART"</formula>
    </cfRule>
    <cfRule type="cellIs" dxfId="28" priority="12" operator="equal">
      <formula>"AÇIK"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64A2-941A-47A5-AD50-27EDA5E63487}">
  <dimension ref="A1:K163"/>
  <sheetViews>
    <sheetView topLeftCell="A139" workbookViewId="0">
      <selection activeCell="E5" sqref="E5"/>
    </sheetView>
  </sheetViews>
  <sheetFormatPr defaultRowHeight="15" x14ac:dyDescent="0.25"/>
  <cols>
    <col min="1" max="1" width="25.7109375" customWidth="1"/>
    <col min="2" max="2" width="12.7109375" customWidth="1"/>
    <col min="3" max="3" width="12.42578125" customWidth="1"/>
    <col min="4" max="4" width="13" customWidth="1"/>
    <col min="5" max="5" width="16.28515625" customWidth="1"/>
    <col min="6" max="6" width="25.140625" customWidth="1"/>
    <col min="7" max="7" width="19.28515625" customWidth="1"/>
    <col min="8" max="8" width="18.5703125" customWidth="1"/>
    <col min="9" max="9" width="20" customWidth="1"/>
    <col min="10" max="10" width="20.42578125" customWidth="1"/>
    <col min="11" max="11" width="13.140625" customWidth="1"/>
  </cols>
  <sheetData>
    <row r="1" spans="1:11" x14ac:dyDescent="0.25">
      <c r="A1" s="186" t="s">
        <v>750</v>
      </c>
      <c r="B1" s="72"/>
      <c r="C1" s="187"/>
      <c r="D1" s="72"/>
      <c r="E1" s="188"/>
      <c r="F1" s="188"/>
      <c r="G1" s="114"/>
      <c r="H1" s="114"/>
      <c r="I1" s="114"/>
      <c r="J1" s="114"/>
      <c r="K1" s="72"/>
    </row>
    <row r="2" spans="1:11" x14ac:dyDescent="0.25">
      <c r="A2" s="189" t="s">
        <v>0</v>
      </c>
      <c r="B2" s="189"/>
      <c r="C2" s="189"/>
      <c r="D2" s="189"/>
      <c r="E2" s="189"/>
      <c r="F2" s="189"/>
      <c r="G2" s="189"/>
      <c r="H2" s="189"/>
      <c r="I2" s="189"/>
      <c r="J2" s="40">
        <v>268302.14</v>
      </c>
      <c r="K2" s="189"/>
    </row>
    <row r="3" spans="1:11" x14ac:dyDescent="0.25">
      <c r="A3" s="190" t="s">
        <v>1</v>
      </c>
      <c r="B3" s="190" t="s">
        <v>2</v>
      </c>
      <c r="C3" s="191" t="s">
        <v>3</v>
      </c>
      <c r="D3" s="190" t="s">
        <v>4</v>
      </c>
      <c r="E3" s="190" t="s">
        <v>5</v>
      </c>
      <c r="F3" s="190" t="s">
        <v>6</v>
      </c>
      <c r="G3" s="192" t="s">
        <v>7</v>
      </c>
      <c r="H3" s="192" t="s">
        <v>8</v>
      </c>
      <c r="I3" s="192" t="s">
        <v>9</v>
      </c>
      <c r="J3" s="192" t="s">
        <v>10</v>
      </c>
      <c r="K3" s="190" t="s">
        <v>11</v>
      </c>
    </row>
    <row r="4" spans="1:11" x14ac:dyDescent="0.25">
      <c r="A4" s="37" t="s">
        <v>751</v>
      </c>
      <c r="B4" s="37">
        <v>591209242</v>
      </c>
      <c r="C4" s="193">
        <v>45877</v>
      </c>
      <c r="D4" s="37" t="s">
        <v>752</v>
      </c>
      <c r="E4" s="37" t="s">
        <v>38</v>
      </c>
      <c r="F4" s="37" t="s">
        <v>751</v>
      </c>
      <c r="G4" s="194">
        <v>12407.56</v>
      </c>
      <c r="H4" s="35">
        <v>11816.72</v>
      </c>
      <c r="I4" s="35">
        <v>1772.51</v>
      </c>
      <c r="J4" s="35">
        <f t="shared" ref="J4:J29" si="0">I4*K4</f>
        <v>1063.5059999999999</v>
      </c>
      <c r="K4" s="195">
        <v>0.6</v>
      </c>
    </row>
    <row r="5" spans="1:11" x14ac:dyDescent="0.25">
      <c r="A5" s="197" t="s">
        <v>151</v>
      </c>
      <c r="B5" s="37">
        <v>591949776</v>
      </c>
      <c r="C5" s="193">
        <v>45875</v>
      </c>
      <c r="D5" s="37" t="s">
        <v>753</v>
      </c>
      <c r="E5" s="37" t="s">
        <v>41</v>
      </c>
      <c r="F5" s="37" t="s">
        <v>12</v>
      </c>
      <c r="G5" s="35">
        <v>26615.62</v>
      </c>
      <c r="H5" s="35">
        <v>25348.21</v>
      </c>
      <c r="I5" s="35">
        <v>3802.24</v>
      </c>
      <c r="J5" s="35">
        <f t="shared" si="0"/>
        <v>2281.3439999999996</v>
      </c>
      <c r="K5" s="195">
        <v>0.6</v>
      </c>
    </row>
    <row r="6" spans="1:11" x14ac:dyDescent="0.25">
      <c r="A6" s="197" t="s">
        <v>759</v>
      </c>
      <c r="B6" s="37">
        <v>593945120</v>
      </c>
      <c r="C6" s="193">
        <v>45877</v>
      </c>
      <c r="D6" s="196" t="s">
        <v>760</v>
      </c>
      <c r="E6" s="37" t="s">
        <v>38</v>
      </c>
      <c r="F6" s="197" t="s">
        <v>759</v>
      </c>
      <c r="G6" s="35">
        <v>11388.02</v>
      </c>
      <c r="H6" s="35">
        <v>10845.73</v>
      </c>
      <c r="I6" s="35">
        <v>1626.86</v>
      </c>
      <c r="J6" s="35">
        <f t="shared" si="0"/>
        <v>976.11599999999987</v>
      </c>
      <c r="K6" s="195">
        <v>0.6</v>
      </c>
    </row>
    <row r="7" spans="1:11" x14ac:dyDescent="0.25">
      <c r="A7" s="37" t="s">
        <v>761</v>
      </c>
      <c r="B7" s="37">
        <v>593577340</v>
      </c>
      <c r="C7" s="193">
        <v>45875</v>
      </c>
      <c r="D7" s="196" t="s">
        <v>762</v>
      </c>
      <c r="E7" s="37" t="s">
        <v>38</v>
      </c>
      <c r="F7" s="37" t="s">
        <v>12</v>
      </c>
      <c r="G7" s="35">
        <v>28698.14</v>
      </c>
      <c r="H7" s="35">
        <v>27331.55</v>
      </c>
      <c r="I7" s="35">
        <v>4099.75</v>
      </c>
      <c r="J7" s="35">
        <f t="shared" si="0"/>
        <v>2459.85</v>
      </c>
      <c r="K7" s="195">
        <v>0.6</v>
      </c>
    </row>
    <row r="8" spans="1:11" x14ac:dyDescent="0.25">
      <c r="A8" s="37" t="s">
        <v>763</v>
      </c>
      <c r="B8" s="37">
        <v>592416670</v>
      </c>
      <c r="C8" s="193">
        <v>45871</v>
      </c>
      <c r="D8" s="37" t="s">
        <v>764</v>
      </c>
      <c r="E8" s="37" t="s">
        <v>38</v>
      </c>
      <c r="F8" s="37" t="s">
        <v>12</v>
      </c>
      <c r="G8" s="35">
        <v>21842.38</v>
      </c>
      <c r="H8" s="35">
        <v>20802.259999999998</v>
      </c>
      <c r="I8" s="35">
        <v>3120.34</v>
      </c>
      <c r="J8" s="35">
        <f t="shared" si="0"/>
        <v>1872.204</v>
      </c>
      <c r="K8" s="195">
        <v>0.6</v>
      </c>
    </row>
    <row r="9" spans="1:11" x14ac:dyDescent="0.25">
      <c r="A9" s="37" t="s">
        <v>780</v>
      </c>
      <c r="B9" s="37">
        <v>593746750</v>
      </c>
      <c r="C9" s="193">
        <v>45890</v>
      </c>
      <c r="D9" s="37" t="s">
        <v>781</v>
      </c>
      <c r="E9" s="37" t="s">
        <v>38</v>
      </c>
      <c r="F9" s="37" t="s">
        <v>581</v>
      </c>
      <c r="G9" s="35">
        <v>16351.85</v>
      </c>
      <c r="H9" s="35">
        <v>15573.19</v>
      </c>
      <c r="I9" s="35">
        <v>2335.98</v>
      </c>
      <c r="J9" s="35">
        <f t="shared" si="0"/>
        <v>1401.588</v>
      </c>
      <c r="K9" s="195">
        <v>0.6</v>
      </c>
    </row>
    <row r="10" spans="1:11" x14ac:dyDescent="0.25">
      <c r="A10" s="37" t="s">
        <v>810</v>
      </c>
      <c r="B10" s="37">
        <v>595131831</v>
      </c>
      <c r="C10" s="193">
        <v>45881</v>
      </c>
      <c r="D10" s="37" t="s">
        <v>811</v>
      </c>
      <c r="E10" s="37" t="s">
        <v>38</v>
      </c>
      <c r="F10" s="37" t="s">
        <v>814</v>
      </c>
      <c r="G10" s="35">
        <v>21292.04</v>
      </c>
      <c r="H10" s="35">
        <v>20278.12</v>
      </c>
      <c r="I10" s="35">
        <v>3041.73</v>
      </c>
      <c r="J10" s="35">
        <f t="shared" si="0"/>
        <v>1825.038</v>
      </c>
      <c r="K10" s="195">
        <v>0.6</v>
      </c>
    </row>
    <row r="11" spans="1:11" x14ac:dyDescent="0.25">
      <c r="A11" s="37" t="s">
        <v>787</v>
      </c>
      <c r="B11" s="37">
        <v>595199829</v>
      </c>
      <c r="C11" s="193">
        <v>45881</v>
      </c>
      <c r="D11" s="37" t="s">
        <v>43</v>
      </c>
      <c r="E11" s="37" t="s">
        <v>38</v>
      </c>
      <c r="F11" s="37" t="s">
        <v>787</v>
      </c>
      <c r="G11" s="35">
        <v>31544.41</v>
      </c>
      <c r="H11" s="35">
        <v>30042.28</v>
      </c>
      <c r="I11" s="35">
        <v>4506.3500000000004</v>
      </c>
      <c r="J11" s="35">
        <f t="shared" si="0"/>
        <v>2703.81</v>
      </c>
      <c r="K11" s="195">
        <v>0.6</v>
      </c>
    </row>
    <row r="12" spans="1:11" x14ac:dyDescent="0.25">
      <c r="A12" s="37" t="s">
        <v>774</v>
      </c>
      <c r="B12" s="37">
        <v>597307401</v>
      </c>
      <c r="C12" s="193">
        <v>45896</v>
      </c>
      <c r="D12" s="37" t="s">
        <v>775</v>
      </c>
      <c r="E12" s="37" t="s">
        <v>41</v>
      </c>
      <c r="F12" s="37" t="s">
        <v>12</v>
      </c>
      <c r="G12" s="35">
        <v>10893.22</v>
      </c>
      <c r="H12" s="35">
        <v>10374.49</v>
      </c>
      <c r="I12" s="35">
        <v>1556.18</v>
      </c>
      <c r="J12" s="35">
        <f t="shared" si="0"/>
        <v>933.70799999999997</v>
      </c>
      <c r="K12" s="195">
        <v>0.6</v>
      </c>
    </row>
    <row r="13" spans="1:11" x14ac:dyDescent="0.25">
      <c r="A13" s="197" t="s">
        <v>169</v>
      </c>
      <c r="B13" s="37">
        <v>593723941</v>
      </c>
      <c r="C13" s="193">
        <v>45888</v>
      </c>
      <c r="D13" s="37" t="s">
        <v>784</v>
      </c>
      <c r="E13" s="37" t="s">
        <v>38</v>
      </c>
      <c r="F13" s="197" t="s">
        <v>57</v>
      </c>
      <c r="G13" s="35">
        <v>10787.51</v>
      </c>
      <c r="H13" s="35">
        <v>10273.82</v>
      </c>
      <c r="I13" s="35">
        <v>1541.08</v>
      </c>
      <c r="J13" s="35">
        <f t="shared" si="0"/>
        <v>924.64799999999991</v>
      </c>
      <c r="K13" s="195">
        <v>0.6</v>
      </c>
    </row>
    <row r="14" spans="1:11" x14ac:dyDescent="0.25">
      <c r="A14" s="197" t="s">
        <v>252</v>
      </c>
      <c r="B14" s="37">
        <v>595824571</v>
      </c>
      <c r="C14" s="193">
        <v>45897</v>
      </c>
      <c r="D14" s="37" t="s">
        <v>793</v>
      </c>
      <c r="E14" s="37" t="s">
        <v>38</v>
      </c>
      <c r="F14" s="197" t="s">
        <v>57</v>
      </c>
      <c r="G14" s="35">
        <v>9561.85</v>
      </c>
      <c r="H14" s="35">
        <v>9106.52</v>
      </c>
      <c r="I14" s="35">
        <v>1365.99</v>
      </c>
      <c r="J14" s="35">
        <f t="shared" si="0"/>
        <v>819.59399999999994</v>
      </c>
      <c r="K14" s="195">
        <v>0.6</v>
      </c>
    </row>
    <row r="15" spans="1:11" x14ac:dyDescent="0.25">
      <c r="A15" s="10" t="s">
        <v>815</v>
      </c>
      <c r="B15" s="10">
        <v>593719375</v>
      </c>
      <c r="C15" s="9">
        <v>45888</v>
      </c>
      <c r="D15" s="10" t="s">
        <v>816</v>
      </c>
      <c r="E15" s="10" t="s">
        <v>38</v>
      </c>
      <c r="F15" s="11" t="s">
        <v>815</v>
      </c>
      <c r="G15" s="17">
        <v>19412.849999999999</v>
      </c>
      <c r="H15" s="17">
        <v>18488.419999999998</v>
      </c>
      <c r="I15" s="35">
        <v>2773.26</v>
      </c>
      <c r="J15" s="35">
        <f t="shared" si="0"/>
        <v>1663.9560000000001</v>
      </c>
      <c r="K15" s="195">
        <v>0.6</v>
      </c>
    </row>
    <row r="16" spans="1:11" x14ac:dyDescent="0.25">
      <c r="A16" s="197" t="s">
        <v>63</v>
      </c>
      <c r="B16" s="37">
        <v>595173406</v>
      </c>
      <c r="C16" s="193">
        <v>45885</v>
      </c>
      <c r="D16" s="37" t="s">
        <v>817</v>
      </c>
      <c r="E16" s="37" t="s">
        <v>38</v>
      </c>
      <c r="F16" s="37" t="s">
        <v>63</v>
      </c>
      <c r="G16" s="35">
        <v>12337.53</v>
      </c>
      <c r="H16" s="35">
        <v>11750.02</v>
      </c>
      <c r="I16" s="35">
        <v>1762.52</v>
      </c>
      <c r="J16" s="35">
        <f t="shared" si="0"/>
        <v>1057.5119999999999</v>
      </c>
      <c r="K16" s="195">
        <v>0.6</v>
      </c>
    </row>
    <row r="17" spans="1:11" x14ac:dyDescent="0.25">
      <c r="A17" s="37" t="s">
        <v>796</v>
      </c>
      <c r="B17" s="37">
        <v>597296229</v>
      </c>
      <c r="C17" s="193">
        <v>45895</v>
      </c>
      <c r="D17" s="37" t="s">
        <v>797</v>
      </c>
      <c r="E17" s="37" t="s">
        <v>41</v>
      </c>
      <c r="F17" s="37" t="s">
        <v>12</v>
      </c>
      <c r="G17" s="35">
        <v>12779.51</v>
      </c>
      <c r="H17" s="35">
        <v>12170.95</v>
      </c>
      <c r="I17" s="35">
        <v>1825.65</v>
      </c>
      <c r="J17" s="35">
        <f t="shared" si="0"/>
        <v>1095.3900000000001</v>
      </c>
      <c r="K17" s="195">
        <v>0.6</v>
      </c>
    </row>
    <row r="18" spans="1:11" x14ac:dyDescent="0.25">
      <c r="A18" s="37" t="s">
        <v>848</v>
      </c>
      <c r="B18" s="37">
        <v>598218245</v>
      </c>
      <c r="C18" s="193">
        <v>45894</v>
      </c>
      <c r="D18" s="37" t="s">
        <v>849</v>
      </c>
      <c r="E18" s="37" t="s">
        <v>38</v>
      </c>
      <c r="F18" s="37" t="s">
        <v>848</v>
      </c>
      <c r="G18" s="35">
        <v>24266.32</v>
      </c>
      <c r="H18" s="35">
        <v>23110.77</v>
      </c>
      <c r="I18" s="35">
        <v>3466.62</v>
      </c>
      <c r="J18" s="35">
        <f t="shared" si="0"/>
        <v>2079.9719999999998</v>
      </c>
      <c r="K18" s="195">
        <v>0.6</v>
      </c>
    </row>
    <row r="19" spans="1:11" x14ac:dyDescent="0.25">
      <c r="A19" s="37" t="s">
        <v>850</v>
      </c>
      <c r="B19" s="37">
        <v>597320681</v>
      </c>
      <c r="C19" s="193">
        <v>45897</v>
      </c>
      <c r="D19" s="37" t="s">
        <v>851</v>
      </c>
      <c r="E19" s="37" t="s">
        <v>38</v>
      </c>
      <c r="F19" s="37" t="s">
        <v>850</v>
      </c>
      <c r="G19" s="35">
        <v>15773.51</v>
      </c>
      <c r="H19" s="35">
        <v>15022.38</v>
      </c>
      <c r="I19" s="35">
        <v>2253.36</v>
      </c>
      <c r="J19" s="35">
        <f t="shared" si="0"/>
        <v>1352.0160000000001</v>
      </c>
      <c r="K19" s="195">
        <v>0.6</v>
      </c>
    </row>
    <row r="20" spans="1:11" x14ac:dyDescent="0.25">
      <c r="A20" s="37" t="s">
        <v>852</v>
      </c>
      <c r="B20" s="37">
        <v>598008842</v>
      </c>
      <c r="C20" s="193">
        <v>45894</v>
      </c>
      <c r="D20" s="37" t="s">
        <v>853</v>
      </c>
      <c r="E20" s="37" t="s">
        <v>38</v>
      </c>
      <c r="F20" s="197" t="s">
        <v>852</v>
      </c>
      <c r="G20" s="35">
        <v>19633.63</v>
      </c>
      <c r="H20" s="35">
        <v>18698.7</v>
      </c>
      <c r="I20" s="35">
        <v>2804.81</v>
      </c>
      <c r="J20" s="35">
        <f t="shared" si="0"/>
        <v>1682.886</v>
      </c>
      <c r="K20" s="195">
        <v>0.6</v>
      </c>
    </row>
    <row r="21" spans="1:11" x14ac:dyDescent="0.25">
      <c r="A21" s="37" t="s">
        <v>854</v>
      </c>
      <c r="B21" s="37">
        <v>596431195</v>
      </c>
      <c r="C21" s="193">
        <v>45894</v>
      </c>
      <c r="D21" s="37" t="s">
        <v>855</v>
      </c>
      <c r="E21" s="37" t="s">
        <v>38</v>
      </c>
      <c r="F21" s="197" t="s">
        <v>854</v>
      </c>
      <c r="G21" s="35">
        <v>14839.43</v>
      </c>
      <c r="H21" s="35">
        <v>14132.78</v>
      </c>
      <c r="I21" s="35">
        <v>2119.92</v>
      </c>
      <c r="J21" s="35">
        <f t="shared" si="0"/>
        <v>1271.952</v>
      </c>
      <c r="K21" s="195">
        <v>0.6</v>
      </c>
    </row>
    <row r="22" spans="1:11" x14ac:dyDescent="0.25">
      <c r="A22" s="37" t="s">
        <v>872</v>
      </c>
      <c r="B22" s="37">
        <v>597328696</v>
      </c>
      <c r="C22" s="193">
        <v>45900</v>
      </c>
      <c r="D22" s="37" t="s">
        <v>866</v>
      </c>
      <c r="E22" s="37" t="s">
        <v>41</v>
      </c>
      <c r="F22" s="197" t="s">
        <v>12</v>
      </c>
      <c r="G22" s="35">
        <v>10399.6</v>
      </c>
      <c r="H22" s="35">
        <v>9904.3700000000008</v>
      </c>
      <c r="I22" s="35">
        <v>1485.66</v>
      </c>
      <c r="J22" s="35">
        <f t="shared" si="0"/>
        <v>891.39600000000007</v>
      </c>
      <c r="K22" s="195">
        <v>0.6</v>
      </c>
    </row>
    <row r="23" spans="1:11" x14ac:dyDescent="0.25">
      <c r="A23" s="37" t="s">
        <v>568</v>
      </c>
      <c r="B23" s="37">
        <v>592738855</v>
      </c>
      <c r="C23" s="193">
        <v>45882</v>
      </c>
      <c r="D23" s="37" t="s">
        <v>790</v>
      </c>
      <c r="E23" s="37" t="s">
        <v>38</v>
      </c>
      <c r="F23" s="197" t="s">
        <v>568</v>
      </c>
      <c r="G23" s="35">
        <v>9344.34</v>
      </c>
      <c r="H23" s="35">
        <v>8899.36</v>
      </c>
      <c r="I23" s="35">
        <v>1334.91</v>
      </c>
      <c r="J23" s="35">
        <f t="shared" si="0"/>
        <v>800.94600000000003</v>
      </c>
      <c r="K23" s="195">
        <v>0.6</v>
      </c>
    </row>
    <row r="24" spans="1:11" x14ac:dyDescent="0.25">
      <c r="A24" s="37" t="s">
        <v>143</v>
      </c>
      <c r="B24" s="37">
        <v>532323043</v>
      </c>
      <c r="C24" s="193">
        <v>45876</v>
      </c>
      <c r="D24" s="37" t="s">
        <v>913</v>
      </c>
      <c r="E24" s="37" t="s">
        <v>41</v>
      </c>
      <c r="F24" s="197" t="s">
        <v>123</v>
      </c>
      <c r="G24" s="35">
        <v>1938.42</v>
      </c>
      <c r="H24" s="35">
        <v>1846.12</v>
      </c>
      <c r="I24" s="35">
        <v>276.92</v>
      </c>
      <c r="J24" s="35">
        <f t="shared" ref="J24" si="1">I24*K24</f>
        <v>166.15200000000002</v>
      </c>
      <c r="K24" s="195">
        <v>0.6</v>
      </c>
    </row>
    <row r="25" spans="1:11" x14ac:dyDescent="0.25">
      <c r="A25" s="245" t="s">
        <v>44</v>
      </c>
      <c r="B25" s="249">
        <v>538521994</v>
      </c>
      <c r="C25" s="250">
        <v>45884</v>
      </c>
      <c r="D25" s="249" t="s">
        <v>45</v>
      </c>
      <c r="E25" s="197" t="s">
        <v>38</v>
      </c>
      <c r="F25" s="147" t="s">
        <v>112</v>
      </c>
      <c r="G25" s="248">
        <v>3645.87</v>
      </c>
      <c r="H25" s="248">
        <v>3472.26</v>
      </c>
      <c r="I25" s="159">
        <v>-520.86</v>
      </c>
      <c r="J25" s="146">
        <f t="shared" si="0"/>
        <v>-312.51600000000002</v>
      </c>
      <c r="K25" s="172">
        <v>0.6</v>
      </c>
    </row>
    <row r="26" spans="1:11" x14ac:dyDescent="0.25">
      <c r="A26" s="245" t="s">
        <v>912</v>
      </c>
      <c r="B26" s="249">
        <v>578925502</v>
      </c>
      <c r="C26" s="250">
        <v>45874</v>
      </c>
      <c r="D26" s="249" t="s">
        <v>641</v>
      </c>
      <c r="E26" s="197" t="s">
        <v>41</v>
      </c>
      <c r="F26" s="147" t="s">
        <v>112</v>
      </c>
      <c r="G26" s="146">
        <v>15594.74</v>
      </c>
      <c r="H26" s="146">
        <v>14852.14</v>
      </c>
      <c r="I26" s="159">
        <v>-2227.84</v>
      </c>
      <c r="J26" s="146">
        <f t="shared" si="0"/>
        <v>-1336.704</v>
      </c>
      <c r="K26" s="172">
        <v>0.6</v>
      </c>
    </row>
    <row r="27" spans="1:11" x14ac:dyDescent="0.25">
      <c r="A27" s="37"/>
      <c r="B27" s="37"/>
      <c r="C27" s="193"/>
      <c r="D27" s="37"/>
      <c r="E27" s="37"/>
      <c r="F27" s="197"/>
      <c r="G27" s="35"/>
      <c r="H27" s="35"/>
      <c r="I27" s="35"/>
      <c r="J27" s="35">
        <f t="shared" si="0"/>
        <v>0</v>
      </c>
      <c r="K27" s="195">
        <v>0.6</v>
      </c>
    </row>
    <row r="28" spans="1:11" x14ac:dyDescent="0.25">
      <c r="A28" s="37"/>
      <c r="B28" s="37"/>
      <c r="C28" s="193"/>
      <c r="D28" s="37"/>
      <c r="E28" s="37"/>
      <c r="F28" s="197"/>
      <c r="G28" s="35"/>
      <c r="H28" s="35"/>
      <c r="I28" s="35"/>
      <c r="J28" s="35">
        <f t="shared" si="0"/>
        <v>0</v>
      </c>
      <c r="K28" s="195">
        <v>0.6</v>
      </c>
    </row>
    <row r="29" spans="1:11" x14ac:dyDescent="0.25">
      <c r="A29" s="37"/>
      <c r="B29" s="37"/>
      <c r="C29" s="193"/>
      <c r="D29" s="37"/>
      <c r="E29" s="37"/>
      <c r="F29" s="197"/>
      <c r="G29" s="35"/>
      <c r="H29" s="35"/>
      <c r="I29" s="35"/>
      <c r="J29" s="35">
        <f t="shared" si="0"/>
        <v>0</v>
      </c>
      <c r="K29" s="195">
        <v>0.6</v>
      </c>
    </row>
    <row r="30" spans="1:11" x14ac:dyDescent="0.25">
      <c r="A30" s="37"/>
      <c r="B30" s="37"/>
      <c r="C30" s="193"/>
      <c r="D30" s="37"/>
      <c r="E30" s="37"/>
      <c r="F30" s="197"/>
      <c r="G30" s="35"/>
      <c r="H30" s="35"/>
      <c r="I30" s="35"/>
      <c r="J30" s="35"/>
      <c r="K30" s="195"/>
    </row>
    <row r="31" spans="1:11" x14ac:dyDescent="0.25">
      <c r="A31" s="37"/>
      <c r="B31" s="37"/>
      <c r="C31" s="193"/>
      <c r="D31" s="37"/>
      <c r="E31" s="37"/>
      <c r="F31" s="197"/>
      <c r="G31" s="35"/>
      <c r="H31" s="35"/>
      <c r="I31" s="35"/>
      <c r="J31" s="35"/>
      <c r="K31" s="195"/>
    </row>
    <row r="32" spans="1:11" x14ac:dyDescent="0.25">
      <c r="A32" s="37"/>
      <c r="B32" s="37"/>
      <c r="C32" s="193"/>
      <c r="D32" s="37"/>
      <c r="E32" s="37"/>
      <c r="F32" s="197"/>
      <c r="G32" s="35"/>
      <c r="H32" s="35"/>
      <c r="I32" s="35"/>
      <c r="J32" s="35"/>
      <c r="K32" s="195"/>
    </row>
    <row r="33" spans="1:11" x14ac:dyDescent="0.25">
      <c r="A33" s="37"/>
      <c r="B33" s="37"/>
      <c r="C33" s="193"/>
      <c r="D33" s="37"/>
      <c r="E33" s="37"/>
      <c r="F33" s="190" t="s">
        <v>13</v>
      </c>
      <c r="G33" s="192">
        <f>SUM(G4:G32)</f>
        <v>361348.35000000003</v>
      </c>
      <c r="H33" s="192">
        <f>SUM(H4:H32)</f>
        <v>344141.16000000003</v>
      </c>
      <c r="I33" s="192">
        <f>SUM(I4:I32)</f>
        <v>46123.94</v>
      </c>
      <c r="J33" s="192">
        <f>SUM(J4:J32)</f>
        <v>27674.363999999994</v>
      </c>
      <c r="K33" s="190"/>
    </row>
    <row r="34" spans="1:11" x14ac:dyDescent="0.25">
      <c r="A34" s="37"/>
      <c r="B34" s="37"/>
      <c r="C34" s="193"/>
      <c r="D34" s="37"/>
      <c r="E34" s="37"/>
      <c r="F34" s="198" t="s">
        <v>14</v>
      </c>
      <c r="G34" s="199">
        <f>G5+G12+G17+G22+G24</f>
        <v>62626.369999999995</v>
      </c>
      <c r="H34" s="35"/>
      <c r="I34" s="35"/>
      <c r="J34" s="35"/>
      <c r="K34" s="37"/>
    </row>
    <row r="35" spans="1:11" x14ac:dyDescent="0.25">
      <c r="A35" s="37"/>
      <c r="B35" s="37"/>
      <c r="C35" s="193"/>
      <c r="D35" s="37"/>
      <c r="E35" s="200"/>
      <c r="F35" s="201" t="s">
        <v>15</v>
      </c>
      <c r="G35" s="202">
        <f>G34/6</f>
        <v>10437.728333333333</v>
      </c>
      <c r="H35" s="35"/>
      <c r="I35" s="35"/>
      <c r="J35" s="35"/>
      <c r="K35" s="37"/>
    </row>
    <row r="36" spans="1:11" x14ac:dyDescent="0.25">
      <c r="A36" s="37"/>
      <c r="B36" s="251" t="s">
        <v>847</v>
      </c>
      <c r="C36" s="252"/>
      <c r="D36" s="244"/>
      <c r="E36" s="244"/>
      <c r="F36" s="37"/>
      <c r="G36" s="35"/>
      <c r="H36" s="35"/>
      <c r="I36" s="35"/>
      <c r="J36" s="35"/>
      <c r="K36" s="37"/>
    </row>
    <row r="37" spans="1:11" x14ac:dyDescent="0.25">
      <c r="A37" s="37" t="s">
        <v>16</v>
      </c>
      <c r="B37" s="37"/>
      <c r="C37" s="193"/>
      <c r="D37" s="37"/>
      <c r="E37" s="37"/>
      <c r="F37" s="37"/>
      <c r="G37" s="35"/>
      <c r="H37" s="35"/>
      <c r="I37" s="35"/>
      <c r="J37" s="35"/>
      <c r="K37" s="37"/>
    </row>
    <row r="38" spans="1:11" x14ac:dyDescent="0.25">
      <c r="A38" s="37" t="s">
        <v>754</v>
      </c>
      <c r="B38" s="203">
        <v>592092578</v>
      </c>
      <c r="C38" s="204">
        <v>45870</v>
      </c>
      <c r="D38" s="197" t="s">
        <v>755</v>
      </c>
      <c r="E38" s="197" t="s">
        <v>38</v>
      </c>
      <c r="F38" s="197" t="s">
        <v>57</v>
      </c>
      <c r="G38" s="194">
        <v>11263.31</v>
      </c>
      <c r="H38" s="194">
        <v>10211.23</v>
      </c>
      <c r="I38" s="35">
        <f>H38*10%</f>
        <v>1021.123</v>
      </c>
      <c r="J38" s="35">
        <f t="shared" ref="J38:J72" si="2">I38*K38</f>
        <v>612.67380000000003</v>
      </c>
      <c r="K38" s="195">
        <v>0.6</v>
      </c>
    </row>
    <row r="39" spans="1:11" x14ac:dyDescent="0.25">
      <c r="A39" s="37" t="s">
        <v>151</v>
      </c>
      <c r="B39" s="197">
        <v>590578765</v>
      </c>
      <c r="C39" s="204">
        <v>45874</v>
      </c>
      <c r="D39" s="197" t="s">
        <v>753</v>
      </c>
      <c r="E39" s="197" t="s">
        <v>38</v>
      </c>
      <c r="F39" s="197" t="s">
        <v>57</v>
      </c>
      <c r="G39" s="194">
        <v>9963.68</v>
      </c>
      <c r="H39" s="194">
        <v>8973.5</v>
      </c>
      <c r="I39" s="35">
        <f t="shared" ref="I39:I96" si="3">H39*10%</f>
        <v>897.35</v>
      </c>
      <c r="J39" s="35">
        <f t="shared" si="2"/>
        <v>538.41</v>
      </c>
      <c r="K39" s="195">
        <v>0.6</v>
      </c>
    </row>
    <row r="40" spans="1:11" x14ac:dyDescent="0.25">
      <c r="A40" s="37" t="s">
        <v>756</v>
      </c>
      <c r="B40" s="37">
        <v>592116380</v>
      </c>
      <c r="C40" s="193">
        <v>45870</v>
      </c>
      <c r="D40" s="37" t="s">
        <v>757</v>
      </c>
      <c r="E40" s="37" t="s">
        <v>38</v>
      </c>
      <c r="F40" s="37" t="s">
        <v>756</v>
      </c>
      <c r="G40" s="35">
        <v>9386</v>
      </c>
      <c r="H40" s="35">
        <v>8509.2999999999993</v>
      </c>
      <c r="I40" s="35">
        <f t="shared" si="3"/>
        <v>850.93</v>
      </c>
      <c r="J40" s="35">
        <f t="shared" si="2"/>
        <v>510.55799999999994</v>
      </c>
      <c r="K40" s="195">
        <v>0.6</v>
      </c>
    </row>
    <row r="41" spans="1:11" x14ac:dyDescent="0.25">
      <c r="A41" s="37" t="s">
        <v>765</v>
      </c>
      <c r="B41" s="203">
        <v>592464162</v>
      </c>
      <c r="C41" s="204">
        <v>45871</v>
      </c>
      <c r="D41" s="197" t="s">
        <v>766</v>
      </c>
      <c r="E41" s="197" t="s">
        <v>38</v>
      </c>
      <c r="F41" s="197" t="s">
        <v>767</v>
      </c>
      <c r="G41" s="194">
        <v>11696.49</v>
      </c>
      <c r="H41" s="194">
        <v>10623.8</v>
      </c>
      <c r="I41" s="35">
        <f t="shared" si="3"/>
        <v>1062.3799999999999</v>
      </c>
      <c r="J41" s="35">
        <f t="shared" si="2"/>
        <v>637.42799999999988</v>
      </c>
      <c r="K41" s="195">
        <v>0.6</v>
      </c>
    </row>
    <row r="42" spans="1:11" x14ac:dyDescent="0.25">
      <c r="A42" s="37" t="s">
        <v>761</v>
      </c>
      <c r="B42" s="197">
        <v>593578717</v>
      </c>
      <c r="C42" s="204">
        <v>45875</v>
      </c>
      <c r="D42" s="197" t="s">
        <v>762</v>
      </c>
      <c r="E42" s="197" t="s">
        <v>38</v>
      </c>
      <c r="F42" s="197" t="s">
        <v>768</v>
      </c>
      <c r="G42" s="194">
        <v>14441.03</v>
      </c>
      <c r="H42" s="194">
        <v>12892.88</v>
      </c>
      <c r="I42" s="35">
        <f t="shared" si="3"/>
        <v>1289.288</v>
      </c>
      <c r="J42" s="35">
        <f t="shared" si="2"/>
        <v>773.57280000000003</v>
      </c>
      <c r="K42" s="195">
        <v>0.6</v>
      </c>
    </row>
    <row r="43" spans="1:11" x14ac:dyDescent="0.25">
      <c r="A43" s="37" t="s">
        <v>769</v>
      </c>
      <c r="B43" s="197">
        <v>593488461</v>
      </c>
      <c r="C43" s="204">
        <v>45875</v>
      </c>
      <c r="D43" s="197" t="s">
        <v>43</v>
      </c>
      <c r="E43" s="197" t="s">
        <v>38</v>
      </c>
      <c r="F43" s="197" t="s">
        <v>57</v>
      </c>
      <c r="G43" s="194">
        <v>8447.36</v>
      </c>
      <c r="H43" s="194">
        <v>7658.34</v>
      </c>
      <c r="I43" s="35">
        <f t="shared" si="3"/>
        <v>765.83400000000006</v>
      </c>
      <c r="J43" s="35">
        <f t="shared" si="2"/>
        <v>459.50040000000001</v>
      </c>
      <c r="K43" s="195">
        <v>0.6</v>
      </c>
    </row>
    <row r="44" spans="1:11" x14ac:dyDescent="0.25">
      <c r="A44" s="37" t="s">
        <v>772</v>
      </c>
      <c r="B44" s="197">
        <v>597304476</v>
      </c>
      <c r="C44" s="204">
        <v>45895</v>
      </c>
      <c r="D44" s="197" t="s">
        <v>773</v>
      </c>
      <c r="E44" s="197" t="s">
        <v>38</v>
      </c>
      <c r="F44" s="197" t="s">
        <v>57</v>
      </c>
      <c r="G44" s="194">
        <v>10830.11</v>
      </c>
      <c r="H44" s="194">
        <v>9798.65</v>
      </c>
      <c r="I44" s="35">
        <f t="shared" si="3"/>
        <v>979.86500000000001</v>
      </c>
      <c r="J44" s="35">
        <f t="shared" si="2"/>
        <v>587.91899999999998</v>
      </c>
      <c r="K44" s="195">
        <v>0.6</v>
      </c>
    </row>
    <row r="45" spans="1:11" x14ac:dyDescent="0.25">
      <c r="A45" s="37" t="s">
        <v>342</v>
      </c>
      <c r="B45" s="197">
        <v>597316441</v>
      </c>
      <c r="C45" s="204">
        <v>45896</v>
      </c>
      <c r="D45" s="197" t="s">
        <v>343</v>
      </c>
      <c r="E45" s="197" t="s">
        <v>38</v>
      </c>
      <c r="F45" s="197" t="s">
        <v>57</v>
      </c>
      <c r="G45" s="194">
        <v>7220</v>
      </c>
      <c r="H45" s="194">
        <v>6446.44</v>
      </c>
      <c r="I45" s="35">
        <f t="shared" si="3"/>
        <v>644.64400000000001</v>
      </c>
      <c r="J45" s="35">
        <f t="shared" si="2"/>
        <v>386.78640000000001</v>
      </c>
      <c r="K45" s="195">
        <v>0.6</v>
      </c>
    </row>
    <row r="46" spans="1:11" x14ac:dyDescent="0.25">
      <c r="A46" s="37" t="s">
        <v>774</v>
      </c>
      <c r="B46" s="197">
        <v>597590555</v>
      </c>
      <c r="C46" s="204">
        <v>45896</v>
      </c>
      <c r="D46" s="197" t="s">
        <v>775</v>
      </c>
      <c r="E46" s="197" t="s">
        <v>38</v>
      </c>
      <c r="F46" s="197" t="s">
        <v>57</v>
      </c>
      <c r="G46" s="194">
        <v>8664.06</v>
      </c>
      <c r="H46" s="194">
        <v>7735.77</v>
      </c>
      <c r="I46" s="35">
        <f t="shared" si="3"/>
        <v>773.57700000000011</v>
      </c>
      <c r="J46" s="35">
        <f t="shared" si="2"/>
        <v>464.14620000000002</v>
      </c>
      <c r="K46" s="195">
        <v>0.6</v>
      </c>
    </row>
    <row r="47" spans="1:11" x14ac:dyDescent="0.25">
      <c r="A47" s="37" t="s">
        <v>776</v>
      </c>
      <c r="B47" s="197">
        <v>595113578</v>
      </c>
      <c r="C47" s="204">
        <v>45881</v>
      </c>
      <c r="D47" s="197" t="s">
        <v>777</v>
      </c>
      <c r="E47" s="197" t="s">
        <v>38</v>
      </c>
      <c r="F47" s="197" t="s">
        <v>57</v>
      </c>
      <c r="G47" s="194">
        <v>16172.86</v>
      </c>
      <c r="H47" s="194">
        <v>14715.1</v>
      </c>
      <c r="I47" s="35">
        <f t="shared" si="3"/>
        <v>1471.5100000000002</v>
      </c>
      <c r="J47" s="35">
        <f t="shared" si="2"/>
        <v>882.90600000000006</v>
      </c>
      <c r="K47" s="195">
        <v>0.6</v>
      </c>
    </row>
    <row r="48" spans="1:11" x14ac:dyDescent="0.25">
      <c r="A48" s="37" t="s">
        <v>778</v>
      </c>
      <c r="B48" s="197">
        <v>597241463</v>
      </c>
      <c r="C48" s="204">
        <v>45891</v>
      </c>
      <c r="D48" s="197" t="s">
        <v>779</v>
      </c>
      <c r="E48" s="197" t="s">
        <v>38</v>
      </c>
      <c r="F48" s="197" t="s">
        <v>57</v>
      </c>
      <c r="G48" s="194">
        <v>11263</v>
      </c>
      <c r="H48" s="194">
        <v>10211.219999999999</v>
      </c>
      <c r="I48" s="35">
        <f t="shared" si="3"/>
        <v>1021.122</v>
      </c>
      <c r="J48" s="35">
        <f t="shared" si="2"/>
        <v>612.67319999999995</v>
      </c>
      <c r="K48" s="195">
        <v>0.6</v>
      </c>
    </row>
    <row r="49" spans="1:11" x14ac:dyDescent="0.25">
      <c r="A49" s="37" t="s">
        <v>780</v>
      </c>
      <c r="B49" s="37">
        <v>593745824</v>
      </c>
      <c r="C49" s="204">
        <v>45890</v>
      </c>
      <c r="D49" s="197" t="s">
        <v>781</v>
      </c>
      <c r="E49" s="197" t="s">
        <v>38</v>
      </c>
      <c r="F49" s="197" t="s">
        <v>57</v>
      </c>
      <c r="G49" s="194">
        <v>13024.97</v>
      </c>
      <c r="H49" s="194">
        <v>11730.57</v>
      </c>
      <c r="I49" s="35">
        <f t="shared" si="3"/>
        <v>1173.057</v>
      </c>
      <c r="J49" s="35">
        <f t="shared" si="2"/>
        <v>703.83420000000001</v>
      </c>
      <c r="K49" s="195">
        <v>0.6</v>
      </c>
    </row>
    <row r="50" spans="1:11" x14ac:dyDescent="0.25">
      <c r="A50" s="11" t="s">
        <v>782</v>
      </c>
      <c r="B50" s="11">
        <v>593751216</v>
      </c>
      <c r="C50" s="12">
        <v>45890</v>
      </c>
      <c r="D50" s="11" t="s">
        <v>783</v>
      </c>
      <c r="E50" s="11" t="s">
        <v>38</v>
      </c>
      <c r="F50" s="10" t="s">
        <v>57</v>
      </c>
      <c r="G50" s="16">
        <v>14858.24</v>
      </c>
      <c r="H50" s="16">
        <v>13495.58</v>
      </c>
      <c r="I50" s="35">
        <f t="shared" si="3"/>
        <v>1349.558</v>
      </c>
      <c r="J50" s="35">
        <f t="shared" si="2"/>
        <v>809.73479999999995</v>
      </c>
      <c r="K50" s="195">
        <v>0.6</v>
      </c>
    </row>
    <row r="51" spans="1:11" x14ac:dyDescent="0.25">
      <c r="A51" s="37" t="s">
        <v>169</v>
      </c>
      <c r="B51" s="197">
        <v>595574138</v>
      </c>
      <c r="C51" s="204">
        <v>45888</v>
      </c>
      <c r="D51" s="197" t="s">
        <v>784</v>
      </c>
      <c r="E51" s="197" t="s">
        <v>38</v>
      </c>
      <c r="F51" s="197" t="s">
        <v>57</v>
      </c>
      <c r="G51" s="194">
        <v>9439</v>
      </c>
      <c r="H51" s="194">
        <v>8427.66</v>
      </c>
      <c r="I51" s="35">
        <f t="shared" si="3"/>
        <v>842.76600000000008</v>
      </c>
      <c r="J51" s="35">
        <f t="shared" si="2"/>
        <v>505.65960000000001</v>
      </c>
      <c r="K51" s="195">
        <v>0.6</v>
      </c>
    </row>
    <row r="52" spans="1:11" x14ac:dyDescent="0.25">
      <c r="A52" s="37" t="s">
        <v>785</v>
      </c>
      <c r="B52" s="197">
        <v>594374107</v>
      </c>
      <c r="C52" s="204">
        <v>45878</v>
      </c>
      <c r="D52" s="197" t="s">
        <v>786</v>
      </c>
      <c r="E52" s="197" t="s">
        <v>38</v>
      </c>
      <c r="F52" s="197" t="s">
        <v>57</v>
      </c>
      <c r="G52" s="194">
        <v>18240.45</v>
      </c>
      <c r="H52" s="194">
        <v>16536.66</v>
      </c>
      <c r="I52" s="35">
        <f t="shared" si="3"/>
        <v>1653.6660000000002</v>
      </c>
      <c r="J52" s="35">
        <f t="shared" si="2"/>
        <v>992.19960000000003</v>
      </c>
      <c r="K52" s="195">
        <v>0.6</v>
      </c>
    </row>
    <row r="53" spans="1:11" x14ac:dyDescent="0.25">
      <c r="A53" s="37" t="s">
        <v>787</v>
      </c>
      <c r="B53" s="197">
        <v>595201153</v>
      </c>
      <c r="C53" s="204">
        <v>45881</v>
      </c>
      <c r="D53" s="197" t="s">
        <v>43</v>
      </c>
      <c r="E53" s="197" t="s">
        <v>38</v>
      </c>
      <c r="F53" s="197" t="s">
        <v>57</v>
      </c>
      <c r="G53" s="194">
        <v>12996.1</v>
      </c>
      <c r="H53" s="194">
        <v>11603.66</v>
      </c>
      <c r="I53" s="35">
        <f t="shared" si="3"/>
        <v>1160.366</v>
      </c>
      <c r="J53" s="35">
        <f t="shared" si="2"/>
        <v>696.21960000000001</v>
      </c>
      <c r="K53" s="195">
        <v>0.6</v>
      </c>
    </row>
    <row r="54" spans="1:11" x14ac:dyDescent="0.25">
      <c r="A54" s="37" t="s">
        <v>788</v>
      </c>
      <c r="B54" s="197">
        <v>592732974</v>
      </c>
      <c r="C54" s="204">
        <v>45882</v>
      </c>
      <c r="D54" s="197" t="s">
        <v>789</v>
      </c>
      <c r="E54" s="197" t="s">
        <v>38</v>
      </c>
      <c r="F54" s="197" t="s">
        <v>57</v>
      </c>
      <c r="G54" s="194">
        <v>11263.3</v>
      </c>
      <c r="H54" s="194">
        <v>10211.23</v>
      </c>
      <c r="I54" s="35">
        <f t="shared" si="3"/>
        <v>1021.123</v>
      </c>
      <c r="J54" s="35">
        <f t="shared" si="2"/>
        <v>612.67380000000003</v>
      </c>
      <c r="K54" s="195">
        <v>0.6</v>
      </c>
    </row>
    <row r="55" spans="1:11" x14ac:dyDescent="0.25">
      <c r="A55" s="37" t="s">
        <v>568</v>
      </c>
      <c r="B55" s="197">
        <v>592735584</v>
      </c>
      <c r="C55" s="204">
        <v>45882</v>
      </c>
      <c r="D55" s="197" t="s">
        <v>790</v>
      </c>
      <c r="E55" s="197" t="s">
        <v>38</v>
      </c>
      <c r="F55" s="197" t="s">
        <v>57</v>
      </c>
      <c r="G55" s="194">
        <v>8664.06</v>
      </c>
      <c r="H55" s="194">
        <v>7735.77</v>
      </c>
      <c r="I55" s="35">
        <f t="shared" si="3"/>
        <v>773.57700000000011</v>
      </c>
      <c r="J55" s="35">
        <f t="shared" si="2"/>
        <v>464.14620000000002</v>
      </c>
      <c r="K55" s="195">
        <v>0.6</v>
      </c>
    </row>
    <row r="56" spans="1:11" x14ac:dyDescent="0.25">
      <c r="A56" s="37" t="s">
        <v>791</v>
      </c>
      <c r="B56" s="197">
        <v>592757973</v>
      </c>
      <c r="C56" s="193">
        <v>45884</v>
      </c>
      <c r="D56" s="37" t="s">
        <v>792</v>
      </c>
      <c r="E56" s="197" t="s">
        <v>38</v>
      </c>
      <c r="F56" s="197" t="s">
        <v>57</v>
      </c>
      <c r="G56" s="194">
        <v>23312.97</v>
      </c>
      <c r="H56" s="194">
        <v>21135.37</v>
      </c>
      <c r="I56" s="35">
        <f t="shared" si="3"/>
        <v>2113.5369999999998</v>
      </c>
      <c r="J56" s="35">
        <f t="shared" si="2"/>
        <v>1268.1221999999998</v>
      </c>
      <c r="K56" s="195">
        <v>0.6</v>
      </c>
    </row>
    <row r="57" spans="1:11" x14ac:dyDescent="0.25">
      <c r="A57" s="37" t="s">
        <v>252</v>
      </c>
      <c r="B57" s="197">
        <v>595825749</v>
      </c>
      <c r="C57" s="204">
        <v>45896</v>
      </c>
      <c r="D57" s="197" t="s">
        <v>793</v>
      </c>
      <c r="E57" s="197" t="s">
        <v>38</v>
      </c>
      <c r="F57" s="197" t="s">
        <v>57</v>
      </c>
      <c r="G57" s="194">
        <v>7220</v>
      </c>
      <c r="H57" s="194">
        <v>6446.43</v>
      </c>
      <c r="I57" s="35">
        <f t="shared" si="3"/>
        <v>644.64300000000003</v>
      </c>
      <c r="J57" s="35">
        <f t="shared" si="2"/>
        <v>386.78579999999999</v>
      </c>
      <c r="K57" s="195">
        <v>0.6</v>
      </c>
    </row>
    <row r="58" spans="1:11" x14ac:dyDescent="0.25">
      <c r="A58" s="37" t="s">
        <v>794</v>
      </c>
      <c r="B58" s="197">
        <v>596606334</v>
      </c>
      <c r="C58" s="204">
        <v>45888</v>
      </c>
      <c r="D58" s="197" t="s">
        <v>795</v>
      </c>
      <c r="E58" s="197" t="s">
        <v>38</v>
      </c>
      <c r="F58" s="197" t="s">
        <v>57</v>
      </c>
      <c r="G58" s="194">
        <v>11967.29</v>
      </c>
      <c r="H58" s="194">
        <v>10888.62</v>
      </c>
      <c r="I58" s="35">
        <f t="shared" si="3"/>
        <v>1088.8620000000001</v>
      </c>
      <c r="J58" s="35">
        <f t="shared" si="2"/>
        <v>653.31720000000007</v>
      </c>
      <c r="K58" s="195">
        <v>0.6</v>
      </c>
    </row>
    <row r="59" spans="1:11" x14ac:dyDescent="0.25">
      <c r="A59" s="37" t="s">
        <v>389</v>
      </c>
      <c r="B59" s="197">
        <v>596261378</v>
      </c>
      <c r="C59" s="204">
        <v>45891</v>
      </c>
      <c r="D59" s="197" t="s">
        <v>390</v>
      </c>
      <c r="E59" s="197" t="s">
        <v>38</v>
      </c>
      <c r="F59" s="197" t="s">
        <v>57</v>
      </c>
      <c r="G59" s="194">
        <v>13718.12</v>
      </c>
      <c r="H59" s="194">
        <v>12248.32</v>
      </c>
      <c r="I59" s="35">
        <f t="shared" si="3"/>
        <v>1224.8320000000001</v>
      </c>
      <c r="J59" s="35">
        <f t="shared" si="2"/>
        <v>734.89920000000006</v>
      </c>
      <c r="K59" s="195">
        <v>0.6</v>
      </c>
    </row>
    <row r="60" spans="1:11" x14ac:dyDescent="0.25">
      <c r="A60" s="37" t="s">
        <v>796</v>
      </c>
      <c r="B60" s="197">
        <v>597510186</v>
      </c>
      <c r="C60" s="204">
        <v>45895</v>
      </c>
      <c r="D60" s="197" t="s">
        <v>797</v>
      </c>
      <c r="E60" s="197" t="s">
        <v>38</v>
      </c>
      <c r="F60" s="197" t="s">
        <v>57</v>
      </c>
      <c r="G60" s="194">
        <v>8664.08</v>
      </c>
      <c r="H60" s="194">
        <v>7735.77</v>
      </c>
      <c r="I60" s="35">
        <f t="shared" si="3"/>
        <v>773.57700000000011</v>
      </c>
      <c r="J60" s="35">
        <f t="shared" si="2"/>
        <v>464.14620000000002</v>
      </c>
      <c r="K60" s="195">
        <v>0.6</v>
      </c>
    </row>
    <row r="61" spans="1:11" x14ac:dyDescent="0.25">
      <c r="A61" s="37" t="s">
        <v>798</v>
      </c>
      <c r="B61" s="197">
        <v>597194149</v>
      </c>
      <c r="C61" s="204">
        <v>45889</v>
      </c>
      <c r="D61" s="197" t="s">
        <v>799</v>
      </c>
      <c r="E61" s="197" t="s">
        <v>38</v>
      </c>
      <c r="F61" s="197" t="s">
        <v>57</v>
      </c>
      <c r="G61" s="194">
        <v>6990.02</v>
      </c>
      <c r="H61" s="194">
        <v>6324.32</v>
      </c>
      <c r="I61" s="35">
        <f t="shared" si="3"/>
        <v>632.43200000000002</v>
      </c>
      <c r="J61" s="35">
        <f t="shared" si="2"/>
        <v>379.45920000000001</v>
      </c>
      <c r="K61" s="195">
        <v>0.6</v>
      </c>
    </row>
    <row r="62" spans="1:11" x14ac:dyDescent="0.25">
      <c r="A62" s="37" t="s">
        <v>798</v>
      </c>
      <c r="B62" s="197">
        <v>597194149</v>
      </c>
      <c r="C62" s="204">
        <v>45889</v>
      </c>
      <c r="D62" s="197" t="s">
        <v>799</v>
      </c>
      <c r="E62" s="197" t="s">
        <v>38</v>
      </c>
      <c r="F62" s="197" t="s">
        <v>57</v>
      </c>
      <c r="G62" s="194">
        <v>100</v>
      </c>
      <c r="H62" s="194">
        <v>100</v>
      </c>
      <c r="I62" s="35">
        <f t="shared" si="3"/>
        <v>10</v>
      </c>
      <c r="J62" s="35">
        <f t="shared" si="2"/>
        <v>6</v>
      </c>
      <c r="K62" s="195">
        <v>0.6</v>
      </c>
    </row>
    <row r="63" spans="1:11" x14ac:dyDescent="0.25">
      <c r="A63" s="197" t="s">
        <v>800</v>
      </c>
      <c r="B63" s="197">
        <v>597293728</v>
      </c>
      <c r="C63" s="204">
        <v>45889</v>
      </c>
      <c r="D63" s="197" t="s">
        <v>801</v>
      </c>
      <c r="E63" s="197" t="s">
        <v>38</v>
      </c>
      <c r="F63" s="197" t="s">
        <v>57</v>
      </c>
      <c r="G63" s="194">
        <v>18772.02</v>
      </c>
      <c r="H63" s="194">
        <v>17018.599999999999</v>
      </c>
      <c r="I63" s="35">
        <f t="shared" si="3"/>
        <v>1701.86</v>
      </c>
      <c r="J63" s="35">
        <f t="shared" si="2"/>
        <v>1021.1159999999999</v>
      </c>
      <c r="K63" s="195">
        <v>0.6</v>
      </c>
    </row>
    <row r="64" spans="1:11" x14ac:dyDescent="0.25">
      <c r="A64" s="197" t="s">
        <v>800</v>
      </c>
      <c r="B64" s="197">
        <v>597293728</v>
      </c>
      <c r="C64" s="204">
        <v>45889</v>
      </c>
      <c r="D64" s="197" t="s">
        <v>801</v>
      </c>
      <c r="E64" s="197" t="s">
        <v>38</v>
      </c>
      <c r="F64" s="197" t="s">
        <v>57</v>
      </c>
      <c r="G64" s="194">
        <v>100</v>
      </c>
      <c r="H64" s="194">
        <v>100</v>
      </c>
      <c r="I64" s="35">
        <f t="shared" si="3"/>
        <v>10</v>
      </c>
      <c r="J64" s="35">
        <f t="shared" si="2"/>
        <v>6</v>
      </c>
      <c r="K64" s="195">
        <v>0.6</v>
      </c>
    </row>
    <row r="65" spans="1:11" x14ac:dyDescent="0.25">
      <c r="A65" s="197" t="s">
        <v>804</v>
      </c>
      <c r="B65" s="197">
        <v>595396167</v>
      </c>
      <c r="C65" s="204">
        <v>45882</v>
      </c>
      <c r="D65" s="197" t="s">
        <v>805</v>
      </c>
      <c r="E65" s="197" t="s">
        <v>38</v>
      </c>
      <c r="F65" s="197" t="s">
        <v>804</v>
      </c>
      <c r="G65" s="194">
        <v>14723.89</v>
      </c>
      <c r="H65" s="194">
        <v>13348.57</v>
      </c>
      <c r="I65" s="35">
        <f t="shared" si="3"/>
        <v>1334.857</v>
      </c>
      <c r="J65" s="35">
        <f t="shared" si="2"/>
        <v>800.91419999999994</v>
      </c>
      <c r="K65" s="195">
        <v>0.6</v>
      </c>
    </row>
    <row r="66" spans="1:11" x14ac:dyDescent="0.25">
      <c r="A66" s="197" t="s">
        <v>804</v>
      </c>
      <c r="B66" s="197">
        <v>595396167</v>
      </c>
      <c r="C66" s="204">
        <v>45882</v>
      </c>
      <c r="D66" s="197" t="s">
        <v>805</v>
      </c>
      <c r="E66" s="197" t="s">
        <v>38</v>
      </c>
      <c r="F66" s="197" t="s">
        <v>804</v>
      </c>
      <c r="G66" s="194">
        <v>100</v>
      </c>
      <c r="H66" s="194">
        <v>100</v>
      </c>
      <c r="I66" s="35">
        <f t="shared" si="3"/>
        <v>10</v>
      </c>
      <c r="J66" s="35">
        <f t="shared" si="2"/>
        <v>6</v>
      </c>
      <c r="K66" s="195">
        <v>0.6</v>
      </c>
    </row>
    <row r="67" spans="1:11" x14ac:dyDescent="0.25">
      <c r="A67" s="197" t="s">
        <v>806</v>
      </c>
      <c r="B67" s="197">
        <v>595356870</v>
      </c>
      <c r="C67" s="204">
        <v>45883</v>
      </c>
      <c r="D67" s="197" t="s">
        <v>807</v>
      </c>
      <c r="E67" s="197" t="s">
        <v>38</v>
      </c>
      <c r="F67" s="37" t="s">
        <v>57</v>
      </c>
      <c r="G67" s="194">
        <v>18772.02</v>
      </c>
      <c r="H67" s="194">
        <v>17018.599999999999</v>
      </c>
      <c r="I67" s="35">
        <f t="shared" si="3"/>
        <v>1701.86</v>
      </c>
      <c r="J67" s="35">
        <f t="shared" si="2"/>
        <v>1021.1159999999999</v>
      </c>
      <c r="K67" s="195">
        <v>0.6</v>
      </c>
    </row>
    <row r="68" spans="1:11" x14ac:dyDescent="0.25">
      <c r="A68" s="197" t="s">
        <v>806</v>
      </c>
      <c r="B68" s="197">
        <v>595356870</v>
      </c>
      <c r="C68" s="204">
        <v>45883</v>
      </c>
      <c r="D68" s="197" t="s">
        <v>807</v>
      </c>
      <c r="E68" s="197" t="s">
        <v>38</v>
      </c>
      <c r="F68" s="37" t="s">
        <v>57</v>
      </c>
      <c r="G68" s="194">
        <v>100</v>
      </c>
      <c r="H68" s="194">
        <v>100</v>
      </c>
      <c r="I68" s="35">
        <f t="shared" si="3"/>
        <v>10</v>
      </c>
      <c r="J68" s="35">
        <f t="shared" si="2"/>
        <v>6</v>
      </c>
      <c r="K68" s="195">
        <v>0.6</v>
      </c>
    </row>
    <row r="69" spans="1:11" x14ac:dyDescent="0.25">
      <c r="A69" s="197" t="s">
        <v>808</v>
      </c>
      <c r="B69" s="197">
        <v>596754175</v>
      </c>
      <c r="C69" s="204">
        <v>45888</v>
      </c>
      <c r="D69" s="197" t="s">
        <v>809</v>
      </c>
      <c r="E69" s="197" t="s">
        <v>38</v>
      </c>
      <c r="F69" s="37" t="s">
        <v>57</v>
      </c>
      <c r="G69" s="194">
        <v>7358.69</v>
      </c>
      <c r="H69" s="194">
        <v>6657.86</v>
      </c>
      <c r="I69" s="35">
        <f t="shared" si="3"/>
        <v>665.78600000000006</v>
      </c>
      <c r="J69" s="35">
        <f t="shared" si="2"/>
        <v>399.47160000000002</v>
      </c>
      <c r="K69" s="195">
        <v>0.6</v>
      </c>
    </row>
    <row r="70" spans="1:11" x14ac:dyDescent="0.25">
      <c r="A70" s="197" t="s">
        <v>808</v>
      </c>
      <c r="B70" s="197">
        <v>596754175</v>
      </c>
      <c r="C70" s="204">
        <v>45888</v>
      </c>
      <c r="D70" s="197" t="s">
        <v>809</v>
      </c>
      <c r="E70" s="197" t="s">
        <v>38</v>
      </c>
      <c r="F70" s="37" t="s">
        <v>57</v>
      </c>
      <c r="G70" s="194">
        <v>100</v>
      </c>
      <c r="H70" s="194">
        <v>100</v>
      </c>
      <c r="I70" s="35">
        <f t="shared" si="3"/>
        <v>10</v>
      </c>
      <c r="J70" s="35">
        <f t="shared" si="2"/>
        <v>6</v>
      </c>
      <c r="K70" s="195">
        <v>0.6</v>
      </c>
    </row>
    <row r="71" spans="1:11" x14ac:dyDescent="0.25">
      <c r="A71" s="197" t="s">
        <v>810</v>
      </c>
      <c r="B71" s="197">
        <v>595134027</v>
      </c>
      <c r="C71" s="204">
        <v>45881</v>
      </c>
      <c r="D71" s="197" t="s">
        <v>811</v>
      </c>
      <c r="E71" s="197" t="s">
        <v>38</v>
      </c>
      <c r="F71" s="37" t="s">
        <v>57</v>
      </c>
      <c r="G71" s="194">
        <v>8664.07</v>
      </c>
      <c r="H71" s="194">
        <v>7735.77</v>
      </c>
      <c r="I71" s="35">
        <f t="shared" si="3"/>
        <v>773.57700000000011</v>
      </c>
      <c r="J71" s="35">
        <f t="shared" si="2"/>
        <v>464.14620000000002</v>
      </c>
      <c r="K71" s="195">
        <v>0.6</v>
      </c>
    </row>
    <row r="72" spans="1:11" x14ac:dyDescent="0.25">
      <c r="A72" s="197" t="s">
        <v>802</v>
      </c>
      <c r="B72" s="197">
        <v>594722934</v>
      </c>
      <c r="C72" s="204">
        <v>45880</v>
      </c>
      <c r="D72" s="197" t="s">
        <v>812</v>
      </c>
      <c r="E72" s="197" t="s">
        <v>38</v>
      </c>
      <c r="F72" s="37" t="s">
        <v>57</v>
      </c>
      <c r="G72" s="194">
        <v>15723.44</v>
      </c>
      <c r="H72" s="194">
        <v>14281.43</v>
      </c>
      <c r="I72" s="35">
        <f t="shared" si="3"/>
        <v>1428.143</v>
      </c>
      <c r="J72" s="35">
        <f t="shared" si="2"/>
        <v>856.88580000000002</v>
      </c>
      <c r="K72" s="195">
        <v>0.6</v>
      </c>
    </row>
    <row r="73" spans="1:11" x14ac:dyDescent="0.25">
      <c r="A73" s="197" t="s">
        <v>802</v>
      </c>
      <c r="B73" s="197">
        <v>594722934</v>
      </c>
      <c r="C73" s="204">
        <v>45880</v>
      </c>
      <c r="D73" s="197" t="s">
        <v>803</v>
      </c>
      <c r="E73" s="197" t="s">
        <v>38</v>
      </c>
      <c r="F73" s="223" t="s">
        <v>813</v>
      </c>
      <c r="G73" s="194">
        <v>68.36</v>
      </c>
      <c r="H73" s="194">
        <v>65.099999999999994</v>
      </c>
      <c r="I73" s="35">
        <f t="shared" si="3"/>
        <v>6.51</v>
      </c>
      <c r="J73" s="35">
        <f t="shared" ref="J73" si="4">I73*K73</f>
        <v>3.9059999999999997</v>
      </c>
      <c r="K73" s="195">
        <v>0.6</v>
      </c>
    </row>
    <row r="74" spans="1:11" x14ac:dyDescent="0.25">
      <c r="A74" s="197" t="s">
        <v>854</v>
      </c>
      <c r="B74" s="197">
        <v>598010191</v>
      </c>
      <c r="C74" s="204">
        <v>45894</v>
      </c>
      <c r="D74" s="197" t="s">
        <v>855</v>
      </c>
      <c r="E74" s="197" t="s">
        <v>38</v>
      </c>
      <c r="F74" s="37" t="s">
        <v>57</v>
      </c>
      <c r="G74" s="194">
        <v>8664.06</v>
      </c>
      <c r="H74" s="194">
        <v>7735.77</v>
      </c>
      <c r="I74" s="35">
        <f t="shared" si="3"/>
        <v>773.57700000000011</v>
      </c>
      <c r="J74" s="35">
        <f t="shared" ref="J74" si="5">I74*K74</f>
        <v>464.14620000000002</v>
      </c>
      <c r="K74" s="195">
        <v>0.6</v>
      </c>
    </row>
    <row r="75" spans="1:11" x14ac:dyDescent="0.25">
      <c r="A75" s="197" t="s">
        <v>856</v>
      </c>
      <c r="B75" s="197">
        <v>597297056</v>
      </c>
      <c r="C75" s="204">
        <v>45895</v>
      </c>
      <c r="D75" s="197" t="s">
        <v>857</v>
      </c>
      <c r="E75" s="197" t="s">
        <v>38</v>
      </c>
      <c r="F75" s="37" t="s">
        <v>57</v>
      </c>
      <c r="G75" s="194">
        <v>9385.99</v>
      </c>
      <c r="H75" s="194">
        <v>8509.2900000000009</v>
      </c>
      <c r="I75" s="35">
        <f t="shared" si="3"/>
        <v>850.92900000000009</v>
      </c>
      <c r="J75" s="35">
        <f t="shared" ref="J75:J78" si="6">I75*K75</f>
        <v>510.55740000000003</v>
      </c>
      <c r="K75" s="195">
        <v>0.6</v>
      </c>
    </row>
    <row r="76" spans="1:11" x14ac:dyDescent="0.25">
      <c r="A76" s="197" t="s">
        <v>856</v>
      </c>
      <c r="B76" s="197">
        <v>597297056</v>
      </c>
      <c r="C76" s="204">
        <v>45895</v>
      </c>
      <c r="D76" s="197" t="s">
        <v>857</v>
      </c>
      <c r="E76" s="197" t="s">
        <v>38</v>
      </c>
      <c r="F76" s="37" t="s">
        <v>57</v>
      </c>
      <c r="G76" s="194">
        <v>100</v>
      </c>
      <c r="H76" s="194">
        <v>100</v>
      </c>
      <c r="I76" s="35">
        <f t="shared" si="3"/>
        <v>10</v>
      </c>
      <c r="J76" s="35">
        <f t="shared" si="6"/>
        <v>6</v>
      </c>
      <c r="K76" s="195">
        <v>0.6</v>
      </c>
    </row>
    <row r="77" spans="1:11" x14ac:dyDescent="0.25">
      <c r="A77" s="197" t="s">
        <v>769</v>
      </c>
      <c r="B77" s="197">
        <v>598273679</v>
      </c>
      <c r="C77" s="204">
        <v>45897</v>
      </c>
      <c r="D77" s="197" t="s">
        <v>851</v>
      </c>
      <c r="E77" s="197" t="s">
        <v>38</v>
      </c>
      <c r="F77" s="37" t="s">
        <v>57</v>
      </c>
      <c r="G77" s="194">
        <v>13718.13</v>
      </c>
      <c r="H77" s="194">
        <v>12248.31</v>
      </c>
      <c r="I77" s="35">
        <f t="shared" si="3"/>
        <v>1224.8309999999999</v>
      </c>
      <c r="J77" s="35">
        <f t="shared" si="6"/>
        <v>734.89859999999987</v>
      </c>
      <c r="K77" s="195">
        <v>0.6</v>
      </c>
    </row>
    <row r="78" spans="1:11" x14ac:dyDescent="0.25">
      <c r="A78" s="197" t="s">
        <v>852</v>
      </c>
      <c r="B78" s="197">
        <v>598009342</v>
      </c>
      <c r="C78" s="204">
        <v>45894</v>
      </c>
      <c r="D78" s="197" t="s">
        <v>853</v>
      </c>
      <c r="E78" s="197" t="s">
        <v>38</v>
      </c>
      <c r="F78" s="37" t="s">
        <v>57</v>
      </c>
      <c r="G78" s="194">
        <v>11006.09</v>
      </c>
      <c r="H78" s="194">
        <v>9826.8799999999992</v>
      </c>
      <c r="I78" s="35">
        <f t="shared" si="3"/>
        <v>982.68799999999999</v>
      </c>
      <c r="J78" s="35">
        <f t="shared" si="6"/>
        <v>589.61279999999999</v>
      </c>
      <c r="K78" s="195">
        <v>0.6</v>
      </c>
    </row>
    <row r="79" spans="1:11" x14ac:dyDescent="0.25">
      <c r="A79" s="197" t="s">
        <v>51</v>
      </c>
      <c r="B79" s="197">
        <v>597303750</v>
      </c>
      <c r="C79" s="204">
        <v>45895</v>
      </c>
      <c r="D79" s="197" t="s">
        <v>52</v>
      </c>
      <c r="E79" s="197" t="s">
        <v>41</v>
      </c>
      <c r="F79" s="37" t="s">
        <v>12</v>
      </c>
      <c r="G79" s="194">
        <v>39415.449999999997</v>
      </c>
      <c r="H79" s="194">
        <v>35583.379999999997</v>
      </c>
      <c r="I79" s="35">
        <f t="shared" si="3"/>
        <v>3558.3379999999997</v>
      </c>
      <c r="J79" s="35">
        <f t="shared" ref="J79:J81" si="7">I79*K79</f>
        <v>2135.0027999999998</v>
      </c>
      <c r="K79" s="195">
        <v>0.6</v>
      </c>
    </row>
    <row r="80" spans="1:11" x14ac:dyDescent="0.25">
      <c r="A80" s="197" t="s">
        <v>858</v>
      </c>
      <c r="B80" s="197">
        <v>597317345</v>
      </c>
      <c r="C80" s="204">
        <v>45896</v>
      </c>
      <c r="D80" s="197" t="s">
        <v>859</v>
      </c>
      <c r="E80" s="197" t="s">
        <v>38</v>
      </c>
      <c r="F80" s="37" t="s">
        <v>858</v>
      </c>
      <c r="G80" s="194">
        <v>10830.1</v>
      </c>
      <c r="H80" s="194">
        <v>9798.66</v>
      </c>
      <c r="I80" s="35">
        <f t="shared" si="3"/>
        <v>979.86599999999999</v>
      </c>
      <c r="J80" s="35">
        <f t="shared" ref="J80" si="8">I80*K80</f>
        <v>587.91959999999995</v>
      </c>
      <c r="K80" s="195">
        <v>0.6</v>
      </c>
    </row>
    <row r="81" spans="1:11" x14ac:dyDescent="0.25">
      <c r="A81" s="197" t="s">
        <v>858</v>
      </c>
      <c r="B81" s="197">
        <v>597317345</v>
      </c>
      <c r="C81" s="204">
        <v>45896</v>
      </c>
      <c r="D81" s="197" t="s">
        <v>859</v>
      </c>
      <c r="E81" s="197" t="s">
        <v>38</v>
      </c>
      <c r="F81" s="37" t="s">
        <v>858</v>
      </c>
      <c r="G81" s="194">
        <v>100</v>
      </c>
      <c r="H81" s="194">
        <v>100</v>
      </c>
      <c r="I81" s="35">
        <f t="shared" si="3"/>
        <v>10</v>
      </c>
      <c r="J81" s="35">
        <f t="shared" si="7"/>
        <v>6</v>
      </c>
      <c r="K81" s="195">
        <v>0.6</v>
      </c>
    </row>
    <row r="82" spans="1:11" x14ac:dyDescent="0.25">
      <c r="A82" s="197" t="s">
        <v>848</v>
      </c>
      <c r="B82" s="197">
        <v>598375546</v>
      </c>
      <c r="C82" s="204">
        <v>45894</v>
      </c>
      <c r="D82" s="197" t="s">
        <v>849</v>
      </c>
      <c r="E82" s="197" t="s">
        <v>41</v>
      </c>
      <c r="F82" s="37" t="s">
        <v>12</v>
      </c>
      <c r="G82" s="194">
        <v>14440.03</v>
      </c>
      <c r="H82" s="194">
        <v>12892.89</v>
      </c>
      <c r="I82" s="35">
        <f t="shared" si="3"/>
        <v>1289.289</v>
      </c>
      <c r="J82" s="35">
        <f t="shared" ref="J82:J83" si="9">I82*K82</f>
        <v>773.57339999999999</v>
      </c>
      <c r="K82" s="195">
        <v>0.6</v>
      </c>
    </row>
    <row r="83" spans="1:11" x14ac:dyDescent="0.25">
      <c r="A83" s="197" t="s">
        <v>861</v>
      </c>
      <c r="B83" s="197">
        <v>598665333</v>
      </c>
      <c r="C83" s="204">
        <v>45900</v>
      </c>
      <c r="D83" s="197" t="s">
        <v>862</v>
      </c>
      <c r="E83" s="197" t="s">
        <v>38</v>
      </c>
      <c r="F83" s="37" t="s">
        <v>861</v>
      </c>
      <c r="G83" s="194">
        <v>11263.3</v>
      </c>
      <c r="H83" s="194">
        <v>10211.23</v>
      </c>
      <c r="I83" s="35">
        <f t="shared" si="3"/>
        <v>1021.123</v>
      </c>
      <c r="J83" s="35">
        <f t="shared" si="9"/>
        <v>612.67380000000003</v>
      </c>
      <c r="K83" s="195">
        <v>0.6</v>
      </c>
    </row>
    <row r="84" spans="1:11" x14ac:dyDescent="0.25">
      <c r="A84" s="197" t="s">
        <v>861</v>
      </c>
      <c r="B84" s="197">
        <v>598665333</v>
      </c>
      <c r="C84" s="204">
        <v>45900</v>
      </c>
      <c r="D84" s="197" t="s">
        <v>862</v>
      </c>
      <c r="E84" s="197" t="s">
        <v>38</v>
      </c>
      <c r="F84" s="37" t="s">
        <v>861</v>
      </c>
      <c r="G84" s="194">
        <v>100</v>
      </c>
      <c r="H84" s="194">
        <v>100</v>
      </c>
      <c r="I84" s="35">
        <f t="shared" si="3"/>
        <v>10</v>
      </c>
      <c r="J84" s="35">
        <f t="shared" ref="J84:J91" si="10">I84*K84</f>
        <v>6</v>
      </c>
      <c r="K84" s="195">
        <v>0.6</v>
      </c>
    </row>
    <row r="85" spans="1:11" x14ac:dyDescent="0.25">
      <c r="A85" s="197" t="s">
        <v>863</v>
      </c>
      <c r="B85" s="197">
        <v>597330503</v>
      </c>
      <c r="C85" s="204">
        <v>45900</v>
      </c>
      <c r="D85" s="197" t="s">
        <v>864</v>
      </c>
      <c r="E85" s="197" t="s">
        <v>38</v>
      </c>
      <c r="F85" s="197" t="s">
        <v>863</v>
      </c>
      <c r="G85" s="194">
        <v>21782.560000000001</v>
      </c>
      <c r="H85" s="194">
        <v>19708.04</v>
      </c>
      <c r="I85" s="35">
        <f t="shared" si="3"/>
        <v>1970.8040000000001</v>
      </c>
      <c r="J85" s="35">
        <f t="shared" ref="J85:J90" si="11">I85*K85</f>
        <v>1182.4824000000001</v>
      </c>
      <c r="K85" s="195">
        <v>0.6</v>
      </c>
    </row>
    <row r="86" spans="1:11" x14ac:dyDescent="0.25">
      <c r="A86" s="197" t="s">
        <v>865</v>
      </c>
      <c r="B86" s="197">
        <v>598895941</v>
      </c>
      <c r="C86" s="204">
        <v>45900</v>
      </c>
      <c r="D86" s="197" t="s">
        <v>866</v>
      </c>
      <c r="E86" s="197" t="s">
        <v>41</v>
      </c>
      <c r="F86" s="37" t="s">
        <v>12</v>
      </c>
      <c r="G86" s="194">
        <v>7220</v>
      </c>
      <c r="H86" s="194">
        <v>6446.44</v>
      </c>
      <c r="I86" s="35">
        <f t="shared" si="3"/>
        <v>644.64400000000001</v>
      </c>
      <c r="J86" s="35">
        <f t="shared" si="11"/>
        <v>386.78640000000001</v>
      </c>
      <c r="K86" s="195">
        <v>0.6</v>
      </c>
    </row>
    <row r="87" spans="1:11" x14ac:dyDescent="0.25">
      <c r="A87" s="197" t="s">
        <v>868</v>
      </c>
      <c r="B87" s="197">
        <v>597326118</v>
      </c>
      <c r="C87" s="204">
        <v>45898</v>
      </c>
      <c r="D87" s="197" t="s">
        <v>869</v>
      </c>
      <c r="E87" s="197" t="s">
        <v>41</v>
      </c>
      <c r="F87" s="37" t="s">
        <v>12</v>
      </c>
      <c r="G87" s="194">
        <v>21773.83</v>
      </c>
      <c r="H87" s="194">
        <v>19740</v>
      </c>
      <c r="I87" s="35">
        <f t="shared" si="3"/>
        <v>1974</v>
      </c>
      <c r="J87" s="35">
        <f t="shared" si="11"/>
        <v>1184.3999999999999</v>
      </c>
      <c r="K87" s="195">
        <v>0.6</v>
      </c>
    </row>
    <row r="88" spans="1:11" x14ac:dyDescent="0.25">
      <c r="A88" s="197" t="s">
        <v>868</v>
      </c>
      <c r="B88" s="197">
        <v>597326118</v>
      </c>
      <c r="C88" s="204">
        <v>45898</v>
      </c>
      <c r="D88" s="197" t="s">
        <v>869</v>
      </c>
      <c r="E88" s="197" t="s">
        <v>41</v>
      </c>
      <c r="F88" s="37" t="s">
        <v>12</v>
      </c>
      <c r="G88" s="194">
        <v>100</v>
      </c>
      <c r="H88" s="194">
        <v>100</v>
      </c>
      <c r="I88" s="35">
        <f t="shared" si="3"/>
        <v>10</v>
      </c>
      <c r="J88" s="35">
        <f t="shared" si="11"/>
        <v>6</v>
      </c>
      <c r="K88" s="195">
        <v>0.6</v>
      </c>
    </row>
    <row r="89" spans="1:11" x14ac:dyDescent="0.25">
      <c r="A89" s="197" t="s">
        <v>870</v>
      </c>
      <c r="B89" s="197">
        <v>598856279</v>
      </c>
      <c r="C89" s="204">
        <v>45897</v>
      </c>
      <c r="D89" s="197" t="s">
        <v>871</v>
      </c>
      <c r="E89" s="197" t="s">
        <v>38</v>
      </c>
      <c r="F89" s="37" t="s">
        <v>870</v>
      </c>
      <c r="G89" s="194">
        <v>13222.52</v>
      </c>
      <c r="H89" s="194">
        <v>11963.23</v>
      </c>
      <c r="I89" s="35">
        <f t="shared" si="3"/>
        <v>1196.3230000000001</v>
      </c>
      <c r="J89" s="35">
        <f t="shared" si="11"/>
        <v>717.79380000000003</v>
      </c>
      <c r="K89" s="195">
        <v>0.6</v>
      </c>
    </row>
    <row r="90" spans="1:11" x14ac:dyDescent="0.25">
      <c r="A90" s="197" t="s">
        <v>870</v>
      </c>
      <c r="B90" s="197">
        <v>598856279</v>
      </c>
      <c r="C90" s="204">
        <v>45897</v>
      </c>
      <c r="D90" s="197" t="s">
        <v>871</v>
      </c>
      <c r="E90" s="197" t="s">
        <v>38</v>
      </c>
      <c r="F90" s="37" t="s">
        <v>870</v>
      </c>
      <c r="G90" s="194">
        <v>100</v>
      </c>
      <c r="H90" s="194">
        <v>100</v>
      </c>
      <c r="I90" s="35">
        <f t="shared" si="3"/>
        <v>10</v>
      </c>
      <c r="J90" s="35">
        <f t="shared" si="11"/>
        <v>6</v>
      </c>
      <c r="K90" s="195">
        <v>0.6</v>
      </c>
    </row>
    <row r="91" spans="1:11" x14ac:dyDescent="0.25">
      <c r="A91" s="197" t="s">
        <v>874</v>
      </c>
      <c r="B91" s="197">
        <v>597331221</v>
      </c>
      <c r="C91" s="204">
        <v>45900</v>
      </c>
      <c r="D91" s="197" t="s">
        <v>875</v>
      </c>
      <c r="E91" s="197" t="s">
        <v>38</v>
      </c>
      <c r="F91" s="37" t="s">
        <v>876</v>
      </c>
      <c r="G91" s="194">
        <v>15017.66</v>
      </c>
      <c r="H91" s="194">
        <v>13614.91</v>
      </c>
      <c r="I91" s="35">
        <f t="shared" si="3"/>
        <v>1361.491</v>
      </c>
      <c r="J91" s="35">
        <f t="shared" si="10"/>
        <v>816.89459999999997</v>
      </c>
      <c r="K91" s="195">
        <v>0.6</v>
      </c>
    </row>
    <row r="92" spans="1:11" x14ac:dyDescent="0.25">
      <c r="A92" s="197" t="s">
        <v>874</v>
      </c>
      <c r="B92" s="197">
        <v>597331221</v>
      </c>
      <c r="C92" s="204">
        <v>45900</v>
      </c>
      <c r="D92" s="197" t="s">
        <v>875</v>
      </c>
      <c r="E92" s="197" t="s">
        <v>38</v>
      </c>
      <c r="F92" s="37" t="s">
        <v>876</v>
      </c>
      <c r="G92" s="194">
        <v>100</v>
      </c>
      <c r="H92" s="194">
        <v>100</v>
      </c>
      <c r="I92" s="35">
        <f t="shared" si="3"/>
        <v>10</v>
      </c>
      <c r="J92" s="35">
        <f t="shared" ref="J92" si="12">I92*K92</f>
        <v>6</v>
      </c>
      <c r="K92" s="195">
        <v>0.6</v>
      </c>
    </row>
    <row r="93" spans="1:11" x14ac:dyDescent="0.25">
      <c r="A93" s="197" t="s">
        <v>877</v>
      </c>
      <c r="B93" s="197">
        <v>597325568</v>
      </c>
      <c r="C93" s="204">
        <v>45898</v>
      </c>
      <c r="D93" s="197" t="s">
        <v>878</v>
      </c>
      <c r="E93" s="197" t="s">
        <v>38</v>
      </c>
      <c r="F93" s="197" t="s">
        <v>877</v>
      </c>
      <c r="G93" s="194">
        <v>15017.66</v>
      </c>
      <c r="H93" s="194">
        <v>13614.92</v>
      </c>
      <c r="I93" s="35">
        <f t="shared" si="3"/>
        <v>1361.4920000000002</v>
      </c>
      <c r="J93" s="35">
        <f t="shared" ref="J93:J95" si="13">I93*K93</f>
        <v>816.89520000000005</v>
      </c>
      <c r="K93" s="195">
        <v>0.6</v>
      </c>
    </row>
    <row r="94" spans="1:11" x14ac:dyDescent="0.25">
      <c r="A94" s="197" t="s">
        <v>877</v>
      </c>
      <c r="B94" s="197">
        <v>597325568</v>
      </c>
      <c r="C94" s="204">
        <v>45898</v>
      </c>
      <c r="D94" s="197" t="s">
        <v>878</v>
      </c>
      <c r="E94" s="197" t="s">
        <v>38</v>
      </c>
      <c r="F94" s="197" t="s">
        <v>877</v>
      </c>
      <c r="G94" s="194">
        <v>100</v>
      </c>
      <c r="H94" s="194">
        <v>100</v>
      </c>
      <c r="I94" s="35">
        <f t="shared" si="3"/>
        <v>10</v>
      </c>
      <c r="J94" s="35">
        <f t="shared" si="13"/>
        <v>6</v>
      </c>
      <c r="K94" s="195">
        <v>0.6</v>
      </c>
    </row>
    <row r="95" spans="1:11" x14ac:dyDescent="0.25">
      <c r="A95" s="197" t="s">
        <v>884</v>
      </c>
      <c r="B95" s="197">
        <v>599449137</v>
      </c>
      <c r="C95" s="204">
        <v>45898</v>
      </c>
      <c r="D95" s="197" t="s">
        <v>885</v>
      </c>
      <c r="E95" s="197" t="s">
        <v>38</v>
      </c>
      <c r="F95" s="37" t="s">
        <v>57</v>
      </c>
      <c r="G95" s="194">
        <v>16781.37</v>
      </c>
      <c r="H95" s="194">
        <v>15213.87</v>
      </c>
      <c r="I95" s="35">
        <f t="shared" si="3"/>
        <v>1521.3870000000002</v>
      </c>
      <c r="J95" s="35">
        <f t="shared" si="13"/>
        <v>912.83220000000006</v>
      </c>
      <c r="K95" s="195">
        <v>0.6</v>
      </c>
    </row>
    <row r="96" spans="1:11" x14ac:dyDescent="0.25">
      <c r="A96" s="197" t="s">
        <v>884</v>
      </c>
      <c r="B96" s="197">
        <v>599449137</v>
      </c>
      <c r="C96" s="204">
        <v>45898</v>
      </c>
      <c r="D96" s="197" t="s">
        <v>885</v>
      </c>
      <c r="E96" s="197" t="s">
        <v>38</v>
      </c>
      <c r="F96" s="37" t="s">
        <v>57</v>
      </c>
      <c r="G96" s="194">
        <v>100</v>
      </c>
      <c r="H96" s="194">
        <v>100</v>
      </c>
      <c r="I96" s="35">
        <f t="shared" si="3"/>
        <v>10</v>
      </c>
      <c r="J96" s="35">
        <f t="shared" ref="J96" si="14">I96*K96</f>
        <v>6</v>
      </c>
      <c r="K96" s="195">
        <v>0.6</v>
      </c>
    </row>
    <row r="97" spans="1:11" x14ac:dyDescent="0.25">
      <c r="A97" s="245" t="s">
        <v>908</v>
      </c>
      <c r="B97" s="249">
        <v>520344787</v>
      </c>
      <c r="C97" s="250">
        <v>45883</v>
      </c>
      <c r="D97" s="249" t="s">
        <v>909</v>
      </c>
      <c r="E97" s="197" t="s">
        <v>38</v>
      </c>
      <c r="F97" s="147" t="s">
        <v>112</v>
      </c>
      <c r="G97" s="248">
        <v>1610.57</v>
      </c>
      <c r="H97" s="248">
        <v>1465.38</v>
      </c>
      <c r="I97" s="159">
        <v>-146.52000000000001</v>
      </c>
      <c r="J97" s="146">
        <f>I97*K97</f>
        <v>-87.912000000000006</v>
      </c>
      <c r="K97" s="172">
        <v>0.6</v>
      </c>
    </row>
    <row r="98" spans="1:11" x14ac:dyDescent="0.25">
      <c r="A98" s="245" t="s">
        <v>910</v>
      </c>
      <c r="B98" s="249">
        <v>500505893</v>
      </c>
      <c r="C98" s="250">
        <v>45873</v>
      </c>
      <c r="D98" s="249" t="s">
        <v>911</v>
      </c>
      <c r="E98" s="197" t="s">
        <v>38</v>
      </c>
      <c r="F98" s="147" t="s">
        <v>112</v>
      </c>
      <c r="G98" s="248">
        <v>3471.05</v>
      </c>
      <c r="H98" s="248">
        <v>3146.84</v>
      </c>
      <c r="I98" s="159">
        <v>-166.05</v>
      </c>
      <c r="J98" s="146">
        <f t="shared" ref="J98:J100" si="15">I98*K98</f>
        <v>-99.63000000000001</v>
      </c>
      <c r="K98" s="172">
        <v>0.6</v>
      </c>
    </row>
    <row r="99" spans="1:11" x14ac:dyDescent="0.25">
      <c r="A99" s="245" t="s">
        <v>265</v>
      </c>
      <c r="B99" s="249">
        <v>549254794</v>
      </c>
      <c r="C99" s="250">
        <v>45889</v>
      </c>
      <c r="D99" s="249" t="s">
        <v>266</v>
      </c>
      <c r="E99" s="197" t="s">
        <v>41</v>
      </c>
      <c r="F99" s="147" t="s">
        <v>112</v>
      </c>
      <c r="G99" s="248">
        <v>11278.57</v>
      </c>
      <c r="H99" s="248">
        <v>10157.700000000001</v>
      </c>
      <c r="I99" s="159">
        <v>-1015.77</v>
      </c>
      <c r="J99" s="146">
        <f t="shared" si="15"/>
        <v>-609.46199999999999</v>
      </c>
      <c r="K99" s="172">
        <v>0.6</v>
      </c>
    </row>
    <row r="100" spans="1:11" x14ac:dyDescent="0.25">
      <c r="A100" s="245" t="s">
        <v>912</v>
      </c>
      <c r="B100" s="249">
        <v>579085998</v>
      </c>
      <c r="C100" s="250">
        <v>45874</v>
      </c>
      <c r="D100" s="249" t="s">
        <v>641</v>
      </c>
      <c r="E100" s="197" t="s">
        <v>41</v>
      </c>
      <c r="F100" s="147" t="s">
        <v>112</v>
      </c>
      <c r="G100" s="146">
        <v>10356.5</v>
      </c>
      <c r="H100" s="146">
        <v>9246.8799999999992</v>
      </c>
      <c r="I100" s="159">
        <v>-559.79</v>
      </c>
      <c r="J100" s="146">
        <f t="shared" si="15"/>
        <v>-335.87399999999997</v>
      </c>
      <c r="K100" s="172">
        <v>0.6</v>
      </c>
    </row>
    <row r="101" spans="1:11" x14ac:dyDescent="0.25">
      <c r="A101" s="197"/>
      <c r="B101" s="197"/>
      <c r="C101" s="204"/>
      <c r="D101" s="197"/>
      <c r="E101" s="197"/>
      <c r="F101" s="37"/>
      <c r="G101" s="194"/>
      <c r="H101" s="194"/>
      <c r="I101" s="194"/>
      <c r="J101" s="35">
        <f t="shared" ref="J101:J103" si="16">I101*K101</f>
        <v>0</v>
      </c>
      <c r="K101" s="195">
        <v>0.6</v>
      </c>
    </row>
    <row r="102" spans="1:11" x14ac:dyDescent="0.25">
      <c r="A102" s="197"/>
      <c r="B102" s="197"/>
      <c r="C102" s="204"/>
      <c r="D102" s="197"/>
      <c r="E102" s="197"/>
      <c r="F102" s="37"/>
      <c r="G102" s="194"/>
      <c r="H102" s="194"/>
      <c r="I102" s="194"/>
      <c r="J102" s="35">
        <f t="shared" si="16"/>
        <v>0</v>
      </c>
      <c r="K102" s="195">
        <v>0.6</v>
      </c>
    </row>
    <row r="103" spans="1:11" x14ac:dyDescent="0.25">
      <c r="A103" s="197"/>
      <c r="B103" s="205"/>
      <c r="C103" s="204"/>
      <c r="D103" s="197"/>
      <c r="E103" s="197"/>
      <c r="F103" s="37"/>
      <c r="G103" s="194"/>
      <c r="H103" s="194"/>
      <c r="I103" s="194"/>
      <c r="J103" s="35">
        <f t="shared" si="16"/>
        <v>0</v>
      </c>
      <c r="K103" s="195">
        <v>0.6</v>
      </c>
    </row>
    <row r="104" spans="1:11" x14ac:dyDescent="0.25">
      <c r="A104" s="37"/>
      <c r="B104" s="37"/>
      <c r="C104" s="193"/>
      <c r="D104" s="37"/>
      <c r="E104" s="37"/>
      <c r="F104" s="190" t="s">
        <v>13</v>
      </c>
      <c r="G104" s="192">
        <f>SUM(G38:G103)</f>
        <v>621344.43000000017</v>
      </c>
      <c r="H104" s="192">
        <f>SUM(H38:H103)</f>
        <v>560846.73999999976</v>
      </c>
      <c r="I104" s="192">
        <f>SUM(I38:I103)</f>
        <v>51794.864000000009</v>
      </c>
      <c r="J104" s="192">
        <f>SUM(J38:J103)</f>
        <v>31076.918399999999</v>
      </c>
      <c r="K104" s="190"/>
    </row>
    <row r="105" spans="1:11" x14ac:dyDescent="0.25">
      <c r="A105" s="37"/>
      <c r="B105" s="37"/>
      <c r="C105" s="193"/>
      <c r="D105" s="37"/>
      <c r="E105" s="37"/>
      <c r="F105" s="198" t="s">
        <v>14</v>
      </c>
      <c r="G105" s="199">
        <f>G79+G82+G86+G87+G88</f>
        <v>82949.31</v>
      </c>
      <c r="H105" s="35"/>
      <c r="I105" s="35"/>
      <c r="J105" s="35"/>
      <c r="K105" s="37"/>
    </row>
    <row r="106" spans="1:11" x14ac:dyDescent="0.2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</row>
    <row r="107" spans="1:11" x14ac:dyDescent="0.25">
      <c r="A107" s="37" t="s">
        <v>17</v>
      </c>
      <c r="B107" s="37"/>
      <c r="C107" s="193"/>
      <c r="D107" s="37"/>
      <c r="E107" s="37"/>
      <c r="F107" s="37"/>
      <c r="G107" s="35"/>
      <c r="H107" s="35"/>
      <c r="I107" s="35"/>
      <c r="J107" s="35"/>
      <c r="K107" s="37"/>
    </row>
    <row r="108" spans="1:11" x14ac:dyDescent="0.25">
      <c r="A108" s="37" t="s">
        <v>770</v>
      </c>
      <c r="B108" s="37">
        <v>593464185</v>
      </c>
      <c r="C108" s="193">
        <v>45875</v>
      </c>
      <c r="D108" s="37" t="s">
        <v>12</v>
      </c>
      <c r="E108" s="37" t="s">
        <v>38</v>
      </c>
      <c r="F108" s="37" t="s">
        <v>904</v>
      </c>
      <c r="G108" s="206">
        <v>24990.240000000002</v>
      </c>
      <c r="H108" s="206">
        <v>23800.22</v>
      </c>
      <c r="I108" s="206">
        <f>H108*15%</f>
        <v>3570.0329999999999</v>
      </c>
      <c r="J108" s="35">
        <f t="shared" ref="J108:J117" si="17">I108*K108</f>
        <v>2142.0198</v>
      </c>
      <c r="K108" s="195">
        <v>0.6</v>
      </c>
    </row>
    <row r="109" spans="1:11" x14ac:dyDescent="0.25">
      <c r="A109" s="37" t="s">
        <v>771</v>
      </c>
      <c r="B109" s="37">
        <v>593097754</v>
      </c>
      <c r="C109" s="193">
        <v>45889</v>
      </c>
      <c r="D109" s="37" t="s">
        <v>12</v>
      </c>
      <c r="E109" s="37" t="s">
        <v>38</v>
      </c>
      <c r="F109" s="37" t="s">
        <v>984</v>
      </c>
      <c r="G109" s="206">
        <v>12206.6</v>
      </c>
      <c r="H109" s="206">
        <v>11615.32</v>
      </c>
      <c r="I109" s="206">
        <f t="shared" ref="I109:I112" si="18">H109*15%</f>
        <v>1742.298</v>
      </c>
      <c r="J109" s="35">
        <f t="shared" si="17"/>
        <v>1045.3788</v>
      </c>
      <c r="K109" s="195">
        <v>0.6</v>
      </c>
    </row>
    <row r="110" spans="1:11" x14ac:dyDescent="0.25">
      <c r="A110" s="37" t="s">
        <v>48</v>
      </c>
      <c r="B110" s="37">
        <v>5375417</v>
      </c>
      <c r="C110" s="193">
        <v>45881</v>
      </c>
      <c r="D110" s="37" t="s">
        <v>12</v>
      </c>
      <c r="E110" s="37" t="s">
        <v>38</v>
      </c>
      <c r="F110" s="37" t="s">
        <v>48</v>
      </c>
      <c r="G110" s="206">
        <v>87897.76</v>
      </c>
      <c r="H110" s="206">
        <v>87897.76</v>
      </c>
      <c r="I110" s="206">
        <f t="shared" si="18"/>
        <v>13184.663999999999</v>
      </c>
      <c r="J110" s="35">
        <f t="shared" si="17"/>
        <v>7910.7983999999988</v>
      </c>
      <c r="K110" s="195">
        <v>0.6</v>
      </c>
    </row>
    <row r="111" spans="1:11" x14ac:dyDescent="0.25">
      <c r="A111" s="37" t="s">
        <v>562</v>
      </c>
      <c r="B111" s="37">
        <v>593086900</v>
      </c>
      <c r="C111" s="193">
        <v>45888</v>
      </c>
      <c r="D111" s="37" t="s">
        <v>12</v>
      </c>
      <c r="E111" s="37" t="s">
        <v>41</v>
      </c>
      <c r="F111" s="37" t="s">
        <v>12</v>
      </c>
      <c r="G111" s="206">
        <v>16290.78</v>
      </c>
      <c r="H111" s="206">
        <v>15496.54</v>
      </c>
      <c r="I111" s="206">
        <f t="shared" si="18"/>
        <v>2324.4810000000002</v>
      </c>
      <c r="J111" s="35">
        <f t="shared" si="17"/>
        <v>1394.6886000000002</v>
      </c>
      <c r="K111" s="195">
        <v>0.6</v>
      </c>
    </row>
    <row r="112" spans="1:11" x14ac:dyDescent="0.25">
      <c r="A112" s="37" t="s">
        <v>860</v>
      </c>
      <c r="B112" s="37">
        <v>5736031</v>
      </c>
      <c r="C112" s="193">
        <v>45896</v>
      </c>
      <c r="D112" s="37" t="s">
        <v>12</v>
      </c>
      <c r="E112" s="37" t="s">
        <v>38</v>
      </c>
      <c r="F112" s="37" t="s">
        <v>860</v>
      </c>
      <c r="G112" s="206">
        <v>72506.84</v>
      </c>
      <c r="H112" s="206">
        <v>72506.84</v>
      </c>
      <c r="I112" s="206">
        <f t="shared" si="18"/>
        <v>10876.026</v>
      </c>
      <c r="J112" s="35">
        <f t="shared" si="17"/>
        <v>6525.6156000000001</v>
      </c>
      <c r="K112" s="195">
        <v>0.6</v>
      </c>
    </row>
    <row r="113" spans="1:11" x14ac:dyDescent="0.25">
      <c r="A113" s="37"/>
      <c r="B113" s="37"/>
      <c r="C113" s="193"/>
      <c r="D113" s="37"/>
      <c r="E113" s="37"/>
      <c r="F113" s="37"/>
      <c r="G113" s="206"/>
      <c r="H113" s="206"/>
      <c r="I113" s="206"/>
      <c r="J113" s="35">
        <f t="shared" si="17"/>
        <v>0</v>
      </c>
      <c r="K113" s="195">
        <v>0.6</v>
      </c>
    </row>
    <row r="114" spans="1:11" x14ac:dyDescent="0.25">
      <c r="A114" s="37"/>
      <c r="B114" s="37"/>
      <c r="C114" s="193"/>
      <c r="D114" s="37"/>
      <c r="E114" s="37"/>
      <c r="F114" s="37"/>
      <c r="G114" s="206"/>
      <c r="H114" s="206"/>
      <c r="I114" s="206"/>
      <c r="J114" s="35">
        <f t="shared" si="17"/>
        <v>0</v>
      </c>
      <c r="K114" s="195">
        <v>0.6</v>
      </c>
    </row>
    <row r="115" spans="1:11" x14ac:dyDescent="0.25">
      <c r="A115" s="37"/>
      <c r="B115" s="37"/>
      <c r="C115" s="193"/>
      <c r="D115" s="37"/>
      <c r="E115" s="37"/>
      <c r="F115" s="37"/>
      <c r="G115" s="206"/>
      <c r="H115" s="206"/>
      <c r="I115" s="206"/>
      <c r="J115" s="35">
        <f t="shared" si="17"/>
        <v>0</v>
      </c>
      <c r="K115" s="195">
        <v>0.6</v>
      </c>
    </row>
    <row r="116" spans="1:11" x14ac:dyDescent="0.25">
      <c r="A116" s="37"/>
      <c r="B116" s="37"/>
      <c r="C116" s="193"/>
      <c r="D116" s="37"/>
      <c r="E116" s="37"/>
      <c r="F116" s="37"/>
      <c r="G116" s="206"/>
      <c r="H116" s="206"/>
      <c r="I116" s="206"/>
      <c r="J116" s="35">
        <f t="shared" si="17"/>
        <v>0</v>
      </c>
      <c r="K116" s="195">
        <v>0.6</v>
      </c>
    </row>
    <row r="117" spans="1:11" x14ac:dyDescent="0.25">
      <c r="A117" s="37"/>
      <c r="B117" s="37"/>
      <c r="C117" s="193"/>
      <c r="D117" s="37"/>
      <c r="E117" s="37"/>
      <c r="F117" s="37"/>
      <c r="G117" s="206"/>
      <c r="H117" s="206"/>
      <c r="I117" s="206"/>
      <c r="J117" s="35">
        <f t="shared" si="17"/>
        <v>0</v>
      </c>
      <c r="K117" s="195">
        <v>0.6</v>
      </c>
    </row>
    <row r="118" spans="1:11" x14ac:dyDescent="0.25">
      <c r="A118" s="37"/>
      <c r="B118" s="37"/>
      <c r="C118" s="193"/>
      <c r="D118" s="37"/>
      <c r="E118" s="37"/>
      <c r="F118" s="37"/>
      <c r="G118" s="206"/>
      <c r="H118" s="206"/>
      <c r="I118" s="206"/>
      <c r="J118" s="206"/>
      <c r="K118" s="195"/>
    </row>
    <row r="119" spans="1:11" x14ac:dyDescent="0.25">
      <c r="A119" s="37"/>
      <c r="B119" s="37"/>
      <c r="C119" s="193"/>
      <c r="D119" s="37"/>
      <c r="E119" s="37"/>
      <c r="F119" s="37"/>
      <c r="G119" s="206"/>
      <c r="H119" s="206"/>
      <c r="I119" s="206"/>
      <c r="J119" s="206"/>
      <c r="K119" s="195"/>
    </row>
    <row r="120" spans="1:11" x14ac:dyDescent="0.25">
      <c r="A120" s="37"/>
      <c r="B120" s="37"/>
      <c r="C120" s="193"/>
      <c r="D120" s="37"/>
      <c r="E120" s="37"/>
      <c r="F120" s="197"/>
      <c r="G120" s="207"/>
      <c r="H120" s="207"/>
      <c r="I120" s="206"/>
      <c r="J120" s="206"/>
      <c r="K120" s="195"/>
    </row>
    <row r="121" spans="1:11" x14ac:dyDescent="0.25">
      <c r="A121" s="37"/>
      <c r="B121" s="37"/>
      <c r="C121" s="193"/>
      <c r="D121" s="37"/>
      <c r="E121" s="37"/>
      <c r="F121" s="190" t="s">
        <v>13</v>
      </c>
      <c r="G121" s="192">
        <f>SUM(G108:G120)</f>
        <v>213892.22</v>
      </c>
      <c r="H121" s="192">
        <f>SUM(H108:H120)</f>
        <v>211316.68</v>
      </c>
      <c r="I121" s="192">
        <f>SUM(I108:I120)</f>
        <v>31697.502</v>
      </c>
      <c r="J121" s="192">
        <f>SUM(J108:J120)</f>
        <v>19018.501199999999</v>
      </c>
      <c r="K121" s="190"/>
    </row>
    <row r="122" spans="1:11" x14ac:dyDescent="0.25">
      <c r="A122" s="37"/>
      <c r="B122" s="37"/>
      <c r="C122" s="193"/>
      <c r="D122" s="37"/>
      <c r="E122" s="37"/>
      <c r="F122" s="198" t="s">
        <v>14</v>
      </c>
      <c r="G122" s="199">
        <f>G111</f>
        <v>16290.78</v>
      </c>
      <c r="H122" s="35"/>
      <c r="I122" s="35"/>
      <c r="J122" s="35"/>
      <c r="K122" s="37"/>
    </row>
    <row r="123" spans="1:11" x14ac:dyDescent="0.25">
      <c r="A123" s="37"/>
      <c r="B123" s="37"/>
      <c r="C123" s="193"/>
      <c r="D123" s="198"/>
      <c r="E123" s="198" t="s">
        <v>18</v>
      </c>
      <c r="F123" s="198"/>
      <c r="G123" s="199">
        <f>G122/6</f>
        <v>2715.13</v>
      </c>
      <c r="H123" s="35"/>
      <c r="I123" s="35"/>
      <c r="J123" s="35"/>
      <c r="K123" s="37"/>
    </row>
    <row r="124" spans="1:11" x14ac:dyDescent="0.2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</row>
    <row r="125" spans="1:11" x14ac:dyDescent="0.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</row>
    <row r="126" spans="1:11" x14ac:dyDescent="0.2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</row>
    <row r="127" spans="1:11" x14ac:dyDescent="0.25">
      <c r="A127" s="176" t="s">
        <v>19</v>
      </c>
      <c r="B127" s="208"/>
      <c r="C127" s="209">
        <f>G34</f>
        <v>62626.369999999995</v>
      </c>
      <c r="D127" s="37"/>
      <c r="E127" s="177" t="s">
        <v>20</v>
      </c>
      <c r="F127" s="176"/>
      <c r="G127" s="209">
        <f>G106</f>
        <v>0</v>
      </c>
      <c r="H127" s="176"/>
      <c r="I127" s="176" t="s">
        <v>21</v>
      </c>
      <c r="J127" s="176"/>
      <c r="K127" s="40">
        <f>G122</f>
        <v>16290.78</v>
      </c>
    </row>
    <row r="128" spans="1:11" x14ac:dyDescent="0.25">
      <c r="A128" s="208" t="s">
        <v>22</v>
      </c>
      <c r="B128" s="208"/>
      <c r="C128" s="209">
        <f>G35</f>
        <v>10437.728333333333</v>
      </c>
      <c r="D128" s="211"/>
      <c r="E128" s="212"/>
      <c r="F128" s="212"/>
      <c r="G128" s="208" t="s">
        <v>12</v>
      </c>
      <c r="H128" s="37"/>
      <c r="I128" s="208" t="s">
        <v>23</v>
      </c>
      <c r="J128" s="208"/>
      <c r="K128" s="209">
        <f>G123</f>
        <v>2715.13</v>
      </c>
    </row>
    <row r="129" spans="1:11" x14ac:dyDescent="0.25">
      <c r="A129" s="208" t="s">
        <v>24</v>
      </c>
      <c r="B129" s="208"/>
      <c r="C129" s="209">
        <f>J33</f>
        <v>27674.363999999994</v>
      </c>
      <c r="D129" s="211"/>
      <c r="E129" s="212" t="s">
        <v>25</v>
      </c>
      <c r="F129" s="212"/>
      <c r="G129" s="209">
        <f>J104</f>
        <v>31076.918399999999</v>
      </c>
      <c r="H129" s="37"/>
      <c r="I129" s="208" t="s">
        <v>26</v>
      </c>
      <c r="J129" s="208"/>
      <c r="K129" s="209">
        <f>J121</f>
        <v>19018.501199999999</v>
      </c>
    </row>
    <row r="130" spans="1:11" x14ac:dyDescent="0.25">
      <c r="A130" s="208"/>
      <c r="B130" s="208"/>
      <c r="C130" s="209"/>
      <c r="D130" s="211"/>
      <c r="E130" s="212"/>
      <c r="F130" s="212"/>
      <c r="G130" s="209"/>
      <c r="H130" s="37"/>
      <c r="I130" s="208"/>
      <c r="J130" s="208"/>
      <c r="K130" s="208"/>
    </row>
    <row r="131" spans="1:11" x14ac:dyDescent="0.25">
      <c r="A131" s="208"/>
      <c r="B131" s="208"/>
      <c r="C131" s="208"/>
      <c r="D131" s="37"/>
      <c r="E131" s="208"/>
      <c r="F131" s="208"/>
      <c r="G131" s="208"/>
      <c r="H131" s="37"/>
      <c r="I131" s="208"/>
      <c r="J131" s="208"/>
      <c r="K131" s="208"/>
    </row>
    <row r="132" spans="1:11" x14ac:dyDescent="0.2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</row>
    <row r="133" spans="1:11" x14ac:dyDescent="0.25">
      <c r="A133" s="177" t="s">
        <v>27</v>
      </c>
      <c r="B133" s="176"/>
      <c r="C133" s="176"/>
      <c r="D133" s="37"/>
      <c r="E133" s="177" t="s">
        <v>28</v>
      </c>
      <c r="F133" s="176"/>
      <c r="G133" s="176"/>
      <c r="H133" s="37"/>
      <c r="I133" s="58" t="s">
        <v>104</v>
      </c>
      <c r="J133" s="58"/>
      <c r="K133" s="58"/>
    </row>
    <row r="134" spans="1:11" x14ac:dyDescent="0.25">
      <c r="A134" s="138"/>
      <c r="B134" s="138"/>
      <c r="C134" s="214"/>
      <c r="D134" s="37"/>
      <c r="E134" s="37"/>
      <c r="F134" s="37"/>
      <c r="G134" s="37"/>
      <c r="H134" s="35"/>
      <c r="I134" s="58" t="s">
        <v>854</v>
      </c>
      <c r="J134" s="218">
        <v>8664</v>
      </c>
      <c r="K134" s="141">
        <v>45902</v>
      </c>
    </row>
    <row r="135" spans="1:11" x14ac:dyDescent="0.25">
      <c r="A135" s="56" t="s">
        <v>29</v>
      </c>
      <c r="B135" s="56"/>
      <c r="C135" s="243">
        <f>J2</f>
        <v>268302.14</v>
      </c>
      <c r="D135" s="211"/>
      <c r="E135" s="212" t="s">
        <v>30</v>
      </c>
      <c r="F135" s="212"/>
      <c r="G135" s="212"/>
      <c r="H135" s="35"/>
      <c r="I135" s="58" t="s">
        <v>962</v>
      </c>
      <c r="J135" s="218">
        <v>7900</v>
      </c>
      <c r="K135" s="141">
        <v>45903</v>
      </c>
    </row>
    <row r="136" spans="1:11" x14ac:dyDescent="0.25">
      <c r="A136" s="56" t="s">
        <v>31</v>
      </c>
      <c r="B136" s="56"/>
      <c r="C136" s="139">
        <f>C129+G129+K129</f>
        <v>77769.783599999995</v>
      </c>
      <c r="D136" s="211"/>
      <c r="E136" s="212" t="s">
        <v>32</v>
      </c>
      <c r="F136" s="212"/>
      <c r="G136" s="215">
        <f>G36</f>
        <v>0</v>
      </c>
      <c r="H136" s="35"/>
      <c r="I136" s="58" t="s">
        <v>727</v>
      </c>
      <c r="J136" s="218">
        <v>8000</v>
      </c>
      <c r="K136" s="141">
        <v>45903</v>
      </c>
    </row>
    <row r="137" spans="1:11" x14ac:dyDescent="0.25">
      <c r="A137" s="138" t="s">
        <v>109</v>
      </c>
      <c r="B137" s="139"/>
      <c r="C137" s="139">
        <f>J147</f>
        <v>120406</v>
      </c>
      <c r="D137" s="211"/>
      <c r="E137" s="212" t="s">
        <v>33</v>
      </c>
      <c r="F137" s="212"/>
      <c r="G137" s="215">
        <f>G105</f>
        <v>82949.31</v>
      </c>
      <c r="H137" s="35"/>
      <c r="I137" s="58" t="s">
        <v>975</v>
      </c>
      <c r="J137" s="218">
        <v>9800</v>
      </c>
      <c r="K137" s="141">
        <v>45916</v>
      </c>
    </row>
    <row r="138" spans="1:11" x14ac:dyDescent="0.25">
      <c r="A138" s="138" t="s">
        <v>472</v>
      </c>
      <c r="B138" s="138"/>
      <c r="C138" s="139">
        <f>G26+G99+G100</f>
        <v>37229.81</v>
      </c>
      <c r="D138" s="211"/>
      <c r="E138" s="50" t="s">
        <v>950</v>
      </c>
      <c r="F138" s="51"/>
      <c r="G138" s="242">
        <v>10454.209999999999</v>
      </c>
      <c r="H138" s="35"/>
      <c r="I138" s="58" t="s">
        <v>975</v>
      </c>
      <c r="J138" s="218">
        <v>12250</v>
      </c>
      <c r="K138" s="141">
        <v>45916</v>
      </c>
    </row>
    <row r="139" spans="1:11" x14ac:dyDescent="0.25">
      <c r="A139" s="138" t="s">
        <v>13</v>
      </c>
      <c r="B139" s="138"/>
      <c r="C139" s="139">
        <f>C135+C136+C137+C138</f>
        <v>503707.73359999998</v>
      </c>
      <c r="D139" s="211"/>
      <c r="E139" s="50" t="s">
        <v>951</v>
      </c>
      <c r="F139" s="56"/>
      <c r="G139" s="185">
        <v>1243.9000000000001</v>
      </c>
      <c r="H139" s="35"/>
      <c r="I139" s="58" t="s">
        <v>727</v>
      </c>
      <c r="J139" s="218">
        <v>11000</v>
      </c>
      <c r="K139" s="141">
        <v>45922</v>
      </c>
    </row>
    <row r="140" spans="1:11" x14ac:dyDescent="0.25">
      <c r="A140" s="37"/>
      <c r="B140" s="37"/>
      <c r="C140" s="37"/>
      <c r="D140" s="211"/>
      <c r="E140" s="50" t="s">
        <v>952</v>
      </c>
      <c r="F140" s="51"/>
      <c r="G140" s="242">
        <v>77.5</v>
      </c>
      <c r="H140" s="35"/>
      <c r="I140" s="58" t="s">
        <v>605</v>
      </c>
      <c r="J140" s="218">
        <v>10200</v>
      </c>
      <c r="K140" s="141">
        <v>45922</v>
      </c>
    </row>
    <row r="141" spans="1:11" x14ac:dyDescent="0.25">
      <c r="A141" s="37"/>
      <c r="B141" s="37"/>
      <c r="C141" s="37"/>
      <c r="D141" s="211"/>
      <c r="E141" s="50" t="s">
        <v>953</v>
      </c>
      <c r="F141" s="56"/>
      <c r="G141" s="185" t="s">
        <v>12</v>
      </c>
      <c r="H141" s="35"/>
      <c r="I141" s="58" t="s">
        <v>103</v>
      </c>
      <c r="J141" s="218">
        <v>8767</v>
      </c>
      <c r="K141" s="141">
        <v>45922</v>
      </c>
    </row>
    <row r="142" spans="1:11" x14ac:dyDescent="0.25">
      <c r="A142" s="37"/>
      <c r="B142" s="37"/>
      <c r="C142" s="37"/>
      <c r="D142" s="211"/>
      <c r="E142" s="50" t="s">
        <v>954</v>
      </c>
      <c r="F142" s="51"/>
      <c r="G142" s="242">
        <v>7964.08</v>
      </c>
      <c r="H142" s="35"/>
      <c r="I142" s="58" t="s">
        <v>1015</v>
      </c>
      <c r="J142" s="218">
        <v>4630</v>
      </c>
      <c r="K142" s="141">
        <v>45919</v>
      </c>
    </row>
    <row r="143" spans="1:11" x14ac:dyDescent="0.25">
      <c r="A143" s="37"/>
      <c r="B143" s="37"/>
      <c r="C143" s="37"/>
      <c r="D143" s="211"/>
      <c r="E143" s="50" t="s">
        <v>955</v>
      </c>
      <c r="F143" s="56"/>
      <c r="G143" s="185">
        <v>13425.5</v>
      </c>
      <c r="H143" s="35"/>
      <c r="I143" s="58" t="s">
        <v>1016</v>
      </c>
      <c r="J143" s="218">
        <v>10410</v>
      </c>
      <c r="K143" s="141">
        <v>45916</v>
      </c>
    </row>
    <row r="144" spans="1:11" x14ac:dyDescent="0.25">
      <c r="A144" s="37"/>
      <c r="B144" s="37"/>
      <c r="C144" s="37"/>
      <c r="D144" s="211"/>
      <c r="E144" s="50" t="s">
        <v>956</v>
      </c>
      <c r="F144" s="51"/>
      <c r="G144" s="185">
        <v>3527.65</v>
      </c>
      <c r="H144" s="35"/>
      <c r="I144" s="58" t="s">
        <v>293</v>
      </c>
      <c r="J144" s="218">
        <v>14587</v>
      </c>
      <c r="K144" s="141">
        <v>45926</v>
      </c>
    </row>
    <row r="145" spans="1:11" x14ac:dyDescent="0.25">
      <c r="A145" s="37"/>
      <c r="B145" s="37"/>
      <c r="C145" s="37"/>
      <c r="D145" s="211"/>
      <c r="E145" s="50" t="s">
        <v>957</v>
      </c>
      <c r="F145" s="56"/>
      <c r="G145" s="185" t="s">
        <v>12</v>
      </c>
      <c r="H145" s="35"/>
      <c r="I145" s="58" t="s">
        <v>934</v>
      </c>
      <c r="J145" s="218">
        <v>14198</v>
      </c>
      <c r="K145" s="141">
        <v>45925</v>
      </c>
    </row>
    <row r="146" spans="1:11" x14ac:dyDescent="0.25">
      <c r="A146" s="37"/>
      <c r="B146" s="37"/>
      <c r="C146" s="37"/>
      <c r="D146" s="211"/>
      <c r="E146" s="50" t="s">
        <v>958</v>
      </c>
      <c r="F146" s="51"/>
      <c r="G146" s="241">
        <v>6450.58</v>
      </c>
      <c r="H146" s="35"/>
      <c r="I146" s="58"/>
      <c r="J146" s="218"/>
      <c r="K146" s="58"/>
    </row>
    <row r="147" spans="1:11" x14ac:dyDescent="0.25">
      <c r="A147" s="37"/>
      <c r="B147" s="37"/>
      <c r="C147" s="37"/>
      <c r="D147" s="211"/>
      <c r="E147" s="50" t="s">
        <v>959</v>
      </c>
      <c r="F147" s="56"/>
      <c r="G147" s="241">
        <v>16311.96</v>
      </c>
      <c r="H147" s="35"/>
      <c r="I147" s="58" t="s">
        <v>13</v>
      </c>
      <c r="J147" s="218">
        <f>J134+J135+J136+J137+J138+J139+J140+J141+J142+J143+J144+J145</f>
        <v>120406</v>
      </c>
      <c r="K147" s="58"/>
    </row>
    <row r="148" spans="1:11" x14ac:dyDescent="0.25">
      <c r="A148" s="37"/>
      <c r="B148" s="37"/>
      <c r="C148" s="37"/>
      <c r="D148" s="211"/>
      <c r="E148" s="50" t="s">
        <v>960</v>
      </c>
      <c r="F148" s="51"/>
      <c r="G148" s="241">
        <f>G35</f>
        <v>10437.728333333333</v>
      </c>
      <c r="H148" s="35"/>
      <c r="I148" s="37"/>
      <c r="J148" s="37"/>
      <c r="K148" s="37"/>
    </row>
    <row r="149" spans="1:11" x14ac:dyDescent="0.25">
      <c r="A149" s="37"/>
      <c r="B149" s="37"/>
      <c r="C149" s="37"/>
      <c r="D149" s="211"/>
      <c r="E149" s="50" t="s">
        <v>961</v>
      </c>
      <c r="F149" s="56"/>
      <c r="G149" s="241">
        <f>G123</f>
        <v>2715.13</v>
      </c>
      <c r="H149" s="35"/>
      <c r="I149" s="37"/>
      <c r="J149" s="37"/>
      <c r="K149" s="37"/>
    </row>
    <row r="150" spans="1:11" x14ac:dyDescent="0.25">
      <c r="A150" s="37"/>
      <c r="B150" s="37"/>
      <c r="C150" s="37"/>
      <c r="D150" s="211"/>
      <c r="E150" s="57"/>
      <c r="F150" s="57"/>
      <c r="G150" s="57"/>
      <c r="H150" s="35"/>
      <c r="I150" s="37"/>
      <c r="J150" s="37"/>
      <c r="K150" s="37"/>
    </row>
    <row r="151" spans="1:11" x14ac:dyDescent="0.25">
      <c r="A151" s="37"/>
      <c r="B151" s="37"/>
      <c r="C151" s="37"/>
      <c r="D151" s="211"/>
      <c r="E151" s="56" t="s">
        <v>13</v>
      </c>
      <c r="F151" s="56"/>
      <c r="G151" s="57">
        <f>SUM(G137:G150)</f>
        <v>155557.54833333331</v>
      </c>
      <c r="H151" s="35"/>
      <c r="I151" s="37"/>
      <c r="J151" s="37"/>
      <c r="K151" s="37"/>
    </row>
    <row r="152" spans="1:11" x14ac:dyDescent="0.2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</row>
    <row r="153" spans="1:11" x14ac:dyDescent="0.2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</row>
    <row r="154" spans="1:11" x14ac:dyDescent="0.2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</row>
    <row r="155" spans="1:11" x14ac:dyDescent="0.2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</row>
    <row r="156" spans="1:11" x14ac:dyDescent="0.2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</row>
    <row r="157" spans="1:11" x14ac:dyDescent="0.2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</row>
    <row r="158" spans="1:11" x14ac:dyDescent="0.25">
      <c r="A158" s="37"/>
      <c r="B158" s="37"/>
      <c r="C158" s="39" t="s">
        <v>239</v>
      </c>
      <c r="D158" s="39"/>
      <c r="E158" s="40"/>
      <c r="F158" s="40">
        <f>C139-G151</f>
        <v>348150.1852666667</v>
      </c>
      <c r="G158" s="37"/>
      <c r="H158" s="37"/>
      <c r="I158" s="37"/>
      <c r="J158" s="37"/>
      <c r="K158" s="37"/>
    </row>
    <row r="159" spans="1:11" x14ac:dyDescent="0.25">
      <c r="A159" s="37"/>
      <c r="B159" s="37"/>
      <c r="C159" s="72"/>
      <c r="D159" s="72"/>
      <c r="E159" s="72"/>
      <c r="F159" s="37"/>
      <c r="G159" s="37"/>
      <c r="H159" s="37"/>
      <c r="I159" s="37"/>
      <c r="J159" s="37"/>
      <c r="K159" s="37"/>
    </row>
    <row r="160" spans="1:11" x14ac:dyDescent="0.25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</row>
    <row r="161" spans="1:11" x14ac:dyDescent="0.25">
      <c r="A161" s="72"/>
      <c r="B161" s="72"/>
      <c r="C161" s="72"/>
      <c r="D161" s="72" t="s">
        <v>35</v>
      </c>
      <c r="E161" s="72"/>
      <c r="F161" s="114">
        <f>F158-F159</f>
        <v>348150.1852666667</v>
      </c>
      <c r="G161" s="72"/>
      <c r="H161" s="72"/>
      <c r="I161" s="72"/>
      <c r="J161" s="72"/>
      <c r="K161" s="72"/>
    </row>
    <row r="162" spans="1:11" x14ac:dyDescent="0.25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</row>
    <row r="163" spans="1:11" x14ac:dyDescent="0.25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</row>
  </sheetData>
  <conditionalFormatting sqref="E1">
    <cfRule type="cellIs" dxfId="27" priority="11" operator="equal">
      <formula>"K.KART"</formula>
    </cfRule>
    <cfRule type="cellIs" dxfId="26" priority="12" operator="equal">
      <formula>"AÇIK"</formula>
    </cfRule>
  </conditionalFormatting>
  <conditionalFormatting sqref="E3:E105">
    <cfRule type="cellIs" dxfId="25" priority="1" operator="equal">
      <formula>"K.KART"</formula>
    </cfRule>
    <cfRule type="cellIs" dxfId="24" priority="2" operator="equal">
      <formula>"AÇIK"</formula>
    </cfRule>
  </conditionalFormatting>
  <conditionalFormatting sqref="E107:E123">
    <cfRule type="cellIs" dxfId="23" priority="9" operator="equal">
      <formula>"K.KART"</formula>
    </cfRule>
    <cfRule type="cellIs" dxfId="22" priority="10" operator="equal">
      <formula>"AÇIK"</formula>
    </cfRule>
  </conditionalFormatting>
  <conditionalFormatting sqref="F5">
    <cfRule type="cellIs" dxfId="21" priority="7" operator="equal">
      <formula>"K.KART"</formula>
    </cfRule>
    <cfRule type="cellIs" dxfId="20" priority="8" operator="equal">
      <formula>"AÇIK"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1AF56-FF81-49D2-9FF7-299042FBCB66}">
  <dimension ref="A1:K203"/>
  <sheetViews>
    <sheetView topLeftCell="A19" workbookViewId="0">
      <selection activeCell="G202" sqref="G202"/>
    </sheetView>
  </sheetViews>
  <sheetFormatPr defaultRowHeight="15" x14ac:dyDescent="0.25"/>
  <cols>
    <col min="1" max="1" width="25.7109375" customWidth="1"/>
    <col min="2" max="2" width="12.7109375" customWidth="1"/>
    <col min="3" max="3" width="12.42578125" customWidth="1"/>
    <col min="4" max="4" width="13" customWidth="1"/>
    <col min="5" max="5" width="16.28515625" customWidth="1"/>
    <col min="6" max="6" width="33.28515625" customWidth="1"/>
    <col min="7" max="7" width="19.28515625" customWidth="1"/>
    <col min="8" max="8" width="18.5703125" customWidth="1"/>
    <col min="9" max="9" width="20" customWidth="1"/>
    <col min="10" max="10" width="20.42578125" customWidth="1"/>
    <col min="11" max="11" width="11.85546875" customWidth="1"/>
  </cols>
  <sheetData>
    <row r="1" spans="1:11" x14ac:dyDescent="0.25">
      <c r="A1" s="186" t="s">
        <v>931</v>
      </c>
      <c r="B1" s="72"/>
      <c r="C1" s="187"/>
      <c r="D1" s="72"/>
      <c r="E1" s="188"/>
      <c r="F1" s="188"/>
      <c r="G1" s="114"/>
      <c r="H1" s="114"/>
      <c r="I1" s="114"/>
      <c r="J1" s="114"/>
      <c r="K1" s="72"/>
    </row>
    <row r="2" spans="1:11" x14ac:dyDescent="0.25">
      <c r="A2" s="189" t="s">
        <v>0</v>
      </c>
      <c r="B2" s="189"/>
      <c r="C2" s="189"/>
      <c r="D2" s="189"/>
      <c r="E2" s="189"/>
      <c r="F2" s="189"/>
      <c r="G2" s="189"/>
      <c r="H2" s="189"/>
      <c r="I2" s="189"/>
      <c r="J2" s="40">
        <v>348150.19</v>
      </c>
      <c r="K2" s="189"/>
    </row>
    <row r="3" spans="1:11" x14ac:dyDescent="0.25">
      <c r="A3" s="190" t="s">
        <v>1</v>
      </c>
      <c r="B3" s="190" t="s">
        <v>2</v>
      </c>
      <c r="C3" s="191" t="s">
        <v>3</v>
      </c>
      <c r="D3" s="190" t="s">
        <v>4</v>
      </c>
      <c r="E3" s="190" t="s">
        <v>5</v>
      </c>
      <c r="F3" s="190" t="s">
        <v>6</v>
      </c>
      <c r="G3" s="192" t="s">
        <v>7</v>
      </c>
      <c r="H3" s="192" t="s">
        <v>8</v>
      </c>
      <c r="I3" s="192" t="s">
        <v>9</v>
      </c>
      <c r="J3" s="192" t="s">
        <v>10</v>
      </c>
      <c r="K3" s="190" t="s">
        <v>11</v>
      </c>
    </row>
    <row r="4" spans="1:11" x14ac:dyDescent="0.25">
      <c r="A4" s="37" t="s">
        <v>709</v>
      </c>
      <c r="B4" s="37">
        <v>598370867</v>
      </c>
      <c r="C4" s="193">
        <v>45902</v>
      </c>
      <c r="D4" s="37" t="s">
        <v>889</v>
      </c>
      <c r="E4" s="37" t="s">
        <v>38</v>
      </c>
      <c r="F4" s="37" t="s">
        <v>57</v>
      </c>
      <c r="G4" s="194">
        <v>20918.16</v>
      </c>
      <c r="H4" s="35">
        <v>19922.07</v>
      </c>
      <c r="I4" s="35">
        <v>2988.31</v>
      </c>
      <c r="J4" s="35">
        <f t="shared" ref="J4:J28" si="0">I4*K4</f>
        <v>1792.9859999999999</v>
      </c>
      <c r="K4" s="195">
        <v>0.6</v>
      </c>
    </row>
    <row r="5" spans="1:11" x14ac:dyDescent="0.25">
      <c r="A5" s="37" t="s">
        <v>103</v>
      </c>
      <c r="B5" s="37">
        <v>599406229</v>
      </c>
      <c r="C5" s="193">
        <v>45927</v>
      </c>
      <c r="D5" s="37" t="s">
        <v>888</v>
      </c>
      <c r="E5" s="37" t="s">
        <v>38</v>
      </c>
      <c r="F5" s="37" t="s">
        <v>103</v>
      </c>
      <c r="G5" s="35">
        <v>25620.62</v>
      </c>
      <c r="H5" s="35">
        <v>24400.58</v>
      </c>
      <c r="I5" s="35">
        <v>3760.09</v>
      </c>
      <c r="J5" s="35">
        <f t="shared" si="0"/>
        <v>2256.0540000000001</v>
      </c>
      <c r="K5" s="195">
        <v>0.6</v>
      </c>
    </row>
    <row r="6" spans="1:11" x14ac:dyDescent="0.25">
      <c r="A6" s="197" t="s">
        <v>897</v>
      </c>
      <c r="B6" s="37">
        <v>599945804</v>
      </c>
      <c r="C6" s="193">
        <v>45901</v>
      </c>
      <c r="D6" s="196" t="s">
        <v>898</v>
      </c>
      <c r="E6" s="37" t="s">
        <v>38</v>
      </c>
      <c r="F6" s="37" t="s">
        <v>165</v>
      </c>
      <c r="G6" s="35">
        <v>27072.1</v>
      </c>
      <c r="H6" s="35">
        <v>25782.94</v>
      </c>
      <c r="I6" s="35">
        <v>3867.45</v>
      </c>
      <c r="J6" s="35">
        <f t="shared" si="0"/>
        <v>2320.4699999999998</v>
      </c>
      <c r="K6" s="195">
        <v>0.6</v>
      </c>
    </row>
    <row r="7" spans="1:11" x14ac:dyDescent="0.25">
      <c r="A7" s="37" t="s">
        <v>901</v>
      </c>
      <c r="B7" s="37">
        <v>598398972</v>
      </c>
      <c r="C7" s="193">
        <v>45903</v>
      </c>
      <c r="D7" s="196" t="s">
        <v>902</v>
      </c>
      <c r="E7" s="37" t="s">
        <v>38</v>
      </c>
      <c r="F7" s="37" t="s">
        <v>903</v>
      </c>
      <c r="G7" s="35">
        <v>11808.38</v>
      </c>
      <c r="H7" s="35">
        <v>11246.07</v>
      </c>
      <c r="I7" s="35">
        <v>1686.92</v>
      </c>
      <c r="J7" s="35">
        <f t="shared" si="0"/>
        <v>1012.152</v>
      </c>
      <c r="K7" s="195">
        <v>0.6</v>
      </c>
    </row>
    <row r="8" spans="1:11" x14ac:dyDescent="0.25">
      <c r="A8" s="37" t="s">
        <v>321</v>
      </c>
      <c r="B8" s="37">
        <v>601170484</v>
      </c>
      <c r="C8" s="193">
        <v>45914</v>
      </c>
      <c r="D8" s="37" t="s">
        <v>928</v>
      </c>
      <c r="E8" s="37" t="s">
        <v>38</v>
      </c>
      <c r="F8" s="37" t="s">
        <v>321</v>
      </c>
      <c r="G8" s="35">
        <v>17324.080000000002</v>
      </c>
      <c r="H8" s="35">
        <v>16499.11</v>
      </c>
      <c r="I8" s="35">
        <v>2474.87</v>
      </c>
      <c r="J8" s="35">
        <f t="shared" si="0"/>
        <v>1484.9219999999998</v>
      </c>
      <c r="K8" s="195">
        <v>0.6</v>
      </c>
    </row>
    <row r="9" spans="1:11" x14ac:dyDescent="0.25">
      <c r="A9" s="197" t="s">
        <v>929</v>
      </c>
      <c r="B9" s="37">
        <v>601211817</v>
      </c>
      <c r="C9" s="193">
        <v>45915</v>
      </c>
      <c r="D9" s="37" t="s">
        <v>930</v>
      </c>
      <c r="E9" s="37" t="s">
        <v>38</v>
      </c>
      <c r="F9" s="197" t="s">
        <v>929</v>
      </c>
      <c r="G9" s="35">
        <v>11208.19</v>
      </c>
      <c r="H9" s="35">
        <v>10674.46</v>
      </c>
      <c r="I9" s="35">
        <v>1601.17</v>
      </c>
      <c r="J9" s="35">
        <f t="shared" si="0"/>
        <v>960.702</v>
      </c>
      <c r="K9" s="195">
        <v>0.6</v>
      </c>
    </row>
    <row r="10" spans="1:11" x14ac:dyDescent="0.25">
      <c r="A10" s="197" t="s">
        <v>934</v>
      </c>
      <c r="B10" s="197">
        <v>601873645</v>
      </c>
      <c r="C10" s="204">
        <v>45909</v>
      </c>
      <c r="D10" s="197" t="s">
        <v>935</v>
      </c>
      <c r="E10" s="197" t="s">
        <v>38</v>
      </c>
      <c r="F10" s="197" t="s">
        <v>934</v>
      </c>
      <c r="G10" s="35">
        <v>17813.87</v>
      </c>
      <c r="H10" s="35">
        <v>16965.580000000002</v>
      </c>
      <c r="I10" s="35">
        <v>2544.84</v>
      </c>
      <c r="J10" s="35">
        <f t="shared" si="0"/>
        <v>1526.904</v>
      </c>
      <c r="K10" s="195">
        <v>0.6</v>
      </c>
    </row>
    <row r="11" spans="1:11" x14ac:dyDescent="0.25">
      <c r="A11" s="37" t="s">
        <v>940</v>
      </c>
      <c r="B11" s="37">
        <v>599998530</v>
      </c>
      <c r="C11" s="193">
        <v>45911</v>
      </c>
      <c r="D11" s="37" t="s">
        <v>941</v>
      </c>
      <c r="E11" s="37" t="s">
        <v>38</v>
      </c>
      <c r="F11" s="37" t="s">
        <v>940</v>
      </c>
      <c r="G11" s="35">
        <v>22287.78</v>
      </c>
      <c r="H11" s="35">
        <v>21226.44</v>
      </c>
      <c r="I11" s="35">
        <v>3183.97</v>
      </c>
      <c r="J11" s="35">
        <f t="shared" si="0"/>
        <v>1910.3819999999998</v>
      </c>
      <c r="K11" s="195">
        <v>0.6</v>
      </c>
    </row>
    <row r="12" spans="1:11" x14ac:dyDescent="0.25">
      <c r="A12" s="37" t="s">
        <v>944</v>
      </c>
      <c r="B12" s="37">
        <v>601176996</v>
      </c>
      <c r="C12" s="193">
        <v>45912</v>
      </c>
      <c r="D12" s="37" t="s">
        <v>945</v>
      </c>
      <c r="E12" s="37" t="s">
        <v>38</v>
      </c>
      <c r="F12" s="37" t="s">
        <v>57</v>
      </c>
      <c r="G12" s="35">
        <v>14175</v>
      </c>
      <c r="H12" s="35">
        <v>13500.42</v>
      </c>
      <c r="I12" s="35">
        <v>2025.07</v>
      </c>
      <c r="J12" s="35">
        <f t="shared" si="0"/>
        <v>1215.0419999999999</v>
      </c>
      <c r="K12" s="195">
        <v>0.6</v>
      </c>
    </row>
    <row r="13" spans="1:11" x14ac:dyDescent="0.25">
      <c r="A13" s="37" t="s">
        <v>948</v>
      </c>
      <c r="B13" s="37">
        <v>601202889</v>
      </c>
      <c r="C13" s="193">
        <v>45917</v>
      </c>
      <c r="D13" s="37" t="s">
        <v>949</v>
      </c>
      <c r="E13" s="37" t="s">
        <v>38</v>
      </c>
      <c r="F13" s="197" t="s">
        <v>963</v>
      </c>
      <c r="G13" s="35">
        <v>9401.0499999999993</v>
      </c>
      <c r="H13" s="35">
        <v>8953.3700000000008</v>
      </c>
      <c r="I13" s="35">
        <v>1343.01</v>
      </c>
      <c r="J13" s="35">
        <f t="shared" si="0"/>
        <v>805.80599999999993</v>
      </c>
      <c r="K13" s="195">
        <v>0.6</v>
      </c>
    </row>
    <row r="14" spans="1:11" x14ac:dyDescent="0.25">
      <c r="A14" s="37" t="s">
        <v>964</v>
      </c>
      <c r="B14" s="37">
        <v>602999320</v>
      </c>
      <c r="C14" s="193">
        <v>45912</v>
      </c>
      <c r="D14" s="37" t="s">
        <v>965</v>
      </c>
      <c r="E14" s="37" t="s">
        <v>38</v>
      </c>
      <c r="F14" s="197" t="s">
        <v>1127</v>
      </c>
      <c r="G14" s="35">
        <v>18989.14</v>
      </c>
      <c r="H14" s="35">
        <v>18084.88</v>
      </c>
      <c r="I14" s="35">
        <v>2712.74</v>
      </c>
      <c r="J14" s="35">
        <f t="shared" si="0"/>
        <v>1627.6439999999998</v>
      </c>
      <c r="K14" s="195">
        <v>0.6</v>
      </c>
    </row>
    <row r="15" spans="1:11" x14ac:dyDescent="0.25">
      <c r="A15" s="37" t="s">
        <v>968</v>
      </c>
      <c r="B15" s="37">
        <v>601227636</v>
      </c>
      <c r="C15" s="193">
        <v>45916</v>
      </c>
      <c r="D15" s="37" t="s">
        <v>969</v>
      </c>
      <c r="E15" s="37" t="s">
        <v>38</v>
      </c>
      <c r="F15" s="197" t="s">
        <v>1270</v>
      </c>
      <c r="G15" s="35">
        <v>46147.33</v>
      </c>
      <c r="H15" s="35">
        <v>43949.83</v>
      </c>
      <c r="I15" s="35">
        <v>6592.48</v>
      </c>
      <c r="J15" s="35">
        <f t="shared" si="0"/>
        <v>3955.4879999999994</v>
      </c>
      <c r="K15" s="195">
        <v>0.6</v>
      </c>
    </row>
    <row r="16" spans="1:11" x14ac:dyDescent="0.25">
      <c r="A16" s="37" t="s">
        <v>147</v>
      </c>
      <c r="B16" s="37">
        <v>603856683</v>
      </c>
      <c r="C16" s="193">
        <v>45924</v>
      </c>
      <c r="D16" s="37" t="s">
        <v>985</v>
      </c>
      <c r="E16" s="37" t="s">
        <v>38</v>
      </c>
      <c r="F16" s="37" t="s">
        <v>147</v>
      </c>
      <c r="G16" s="35">
        <v>15379.69</v>
      </c>
      <c r="H16" s="35">
        <v>14647.32</v>
      </c>
      <c r="I16" s="35">
        <v>2197.1</v>
      </c>
      <c r="J16" s="35">
        <f t="shared" si="0"/>
        <v>1318.26</v>
      </c>
      <c r="K16" s="195">
        <v>0.6</v>
      </c>
    </row>
    <row r="17" spans="1:11" x14ac:dyDescent="0.25">
      <c r="A17" s="37" t="s">
        <v>536</v>
      </c>
      <c r="B17" s="37">
        <v>605255735</v>
      </c>
      <c r="C17" s="193">
        <v>45922</v>
      </c>
      <c r="D17" s="37" t="s">
        <v>995</v>
      </c>
      <c r="E17" s="37" t="s">
        <v>38</v>
      </c>
      <c r="F17" s="37" t="s">
        <v>996</v>
      </c>
      <c r="G17" s="35">
        <v>11321.16</v>
      </c>
      <c r="H17" s="35">
        <v>10782.05</v>
      </c>
      <c r="I17" s="35">
        <v>1617.31</v>
      </c>
      <c r="J17" s="35">
        <f t="shared" si="0"/>
        <v>970.38599999999997</v>
      </c>
      <c r="K17" s="195">
        <v>0.6</v>
      </c>
    </row>
    <row r="18" spans="1:11" x14ac:dyDescent="0.25">
      <c r="A18" s="37" t="s">
        <v>1000</v>
      </c>
      <c r="B18" s="37">
        <v>602026745</v>
      </c>
      <c r="C18" s="193">
        <v>45923</v>
      </c>
      <c r="D18" s="37" t="s">
        <v>1001</v>
      </c>
      <c r="E18" s="37" t="s">
        <v>38</v>
      </c>
      <c r="F18" s="37" t="s">
        <v>1000</v>
      </c>
      <c r="G18" s="35">
        <v>13240.54</v>
      </c>
      <c r="H18" s="35">
        <v>12610.03</v>
      </c>
      <c r="I18" s="35">
        <v>1891.51</v>
      </c>
      <c r="J18" s="35">
        <f t="shared" si="0"/>
        <v>1134.9059999999999</v>
      </c>
      <c r="K18" s="195">
        <v>0.6</v>
      </c>
    </row>
    <row r="19" spans="1:11" x14ac:dyDescent="0.25">
      <c r="A19" s="37" t="s">
        <v>1002</v>
      </c>
      <c r="B19" s="37">
        <v>602040698</v>
      </c>
      <c r="C19" s="193">
        <v>45923</v>
      </c>
      <c r="D19" s="37" t="s">
        <v>1003</v>
      </c>
      <c r="E19" s="37" t="s">
        <v>38</v>
      </c>
      <c r="F19" s="37" t="s">
        <v>57</v>
      </c>
      <c r="G19" s="35">
        <v>14718.24</v>
      </c>
      <c r="H19" s="35">
        <v>14017.37</v>
      </c>
      <c r="I19" s="35">
        <v>2102.6</v>
      </c>
      <c r="J19" s="35">
        <f t="shared" si="0"/>
        <v>1261.56</v>
      </c>
      <c r="K19" s="195">
        <v>0.6</v>
      </c>
    </row>
    <row r="20" spans="1:11" x14ac:dyDescent="0.25">
      <c r="A20" s="37" t="s">
        <v>1004</v>
      </c>
      <c r="B20" s="37">
        <v>605641324</v>
      </c>
      <c r="C20" s="193">
        <v>45923</v>
      </c>
      <c r="D20" s="37" t="s">
        <v>1005</v>
      </c>
      <c r="E20" s="37" t="s">
        <v>38</v>
      </c>
      <c r="F20" s="197" t="s">
        <v>1006</v>
      </c>
      <c r="G20" s="35">
        <v>17459.310000000001</v>
      </c>
      <c r="H20" s="35">
        <v>16627.900000000001</v>
      </c>
      <c r="I20" s="35">
        <v>2494.1999999999998</v>
      </c>
      <c r="J20" s="35">
        <f t="shared" si="0"/>
        <v>1496.5199999999998</v>
      </c>
      <c r="K20" s="195">
        <v>0.6</v>
      </c>
    </row>
    <row r="21" spans="1:11" x14ac:dyDescent="0.25">
      <c r="A21" s="37" t="s">
        <v>723</v>
      </c>
      <c r="B21" s="37">
        <v>605746847</v>
      </c>
      <c r="C21" s="193">
        <v>45927</v>
      </c>
      <c r="D21" s="37" t="s">
        <v>1010</v>
      </c>
      <c r="E21" s="37" t="s">
        <v>38</v>
      </c>
      <c r="F21" s="197" t="s">
        <v>725</v>
      </c>
      <c r="G21" s="35">
        <v>23231.43</v>
      </c>
      <c r="H21" s="35">
        <v>22125.16</v>
      </c>
      <c r="I21" s="35">
        <v>3318.78</v>
      </c>
      <c r="J21" s="35">
        <f t="shared" si="0"/>
        <v>1991.268</v>
      </c>
      <c r="K21" s="195">
        <v>0.6</v>
      </c>
    </row>
    <row r="22" spans="1:11" x14ac:dyDescent="0.25">
      <c r="A22" s="37" t="s">
        <v>427</v>
      </c>
      <c r="B22" s="37">
        <v>607146450</v>
      </c>
      <c r="C22" s="193">
        <v>45929</v>
      </c>
      <c r="D22" s="37" t="s">
        <v>43</v>
      </c>
      <c r="E22" s="37" t="s">
        <v>38</v>
      </c>
      <c r="F22" s="197" t="s">
        <v>427</v>
      </c>
      <c r="G22" s="35">
        <v>19606</v>
      </c>
      <c r="H22" s="35">
        <v>18672.37</v>
      </c>
      <c r="I22" s="35">
        <v>2800.86</v>
      </c>
      <c r="J22" s="35">
        <f t="shared" si="0"/>
        <v>1680.5160000000001</v>
      </c>
      <c r="K22" s="195">
        <v>0.6</v>
      </c>
    </row>
    <row r="23" spans="1:11" x14ac:dyDescent="0.25">
      <c r="A23" s="37" t="s">
        <v>1037</v>
      </c>
      <c r="B23" s="37">
        <v>607208219</v>
      </c>
      <c r="C23" s="193">
        <v>45929</v>
      </c>
      <c r="D23" s="37" t="s">
        <v>1038</v>
      </c>
      <c r="E23" s="37" t="s">
        <v>38</v>
      </c>
      <c r="F23" s="37" t="s">
        <v>1037</v>
      </c>
      <c r="G23" s="35">
        <v>26983.46</v>
      </c>
      <c r="H23" s="35">
        <v>25698.52</v>
      </c>
      <c r="I23" s="35">
        <v>3854.79</v>
      </c>
      <c r="J23" s="35">
        <f t="shared" si="0"/>
        <v>2312.8739999999998</v>
      </c>
      <c r="K23" s="195">
        <v>0.6</v>
      </c>
    </row>
    <row r="24" spans="1:11" x14ac:dyDescent="0.25">
      <c r="A24" s="37" t="s">
        <v>1039</v>
      </c>
      <c r="B24" s="37">
        <v>607061898</v>
      </c>
      <c r="C24" s="193">
        <v>45929</v>
      </c>
      <c r="D24" s="37" t="s">
        <v>1040</v>
      </c>
      <c r="E24" s="37" t="s">
        <v>38</v>
      </c>
      <c r="F24" s="197" t="s">
        <v>1201</v>
      </c>
      <c r="G24" s="35">
        <v>17302.52</v>
      </c>
      <c r="H24" s="35">
        <v>16478.59</v>
      </c>
      <c r="I24" s="35">
        <v>2471.79</v>
      </c>
      <c r="J24" s="35">
        <f t="shared" si="0"/>
        <v>1483.0739999999998</v>
      </c>
      <c r="K24" s="195">
        <v>0.6</v>
      </c>
    </row>
    <row r="25" spans="1:11" x14ac:dyDescent="0.25">
      <c r="A25" s="37" t="s">
        <v>1041</v>
      </c>
      <c r="B25" s="37">
        <v>607586103</v>
      </c>
      <c r="C25" s="193">
        <v>45930</v>
      </c>
      <c r="D25" s="37" t="s">
        <v>1042</v>
      </c>
      <c r="E25" s="37" t="s">
        <v>38</v>
      </c>
      <c r="F25" s="37" t="s">
        <v>1041</v>
      </c>
      <c r="G25" s="35">
        <v>36081.980000000003</v>
      </c>
      <c r="H25" s="35">
        <v>34363.78</v>
      </c>
      <c r="I25" s="35">
        <v>5154.57</v>
      </c>
      <c r="J25" s="35">
        <f t="shared" si="0"/>
        <v>3092.7419999999997</v>
      </c>
      <c r="K25" s="195">
        <v>0.6</v>
      </c>
    </row>
    <row r="26" spans="1:11" x14ac:dyDescent="0.25">
      <c r="A26" s="245" t="s">
        <v>1046</v>
      </c>
      <c r="B26" s="249">
        <v>526533884</v>
      </c>
      <c r="C26" s="250">
        <v>45916</v>
      </c>
      <c r="D26" s="249" t="s">
        <v>1047</v>
      </c>
      <c r="E26" s="197" t="s">
        <v>38</v>
      </c>
      <c r="F26" s="147" t="s">
        <v>112</v>
      </c>
      <c r="G26" s="248">
        <v>2766.28</v>
      </c>
      <c r="H26" s="248">
        <v>2634.55</v>
      </c>
      <c r="I26" s="159">
        <v>-395.19</v>
      </c>
      <c r="J26" s="146">
        <f t="shared" si="0"/>
        <v>-237.11399999999998</v>
      </c>
      <c r="K26" s="172">
        <v>0.6</v>
      </c>
    </row>
    <row r="27" spans="1:11" x14ac:dyDescent="0.25">
      <c r="A27" s="245" t="s">
        <v>63</v>
      </c>
      <c r="B27" s="249">
        <v>595173406</v>
      </c>
      <c r="C27" s="250">
        <v>45927</v>
      </c>
      <c r="D27" s="249" t="s">
        <v>817</v>
      </c>
      <c r="E27" s="197" t="s">
        <v>38</v>
      </c>
      <c r="F27" s="147" t="s">
        <v>112</v>
      </c>
      <c r="G27" s="248">
        <v>10917.86</v>
      </c>
      <c r="H27" s="248">
        <v>10397.950000000001</v>
      </c>
      <c r="I27" s="159">
        <v>-1559.71</v>
      </c>
      <c r="J27" s="146">
        <f t="shared" si="0"/>
        <v>-935.82600000000002</v>
      </c>
      <c r="K27" s="172">
        <v>0.6</v>
      </c>
    </row>
    <row r="28" spans="1:11" x14ac:dyDescent="0.25">
      <c r="A28" s="37"/>
      <c r="B28" s="37"/>
      <c r="C28" s="193"/>
      <c r="D28" s="37"/>
      <c r="E28" s="37"/>
      <c r="F28" s="197"/>
      <c r="G28" s="35"/>
      <c r="H28" s="35"/>
      <c r="I28" s="35"/>
      <c r="J28" s="35">
        <f t="shared" si="0"/>
        <v>0</v>
      </c>
      <c r="K28" s="195">
        <v>0.6</v>
      </c>
    </row>
    <row r="29" spans="1:11" x14ac:dyDescent="0.25">
      <c r="A29" s="37"/>
      <c r="B29" s="37"/>
      <c r="C29" s="193"/>
      <c r="D29" s="37"/>
      <c r="E29" s="37"/>
      <c r="F29" s="197"/>
      <c r="G29" s="35"/>
      <c r="H29" s="35"/>
      <c r="I29" s="35"/>
      <c r="J29" s="35"/>
      <c r="K29" s="195"/>
    </row>
    <row r="30" spans="1:11" x14ac:dyDescent="0.25">
      <c r="A30" s="37"/>
      <c r="B30" s="37"/>
      <c r="C30" s="193"/>
      <c r="D30" s="37"/>
      <c r="E30" s="37"/>
      <c r="F30" s="197"/>
      <c r="G30" s="35"/>
      <c r="H30" s="35"/>
      <c r="I30" s="35"/>
      <c r="J30" s="35"/>
      <c r="K30" s="195"/>
    </row>
    <row r="31" spans="1:11" x14ac:dyDescent="0.25">
      <c r="A31" s="37"/>
      <c r="B31" s="37"/>
      <c r="C31" s="193"/>
      <c r="D31" s="37"/>
      <c r="E31" s="37"/>
      <c r="F31" s="197"/>
      <c r="G31" s="35"/>
      <c r="H31" s="35"/>
      <c r="I31" s="35"/>
      <c r="J31" s="35"/>
      <c r="K31" s="195"/>
    </row>
    <row r="32" spans="1:11" x14ac:dyDescent="0.25">
      <c r="A32" s="37"/>
      <c r="B32" s="37"/>
      <c r="C32" s="193"/>
      <c r="D32" s="37"/>
      <c r="E32" s="37"/>
      <c r="F32" s="190" t="s">
        <v>13</v>
      </c>
      <c r="G32" s="192">
        <f>SUM(G4:G31)</f>
        <v>451774.17</v>
      </c>
      <c r="H32" s="192">
        <f>SUM(H4:H31)</f>
        <v>430261.34000000008</v>
      </c>
      <c r="I32" s="192">
        <f>SUM(I4:I31)</f>
        <v>60729.529999999992</v>
      </c>
      <c r="J32" s="192">
        <f>SUM(J4:J31)</f>
        <v>36437.717999999986</v>
      </c>
      <c r="K32" s="190"/>
    </row>
    <row r="33" spans="1:11" x14ac:dyDescent="0.25">
      <c r="A33" s="37"/>
      <c r="B33" s="37"/>
      <c r="C33" s="193"/>
      <c r="D33" s="37"/>
      <c r="E33" s="37"/>
      <c r="F33" s="198" t="s">
        <v>14</v>
      </c>
      <c r="G33" s="199"/>
      <c r="H33" s="35"/>
      <c r="I33" s="35"/>
      <c r="J33" s="35"/>
      <c r="K33" s="37"/>
    </row>
    <row r="34" spans="1:11" x14ac:dyDescent="0.25">
      <c r="A34" s="37"/>
      <c r="B34" s="37"/>
      <c r="C34" s="193"/>
      <c r="D34" s="37"/>
      <c r="E34" s="200"/>
      <c r="F34" s="201" t="s">
        <v>15</v>
      </c>
      <c r="G34" s="202">
        <f>G33/6</f>
        <v>0</v>
      </c>
      <c r="H34" s="35"/>
      <c r="I34" s="35"/>
      <c r="J34" s="35"/>
      <c r="K34" s="37"/>
    </row>
    <row r="35" spans="1:11" x14ac:dyDescent="0.25">
      <c r="A35" s="37"/>
      <c r="B35" s="251" t="s">
        <v>847</v>
      </c>
      <c r="C35" s="252"/>
      <c r="D35" s="244"/>
      <c r="E35" s="244"/>
      <c r="F35" s="37"/>
      <c r="G35" s="35"/>
      <c r="H35" s="35"/>
      <c r="I35" s="35"/>
      <c r="J35" s="35"/>
      <c r="K35" s="37"/>
    </row>
    <row r="36" spans="1:11" x14ac:dyDescent="0.25">
      <c r="A36" s="37" t="s">
        <v>16</v>
      </c>
      <c r="B36" s="37"/>
      <c r="C36" s="193"/>
      <c r="D36" s="37"/>
      <c r="E36" s="37"/>
      <c r="F36" s="37"/>
      <c r="G36" s="35"/>
      <c r="H36" s="35"/>
      <c r="I36" s="35"/>
      <c r="J36" s="35"/>
      <c r="K36" s="37"/>
    </row>
    <row r="37" spans="1:11" x14ac:dyDescent="0.25">
      <c r="A37" s="37" t="s">
        <v>867</v>
      </c>
      <c r="B37" s="37">
        <v>598954797</v>
      </c>
      <c r="C37" s="193">
        <v>45902</v>
      </c>
      <c r="D37" s="37" t="s">
        <v>873</v>
      </c>
      <c r="E37" s="37" t="s">
        <v>38</v>
      </c>
      <c r="F37" s="37" t="s">
        <v>867</v>
      </c>
      <c r="G37" s="194">
        <v>19722.13</v>
      </c>
      <c r="H37" s="35">
        <v>17804.7</v>
      </c>
      <c r="I37" s="35">
        <f>H37*10%</f>
        <v>1780.4700000000003</v>
      </c>
      <c r="J37" s="35">
        <f t="shared" ref="J37" si="1">I37*K37</f>
        <v>1068.2820000000002</v>
      </c>
      <c r="K37" s="195">
        <v>0.6</v>
      </c>
    </row>
    <row r="38" spans="1:11" x14ac:dyDescent="0.25">
      <c r="A38" s="197" t="s">
        <v>90</v>
      </c>
      <c r="B38" s="197">
        <v>597405247</v>
      </c>
      <c r="C38" s="204">
        <v>45904</v>
      </c>
      <c r="D38" s="197" t="s">
        <v>880</v>
      </c>
      <c r="E38" s="197" t="s">
        <v>38</v>
      </c>
      <c r="F38" s="197" t="s">
        <v>90</v>
      </c>
      <c r="G38" s="194">
        <v>14611.31</v>
      </c>
      <c r="H38" s="194">
        <v>13219.77</v>
      </c>
      <c r="I38" s="35">
        <f t="shared" ref="I38:I101" si="2">H38*10%</f>
        <v>1321.9770000000001</v>
      </c>
      <c r="J38" s="35">
        <f t="shared" ref="J38:J91" si="3">I38*K38</f>
        <v>793.18619999999999</v>
      </c>
      <c r="K38" s="195">
        <v>0.6</v>
      </c>
    </row>
    <row r="39" spans="1:11" x14ac:dyDescent="0.25">
      <c r="A39" s="197" t="s">
        <v>90</v>
      </c>
      <c r="B39" s="197">
        <v>597405247</v>
      </c>
      <c r="C39" s="204">
        <v>45904</v>
      </c>
      <c r="D39" s="197" t="s">
        <v>880</v>
      </c>
      <c r="E39" s="197" t="s">
        <v>38</v>
      </c>
      <c r="F39" s="197" t="s">
        <v>90</v>
      </c>
      <c r="G39" s="35">
        <v>100</v>
      </c>
      <c r="H39" s="35">
        <v>100</v>
      </c>
      <c r="I39" s="35">
        <f t="shared" si="2"/>
        <v>10</v>
      </c>
      <c r="J39" s="35">
        <f t="shared" si="3"/>
        <v>6</v>
      </c>
      <c r="K39" s="195">
        <v>0.6</v>
      </c>
    </row>
    <row r="40" spans="1:11" x14ac:dyDescent="0.25">
      <c r="A40" s="37" t="s">
        <v>879</v>
      </c>
      <c r="B40" s="37">
        <v>598439266</v>
      </c>
      <c r="C40" s="193">
        <v>45907</v>
      </c>
      <c r="D40" s="37" t="s">
        <v>881</v>
      </c>
      <c r="E40" s="37" t="s">
        <v>38</v>
      </c>
      <c r="F40" s="37" t="s">
        <v>882</v>
      </c>
      <c r="G40" s="35">
        <v>16803.93</v>
      </c>
      <c r="H40" s="35">
        <v>15133.99</v>
      </c>
      <c r="I40" s="35">
        <f t="shared" si="2"/>
        <v>1513.3990000000001</v>
      </c>
      <c r="J40" s="35">
        <f t="shared" si="3"/>
        <v>908.0394</v>
      </c>
      <c r="K40" s="195">
        <v>0.6</v>
      </c>
    </row>
    <row r="41" spans="1:11" x14ac:dyDescent="0.25">
      <c r="A41" s="37" t="s">
        <v>879</v>
      </c>
      <c r="B41" s="37">
        <v>598439266</v>
      </c>
      <c r="C41" s="193">
        <v>45907</v>
      </c>
      <c r="D41" s="37" t="s">
        <v>881</v>
      </c>
      <c r="E41" s="37" t="s">
        <v>38</v>
      </c>
      <c r="F41" s="37" t="s">
        <v>882</v>
      </c>
      <c r="G41" s="194">
        <v>100</v>
      </c>
      <c r="H41" s="194">
        <v>100</v>
      </c>
      <c r="I41" s="35">
        <f t="shared" si="2"/>
        <v>10</v>
      </c>
      <c r="J41" s="35">
        <f t="shared" si="3"/>
        <v>6</v>
      </c>
      <c r="K41" s="195">
        <v>0.6</v>
      </c>
    </row>
    <row r="42" spans="1:11" x14ac:dyDescent="0.25">
      <c r="A42" s="37" t="s">
        <v>886</v>
      </c>
      <c r="B42" s="197">
        <v>599553003</v>
      </c>
      <c r="C42" s="204">
        <v>45903</v>
      </c>
      <c r="D42" s="197" t="s">
        <v>887</v>
      </c>
      <c r="E42" s="197" t="s">
        <v>38</v>
      </c>
      <c r="F42" s="197" t="s">
        <v>886</v>
      </c>
      <c r="G42" s="194">
        <v>21950.46</v>
      </c>
      <c r="H42" s="194">
        <v>19816.41</v>
      </c>
      <c r="I42" s="35">
        <f t="shared" si="2"/>
        <v>1981.6410000000001</v>
      </c>
      <c r="J42" s="35">
        <f t="shared" si="3"/>
        <v>1188.9846</v>
      </c>
      <c r="K42" s="195">
        <v>0.6</v>
      </c>
    </row>
    <row r="43" spans="1:11" x14ac:dyDescent="0.25">
      <c r="A43" s="37" t="s">
        <v>886</v>
      </c>
      <c r="B43" s="197">
        <v>599553003</v>
      </c>
      <c r="C43" s="204">
        <v>45903</v>
      </c>
      <c r="D43" s="197" t="s">
        <v>887</v>
      </c>
      <c r="E43" s="197" t="s">
        <v>38</v>
      </c>
      <c r="F43" s="197" t="s">
        <v>886</v>
      </c>
      <c r="G43" s="194">
        <v>100</v>
      </c>
      <c r="H43" s="194">
        <v>100</v>
      </c>
      <c r="I43" s="35">
        <f t="shared" si="2"/>
        <v>10</v>
      </c>
      <c r="J43" s="35">
        <f t="shared" si="3"/>
        <v>6</v>
      </c>
      <c r="K43" s="195">
        <v>0.6</v>
      </c>
    </row>
    <row r="44" spans="1:11" x14ac:dyDescent="0.25">
      <c r="A44" s="37" t="s">
        <v>662</v>
      </c>
      <c r="B44" s="197">
        <v>598388983</v>
      </c>
      <c r="C44" s="204">
        <v>45903</v>
      </c>
      <c r="D44" s="197" t="s">
        <v>663</v>
      </c>
      <c r="E44" s="197" t="s">
        <v>38</v>
      </c>
      <c r="F44" s="197" t="s">
        <v>662</v>
      </c>
      <c r="G44" s="194">
        <v>11461.1</v>
      </c>
      <c r="H44" s="194">
        <v>10233.1</v>
      </c>
      <c r="I44" s="35">
        <f t="shared" si="2"/>
        <v>1023.3100000000001</v>
      </c>
      <c r="J44" s="35">
        <f t="shared" si="3"/>
        <v>613.98599999999999</v>
      </c>
      <c r="K44" s="195">
        <v>0.6</v>
      </c>
    </row>
    <row r="45" spans="1:11" x14ac:dyDescent="0.25">
      <c r="A45" s="37" t="s">
        <v>103</v>
      </c>
      <c r="B45" s="197">
        <v>599737604</v>
      </c>
      <c r="C45" s="204">
        <v>45902</v>
      </c>
      <c r="D45" s="197" t="s">
        <v>888</v>
      </c>
      <c r="E45" s="197" t="s">
        <v>41</v>
      </c>
      <c r="F45" s="197" t="s">
        <v>12</v>
      </c>
      <c r="G45" s="194">
        <v>8767</v>
      </c>
      <c r="H45" s="194">
        <v>7827.66</v>
      </c>
      <c r="I45" s="35">
        <f t="shared" si="2"/>
        <v>782.76600000000008</v>
      </c>
      <c r="J45" s="35">
        <f t="shared" si="3"/>
        <v>469.65960000000001</v>
      </c>
      <c r="K45" s="195">
        <v>0.6</v>
      </c>
    </row>
    <row r="46" spans="1:11" x14ac:dyDescent="0.25">
      <c r="A46" s="37" t="s">
        <v>890</v>
      </c>
      <c r="B46" s="197">
        <v>598397246</v>
      </c>
      <c r="C46" s="204">
        <v>45903</v>
      </c>
      <c r="D46" s="197" t="s">
        <v>891</v>
      </c>
      <c r="E46" s="197" t="s">
        <v>41</v>
      </c>
      <c r="F46" s="197" t="s">
        <v>12</v>
      </c>
      <c r="G46" s="194">
        <v>11461.19</v>
      </c>
      <c r="H46" s="194">
        <v>10346.9</v>
      </c>
      <c r="I46" s="35">
        <f t="shared" si="2"/>
        <v>1034.69</v>
      </c>
      <c r="J46" s="35">
        <f t="shared" si="3"/>
        <v>620.81399999999996</v>
      </c>
      <c r="K46" s="195">
        <v>0.6</v>
      </c>
    </row>
    <row r="47" spans="1:11" x14ac:dyDescent="0.25">
      <c r="A47" s="37" t="s">
        <v>890</v>
      </c>
      <c r="B47" s="197">
        <v>598397246</v>
      </c>
      <c r="C47" s="204">
        <v>45903</v>
      </c>
      <c r="D47" s="197" t="s">
        <v>891</v>
      </c>
      <c r="E47" s="197" t="s">
        <v>41</v>
      </c>
      <c r="F47" s="197" t="s">
        <v>12</v>
      </c>
      <c r="G47" s="194">
        <v>100</v>
      </c>
      <c r="H47" s="194">
        <v>100</v>
      </c>
      <c r="I47" s="35">
        <f t="shared" si="2"/>
        <v>10</v>
      </c>
      <c r="J47" s="35">
        <f t="shared" si="3"/>
        <v>6</v>
      </c>
      <c r="K47" s="195">
        <v>0.6</v>
      </c>
    </row>
    <row r="48" spans="1:11" x14ac:dyDescent="0.25">
      <c r="A48" s="37" t="s">
        <v>892</v>
      </c>
      <c r="B48" s="37">
        <v>599883296</v>
      </c>
      <c r="C48" s="204">
        <v>45901</v>
      </c>
      <c r="D48" s="197" t="s">
        <v>893</v>
      </c>
      <c r="E48" s="197" t="s">
        <v>38</v>
      </c>
      <c r="F48" s="197" t="s">
        <v>894</v>
      </c>
      <c r="G48" s="194">
        <v>18995.73</v>
      </c>
      <c r="H48" s="194">
        <v>17221.419999999998</v>
      </c>
      <c r="I48" s="35">
        <f t="shared" si="2"/>
        <v>1722.1419999999998</v>
      </c>
      <c r="J48" s="35">
        <f t="shared" si="3"/>
        <v>1033.2851999999998</v>
      </c>
      <c r="K48" s="195">
        <v>0.6</v>
      </c>
    </row>
    <row r="49" spans="1:11" x14ac:dyDescent="0.25">
      <c r="A49" s="37" t="s">
        <v>892</v>
      </c>
      <c r="B49" s="37">
        <v>599883296</v>
      </c>
      <c r="C49" s="204">
        <v>45901</v>
      </c>
      <c r="D49" s="197" t="s">
        <v>893</v>
      </c>
      <c r="E49" s="197" t="s">
        <v>38</v>
      </c>
      <c r="F49" s="197" t="s">
        <v>894</v>
      </c>
      <c r="G49" s="16">
        <v>100</v>
      </c>
      <c r="H49" s="16">
        <v>100</v>
      </c>
      <c r="I49" s="35">
        <f t="shared" si="2"/>
        <v>10</v>
      </c>
      <c r="J49" s="35">
        <f t="shared" si="3"/>
        <v>6</v>
      </c>
      <c r="K49" s="195">
        <v>0.6</v>
      </c>
    </row>
    <row r="50" spans="1:11" x14ac:dyDescent="0.25">
      <c r="A50" s="37" t="s">
        <v>895</v>
      </c>
      <c r="B50" s="197">
        <v>599906715</v>
      </c>
      <c r="C50" s="204">
        <v>45902</v>
      </c>
      <c r="D50" s="197" t="s">
        <v>896</v>
      </c>
      <c r="E50" s="197" t="s">
        <v>41</v>
      </c>
      <c r="F50" s="197" t="s">
        <v>12</v>
      </c>
      <c r="G50" s="194">
        <v>17573.310000000001</v>
      </c>
      <c r="H50" s="194">
        <v>15826.89</v>
      </c>
      <c r="I50" s="35">
        <f t="shared" si="2"/>
        <v>1582.6890000000001</v>
      </c>
      <c r="J50" s="35">
        <f t="shared" si="3"/>
        <v>949.61339999999996</v>
      </c>
      <c r="K50" s="195">
        <v>0.6</v>
      </c>
    </row>
    <row r="51" spans="1:11" x14ac:dyDescent="0.25">
      <c r="A51" s="37" t="s">
        <v>895</v>
      </c>
      <c r="B51" s="197">
        <v>599906715</v>
      </c>
      <c r="C51" s="204">
        <v>45902</v>
      </c>
      <c r="D51" s="197" t="s">
        <v>896</v>
      </c>
      <c r="E51" s="197" t="s">
        <v>41</v>
      </c>
      <c r="F51" s="197" t="s">
        <v>12</v>
      </c>
      <c r="G51" s="194">
        <v>100</v>
      </c>
      <c r="H51" s="194">
        <v>100</v>
      </c>
      <c r="I51" s="35">
        <f t="shared" si="2"/>
        <v>10</v>
      </c>
      <c r="J51" s="35">
        <f t="shared" si="3"/>
        <v>6</v>
      </c>
      <c r="K51" s="195">
        <v>0.6</v>
      </c>
    </row>
    <row r="52" spans="1:11" x14ac:dyDescent="0.25">
      <c r="A52" s="37" t="s">
        <v>709</v>
      </c>
      <c r="B52" s="197">
        <v>598369326</v>
      </c>
      <c r="C52" s="204">
        <v>45908</v>
      </c>
      <c r="D52" s="197" t="s">
        <v>889</v>
      </c>
      <c r="E52" s="197" t="s">
        <v>41</v>
      </c>
      <c r="F52" s="197" t="s">
        <v>12</v>
      </c>
      <c r="G52" s="194">
        <v>13840.09</v>
      </c>
      <c r="H52" s="194">
        <v>12357.21</v>
      </c>
      <c r="I52" s="35">
        <f t="shared" si="2"/>
        <v>1235.721</v>
      </c>
      <c r="J52" s="35">
        <f t="shared" si="3"/>
        <v>741.43259999999998</v>
      </c>
      <c r="K52" s="195">
        <v>0.6</v>
      </c>
    </row>
    <row r="53" spans="1:11" x14ac:dyDescent="0.25">
      <c r="A53" s="37" t="s">
        <v>897</v>
      </c>
      <c r="B53" s="197">
        <v>600099468</v>
      </c>
      <c r="C53" s="204">
        <v>45901</v>
      </c>
      <c r="D53" s="197" t="s">
        <v>898</v>
      </c>
      <c r="E53" s="197" t="s">
        <v>41</v>
      </c>
      <c r="F53" s="197" t="s">
        <v>12</v>
      </c>
      <c r="G53" s="194">
        <v>14198.07</v>
      </c>
      <c r="H53" s="194">
        <v>12676.88</v>
      </c>
      <c r="I53" s="35">
        <f t="shared" si="2"/>
        <v>1267.6880000000001</v>
      </c>
      <c r="J53" s="35">
        <f t="shared" si="3"/>
        <v>760.61279999999999</v>
      </c>
      <c r="K53" s="195">
        <v>0.6</v>
      </c>
    </row>
    <row r="54" spans="1:11" x14ac:dyDescent="0.25">
      <c r="A54" s="37" t="s">
        <v>899</v>
      </c>
      <c r="B54" s="197">
        <v>600070569</v>
      </c>
      <c r="C54" s="204">
        <v>45901</v>
      </c>
      <c r="D54" s="197" t="s">
        <v>900</v>
      </c>
      <c r="E54" s="197" t="s">
        <v>41</v>
      </c>
      <c r="F54" s="197" t="s">
        <v>12</v>
      </c>
      <c r="G54" s="194">
        <v>18457.54</v>
      </c>
      <c r="H54" s="194">
        <v>16733.48</v>
      </c>
      <c r="I54" s="35">
        <f t="shared" si="2"/>
        <v>1673.348</v>
      </c>
      <c r="J54" s="35">
        <f t="shared" si="3"/>
        <v>1004.0088</v>
      </c>
      <c r="K54" s="195">
        <v>0.6</v>
      </c>
    </row>
    <row r="55" spans="1:11" x14ac:dyDescent="0.25">
      <c r="A55" s="37" t="s">
        <v>899</v>
      </c>
      <c r="B55" s="197">
        <v>600070569</v>
      </c>
      <c r="C55" s="204">
        <v>45901</v>
      </c>
      <c r="D55" s="197" t="s">
        <v>900</v>
      </c>
      <c r="E55" s="197" t="s">
        <v>41</v>
      </c>
      <c r="F55" s="197" t="s">
        <v>12</v>
      </c>
      <c r="G55" s="194">
        <v>100</v>
      </c>
      <c r="H55" s="194">
        <v>100</v>
      </c>
      <c r="I55" s="35">
        <f t="shared" si="2"/>
        <v>10</v>
      </c>
      <c r="J55" s="35">
        <f t="shared" si="3"/>
        <v>6</v>
      </c>
      <c r="K55" s="195">
        <v>0.6</v>
      </c>
    </row>
    <row r="56" spans="1:11" x14ac:dyDescent="0.25">
      <c r="A56" s="37" t="s">
        <v>905</v>
      </c>
      <c r="B56" s="197">
        <v>598410423</v>
      </c>
      <c r="C56" s="204">
        <v>45904</v>
      </c>
      <c r="D56" s="197" t="s">
        <v>906</v>
      </c>
      <c r="E56" s="197" t="s">
        <v>38</v>
      </c>
      <c r="F56" s="197" t="s">
        <v>905</v>
      </c>
      <c r="G56" s="194">
        <v>14326.38</v>
      </c>
      <c r="H56" s="194">
        <v>12961.94</v>
      </c>
      <c r="I56" s="35">
        <f t="shared" si="2"/>
        <v>1296.1940000000002</v>
      </c>
      <c r="J56" s="35">
        <f t="shared" si="3"/>
        <v>777.71640000000014</v>
      </c>
      <c r="K56" s="195">
        <v>0.6</v>
      </c>
    </row>
    <row r="57" spans="1:11" x14ac:dyDescent="0.25">
      <c r="A57" s="37" t="s">
        <v>905</v>
      </c>
      <c r="B57" s="197">
        <v>598410423</v>
      </c>
      <c r="C57" s="204">
        <v>45904</v>
      </c>
      <c r="D57" s="197" t="s">
        <v>906</v>
      </c>
      <c r="E57" s="197" t="s">
        <v>38</v>
      </c>
      <c r="F57" s="197" t="s">
        <v>905</v>
      </c>
      <c r="G57" s="194">
        <v>100</v>
      </c>
      <c r="H57" s="194">
        <v>100</v>
      </c>
      <c r="I57" s="35">
        <f t="shared" si="2"/>
        <v>10</v>
      </c>
      <c r="J57" s="35">
        <f t="shared" si="3"/>
        <v>6</v>
      </c>
      <c r="K57" s="195">
        <v>0.6</v>
      </c>
    </row>
    <row r="58" spans="1:11" x14ac:dyDescent="0.25">
      <c r="A58" s="37" t="s">
        <v>916</v>
      </c>
      <c r="B58" s="197">
        <v>601083979</v>
      </c>
      <c r="C58" s="204">
        <v>45904</v>
      </c>
      <c r="D58" s="197" t="s">
        <v>917</v>
      </c>
      <c r="E58" s="197" t="s">
        <v>38</v>
      </c>
      <c r="F58" s="197" t="s">
        <v>918</v>
      </c>
      <c r="G58" s="194">
        <v>24068.78</v>
      </c>
      <c r="H58" s="194">
        <v>21776.5</v>
      </c>
      <c r="I58" s="35">
        <f t="shared" si="2"/>
        <v>2177.65</v>
      </c>
      <c r="J58" s="35">
        <f t="shared" si="3"/>
        <v>1306.5899999999999</v>
      </c>
      <c r="K58" s="195">
        <v>0.6</v>
      </c>
    </row>
    <row r="59" spans="1:11" x14ac:dyDescent="0.25">
      <c r="A59" s="37" t="s">
        <v>919</v>
      </c>
      <c r="B59" s="197">
        <v>601223396</v>
      </c>
      <c r="C59" s="204">
        <v>45905</v>
      </c>
      <c r="D59" s="197" t="s">
        <v>920</v>
      </c>
      <c r="E59" s="197" t="s">
        <v>38</v>
      </c>
      <c r="F59" s="37" t="s">
        <v>919</v>
      </c>
      <c r="G59" s="194">
        <v>24832.68</v>
      </c>
      <c r="H59" s="194">
        <v>22513.16</v>
      </c>
      <c r="I59" s="35">
        <f t="shared" si="2"/>
        <v>2251.3160000000003</v>
      </c>
      <c r="J59" s="35">
        <f t="shared" si="3"/>
        <v>1350.7896000000001</v>
      </c>
      <c r="K59" s="195">
        <v>0.6</v>
      </c>
    </row>
    <row r="60" spans="1:11" x14ac:dyDescent="0.25">
      <c r="A60" s="37" t="s">
        <v>919</v>
      </c>
      <c r="B60" s="197">
        <v>601223396</v>
      </c>
      <c r="C60" s="204">
        <v>45905</v>
      </c>
      <c r="D60" s="197" t="s">
        <v>920</v>
      </c>
      <c r="E60" s="197" t="s">
        <v>38</v>
      </c>
      <c r="F60" s="37" t="s">
        <v>919</v>
      </c>
      <c r="G60" s="194">
        <v>100</v>
      </c>
      <c r="H60" s="194">
        <v>100</v>
      </c>
      <c r="I60" s="35">
        <f t="shared" si="2"/>
        <v>10</v>
      </c>
      <c r="J60" s="35">
        <f t="shared" si="3"/>
        <v>6</v>
      </c>
      <c r="K60" s="195">
        <v>0.6</v>
      </c>
    </row>
    <row r="61" spans="1:11" x14ac:dyDescent="0.25">
      <c r="A61" s="37" t="s">
        <v>921</v>
      </c>
      <c r="B61" s="197">
        <v>598436661</v>
      </c>
      <c r="C61" s="204">
        <v>45907</v>
      </c>
      <c r="D61" s="197" t="s">
        <v>922</v>
      </c>
      <c r="E61" s="197" t="s">
        <v>38</v>
      </c>
      <c r="F61" s="197" t="s">
        <v>904</v>
      </c>
      <c r="G61" s="194">
        <v>15254.04</v>
      </c>
      <c r="H61" s="194">
        <v>13901.46</v>
      </c>
      <c r="I61" s="35">
        <f t="shared" si="2"/>
        <v>1390.146</v>
      </c>
      <c r="J61" s="35">
        <f t="shared" si="3"/>
        <v>834.08759999999995</v>
      </c>
      <c r="K61" s="195">
        <v>0.6</v>
      </c>
    </row>
    <row r="62" spans="1:11" x14ac:dyDescent="0.25">
      <c r="A62" s="197" t="s">
        <v>923</v>
      </c>
      <c r="B62" s="197">
        <v>601327634</v>
      </c>
      <c r="C62" s="204">
        <v>45905</v>
      </c>
      <c r="D62" s="197" t="s">
        <v>924</v>
      </c>
      <c r="E62" s="197" t="s">
        <v>38</v>
      </c>
      <c r="F62" s="197" t="s">
        <v>925</v>
      </c>
      <c r="G62" s="194">
        <v>11461.2</v>
      </c>
      <c r="H62" s="194">
        <v>10346.9</v>
      </c>
      <c r="I62" s="35">
        <f t="shared" si="2"/>
        <v>1034.69</v>
      </c>
      <c r="J62" s="35">
        <f t="shared" si="3"/>
        <v>620.81399999999996</v>
      </c>
      <c r="K62" s="195">
        <v>0.6</v>
      </c>
    </row>
    <row r="63" spans="1:11" x14ac:dyDescent="0.25">
      <c r="A63" s="197" t="s">
        <v>926</v>
      </c>
      <c r="B63" s="197">
        <v>598431131</v>
      </c>
      <c r="C63" s="204">
        <v>45905</v>
      </c>
      <c r="D63" s="197" t="s">
        <v>927</v>
      </c>
      <c r="E63" s="197" t="s">
        <v>41</v>
      </c>
      <c r="F63" s="197" t="s">
        <v>12</v>
      </c>
      <c r="G63" s="194">
        <v>10214.17</v>
      </c>
      <c r="H63" s="194">
        <v>9260.08</v>
      </c>
      <c r="I63" s="35">
        <f t="shared" si="2"/>
        <v>926.00800000000004</v>
      </c>
      <c r="J63" s="35">
        <f t="shared" si="3"/>
        <v>555.60479999999995</v>
      </c>
      <c r="K63" s="195">
        <v>0.6</v>
      </c>
    </row>
    <row r="64" spans="1:11" x14ac:dyDescent="0.25">
      <c r="A64" s="197" t="s">
        <v>926</v>
      </c>
      <c r="B64" s="197">
        <v>598431131</v>
      </c>
      <c r="C64" s="204">
        <v>45905</v>
      </c>
      <c r="D64" s="197" t="s">
        <v>927</v>
      </c>
      <c r="E64" s="197" t="s">
        <v>41</v>
      </c>
      <c r="F64" s="197" t="s">
        <v>12</v>
      </c>
      <c r="G64" s="194">
        <v>100</v>
      </c>
      <c r="H64" s="194">
        <v>100</v>
      </c>
      <c r="I64" s="35">
        <f t="shared" si="2"/>
        <v>10</v>
      </c>
      <c r="J64" s="35">
        <f t="shared" si="3"/>
        <v>6</v>
      </c>
      <c r="K64" s="195">
        <v>0.6</v>
      </c>
    </row>
    <row r="65" spans="1:11" x14ac:dyDescent="0.25">
      <c r="A65" s="197" t="s">
        <v>929</v>
      </c>
      <c r="B65" s="197">
        <v>601703278</v>
      </c>
      <c r="C65" s="204">
        <v>45915</v>
      </c>
      <c r="D65" s="197" t="s">
        <v>930</v>
      </c>
      <c r="E65" s="197" t="s">
        <v>38</v>
      </c>
      <c r="F65" s="197" t="s">
        <v>929</v>
      </c>
      <c r="G65" s="194">
        <v>8766.98</v>
      </c>
      <c r="H65" s="194">
        <v>7827.66</v>
      </c>
      <c r="I65" s="35">
        <f t="shared" si="2"/>
        <v>782.76600000000008</v>
      </c>
      <c r="J65" s="35">
        <f t="shared" si="3"/>
        <v>469.65960000000001</v>
      </c>
      <c r="K65" s="195">
        <v>0.6</v>
      </c>
    </row>
    <row r="66" spans="1:11" x14ac:dyDescent="0.25">
      <c r="A66" s="197" t="s">
        <v>932</v>
      </c>
      <c r="B66" s="197">
        <v>601712762</v>
      </c>
      <c r="C66" s="204">
        <v>45909</v>
      </c>
      <c r="D66" s="197" t="s">
        <v>933</v>
      </c>
      <c r="E66" s="197" t="s">
        <v>38</v>
      </c>
      <c r="F66" s="37" t="s">
        <v>886</v>
      </c>
      <c r="G66" s="194">
        <v>18045.34</v>
      </c>
      <c r="H66" s="194">
        <v>16359.77</v>
      </c>
      <c r="I66" s="35">
        <f t="shared" si="2"/>
        <v>1635.9770000000001</v>
      </c>
      <c r="J66" s="35">
        <f t="shared" si="3"/>
        <v>981.58619999999996</v>
      </c>
      <c r="K66" s="195">
        <v>0.6</v>
      </c>
    </row>
    <row r="67" spans="1:11" x14ac:dyDescent="0.25">
      <c r="A67" s="197" t="s">
        <v>932</v>
      </c>
      <c r="B67" s="197">
        <v>601712762</v>
      </c>
      <c r="C67" s="204">
        <v>45909</v>
      </c>
      <c r="D67" s="197" t="s">
        <v>933</v>
      </c>
      <c r="E67" s="197" t="s">
        <v>38</v>
      </c>
      <c r="F67" s="37" t="s">
        <v>886</v>
      </c>
      <c r="G67" s="194">
        <v>100</v>
      </c>
      <c r="H67" s="194">
        <v>100</v>
      </c>
      <c r="I67" s="35">
        <f t="shared" si="2"/>
        <v>10</v>
      </c>
      <c r="J67" s="35">
        <f t="shared" si="3"/>
        <v>6</v>
      </c>
      <c r="K67" s="195">
        <v>0.6</v>
      </c>
    </row>
    <row r="68" spans="1:11" x14ac:dyDescent="0.25">
      <c r="A68" s="197" t="s">
        <v>934</v>
      </c>
      <c r="B68" s="197">
        <v>601969749</v>
      </c>
      <c r="C68" s="204">
        <v>45909</v>
      </c>
      <c r="D68" s="197" t="s">
        <v>935</v>
      </c>
      <c r="E68" s="197" t="s">
        <v>41</v>
      </c>
      <c r="F68" s="37" t="s">
        <v>12</v>
      </c>
      <c r="G68" s="194">
        <v>14198.11</v>
      </c>
      <c r="H68" s="194">
        <v>12676.88</v>
      </c>
      <c r="I68" s="35">
        <f t="shared" si="2"/>
        <v>1267.6880000000001</v>
      </c>
      <c r="J68" s="35">
        <f t="shared" si="3"/>
        <v>760.61279999999999</v>
      </c>
      <c r="K68" s="195">
        <v>0.6</v>
      </c>
    </row>
    <row r="69" spans="1:11" x14ac:dyDescent="0.25">
      <c r="A69" s="197" t="s">
        <v>936</v>
      </c>
      <c r="B69" s="197">
        <v>602197486</v>
      </c>
      <c r="C69" s="204">
        <v>45910</v>
      </c>
      <c r="D69" s="197" t="s">
        <v>937</v>
      </c>
      <c r="E69" s="197" t="s">
        <v>38</v>
      </c>
      <c r="F69" s="197" t="s">
        <v>936</v>
      </c>
      <c r="G69" s="194">
        <v>14611.31</v>
      </c>
      <c r="H69" s="194">
        <v>13219.77</v>
      </c>
      <c r="I69" s="35">
        <f t="shared" si="2"/>
        <v>1321.9770000000001</v>
      </c>
      <c r="J69" s="35">
        <f t="shared" si="3"/>
        <v>793.18619999999999</v>
      </c>
      <c r="K69" s="195">
        <v>0.6</v>
      </c>
    </row>
    <row r="70" spans="1:11" x14ac:dyDescent="0.25">
      <c r="A70" s="197" t="s">
        <v>936</v>
      </c>
      <c r="B70" s="197">
        <v>602197486</v>
      </c>
      <c r="C70" s="204">
        <v>45910</v>
      </c>
      <c r="D70" s="197" t="s">
        <v>937</v>
      </c>
      <c r="E70" s="197" t="s">
        <v>38</v>
      </c>
      <c r="F70" s="197" t="s">
        <v>936</v>
      </c>
      <c r="G70" s="194">
        <v>100</v>
      </c>
      <c r="H70" s="194">
        <v>100</v>
      </c>
      <c r="I70" s="35">
        <f t="shared" si="2"/>
        <v>10</v>
      </c>
      <c r="J70" s="35">
        <f t="shared" si="3"/>
        <v>6</v>
      </c>
      <c r="K70" s="195">
        <v>0.6</v>
      </c>
    </row>
    <row r="71" spans="1:11" x14ac:dyDescent="0.25">
      <c r="A71" s="197" t="s">
        <v>938</v>
      </c>
      <c r="B71" s="197">
        <v>602453006</v>
      </c>
      <c r="C71" s="204">
        <v>45910</v>
      </c>
      <c r="D71" s="197" t="s">
        <v>939</v>
      </c>
      <c r="E71" s="197" t="s">
        <v>38</v>
      </c>
      <c r="F71" s="37" t="s">
        <v>938</v>
      </c>
      <c r="G71" s="194">
        <v>47779.47</v>
      </c>
      <c r="H71" s="194">
        <v>43031.199999999997</v>
      </c>
      <c r="I71" s="35">
        <f t="shared" si="2"/>
        <v>4303.12</v>
      </c>
      <c r="J71" s="35">
        <f t="shared" si="3"/>
        <v>2581.8719999999998</v>
      </c>
      <c r="K71" s="195">
        <v>0.6</v>
      </c>
    </row>
    <row r="72" spans="1:11" x14ac:dyDescent="0.25">
      <c r="A72" s="197" t="s">
        <v>938</v>
      </c>
      <c r="B72" s="197">
        <v>602453006</v>
      </c>
      <c r="C72" s="204">
        <v>45910</v>
      </c>
      <c r="D72" s="197" t="s">
        <v>939</v>
      </c>
      <c r="E72" s="197" t="s">
        <v>38</v>
      </c>
      <c r="F72" s="37" t="s">
        <v>938</v>
      </c>
      <c r="G72" s="194">
        <v>100</v>
      </c>
      <c r="H72" s="194">
        <v>100</v>
      </c>
      <c r="I72" s="35">
        <f t="shared" si="2"/>
        <v>10</v>
      </c>
      <c r="J72" s="35">
        <f t="shared" si="3"/>
        <v>6</v>
      </c>
      <c r="K72" s="195">
        <v>0.6</v>
      </c>
    </row>
    <row r="73" spans="1:11" x14ac:dyDescent="0.25">
      <c r="A73" s="197" t="s">
        <v>940</v>
      </c>
      <c r="B73" s="197">
        <v>602455063</v>
      </c>
      <c r="C73" s="204">
        <v>45911</v>
      </c>
      <c r="D73" s="197" t="s">
        <v>941</v>
      </c>
      <c r="E73" s="197" t="s">
        <v>38</v>
      </c>
      <c r="F73" s="197" t="s">
        <v>940</v>
      </c>
      <c r="G73" s="194">
        <v>10520.04</v>
      </c>
      <c r="H73" s="194">
        <v>9392.8799999999992</v>
      </c>
      <c r="I73" s="35">
        <f t="shared" si="2"/>
        <v>939.28800000000001</v>
      </c>
      <c r="J73" s="35">
        <f t="shared" si="3"/>
        <v>563.57280000000003</v>
      </c>
      <c r="K73" s="195">
        <v>0.6</v>
      </c>
    </row>
    <row r="74" spans="1:11" x14ac:dyDescent="0.25">
      <c r="A74" s="197" t="s">
        <v>942</v>
      </c>
      <c r="B74" s="197">
        <v>601090293</v>
      </c>
      <c r="C74" s="204">
        <v>45912</v>
      </c>
      <c r="D74" s="197" t="s">
        <v>943</v>
      </c>
      <c r="E74" s="197" t="s">
        <v>38</v>
      </c>
      <c r="F74" s="197" t="s">
        <v>942</v>
      </c>
      <c r="G74" s="194">
        <v>11938.73</v>
      </c>
      <c r="H74" s="194">
        <v>10801.71</v>
      </c>
      <c r="I74" s="35">
        <f t="shared" si="2"/>
        <v>1080.171</v>
      </c>
      <c r="J74" s="35">
        <f t="shared" si="3"/>
        <v>648.10260000000005</v>
      </c>
      <c r="K74" s="195">
        <v>0.6</v>
      </c>
    </row>
    <row r="75" spans="1:11" x14ac:dyDescent="0.25">
      <c r="A75" s="197" t="s">
        <v>944</v>
      </c>
      <c r="B75" s="197">
        <v>602947273</v>
      </c>
      <c r="C75" s="204">
        <v>45912</v>
      </c>
      <c r="D75" s="197" t="s">
        <v>945</v>
      </c>
      <c r="E75" s="197" t="s">
        <v>41</v>
      </c>
      <c r="F75" s="37" t="s">
        <v>12</v>
      </c>
      <c r="G75" s="194">
        <v>8767</v>
      </c>
      <c r="H75" s="194">
        <v>7827.66</v>
      </c>
      <c r="I75" s="35">
        <f t="shared" si="2"/>
        <v>782.76600000000008</v>
      </c>
      <c r="J75" s="35">
        <f t="shared" si="3"/>
        <v>469.65960000000001</v>
      </c>
      <c r="K75" s="195">
        <v>0.6</v>
      </c>
    </row>
    <row r="76" spans="1:11" x14ac:dyDescent="0.25">
      <c r="A76" s="197" t="s">
        <v>946</v>
      </c>
      <c r="B76" s="197">
        <v>601090497</v>
      </c>
      <c r="C76" s="204">
        <v>45912</v>
      </c>
      <c r="D76" s="197" t="s">
        <v>947</v>
      </c>
      <c r="E76" s="197" t="s">
        <v>41</v>
      </c>
      <c r="F76" s="37" t="s">
        <v>12</v>
      </c>
      <c r="G76" s="194">
        <v>11397.09</v>
      </c>
      <c r="H76" s="194">
        <v>10332.51</v>
      </c>
      <c r="I76" s="35">
        <f t="shared" si="2"/>
        <v>1033.251</v>
      </c>
      <c r="J76" s="35">
        <f t="shared" si="3"/>
        <v>619.95060000000001</v>
      </c>
      <c r="K76" s="195">
        <v>0.6</v>
      </c>
    </row>
    <row r="77" spans="1:11" x14ac:dyDescent="0.25">
      <c r="A77" s="197" t="s">
        <v>948</v>
      </c>
      <c r="B77" s="197">
        <v>603014486</v>
      </c>
      <c r="C77" s="204">
        <v>45914</v>
      </c>
      <c r="D77" s="197" t="s">
        <v>949</v>
      </c>
      <c r="E77" s="197" t="s">
        <v>38</v>
      </c>
      <c r="F77" s="37" t="s">
        <v>963</v>
      </c>
      <c r="G77" s="194">
        <v>13881.03</v>
      </c>
      <c r="H77" s="194">
        <v>12393.77</v>
      </c>
      <c r="I77" s="35">
        <f t="shared" si="2"/>
        <v>1239.3770000000002</v>
      </c>
      <c r="J77" s="35">
        <f t="shared" si="3"/>
        <v>743.62620000000004</v>
      </c>
      <c r="K77" s="195">
        <v>0.6</v>
      </c>
    </row>
    <row r="78" spans="1:11" x14ac:dyDescent="0.25">
      <c r="A78" s="197" t="s">
        <v>964</v>
      </c>
      <c r="B78" s="197">
        <v>603096135</v>
      </c>
      <c r="C78" s="204">
        <v>45912</v>
      </c>
      <c r="D78" s="197" t="s">
        <v>965</v>
      </c>
      <c r="E78" s="197" t="s">
        <v>38</v>
      </c>
      <c r="F78" s="37" t="s">
        <v>57</v>
      </c>
      <c r="G78" s="194">
        <v>10082.09</v>
      </c>
      <c r="H78" s="194">
        <v>9001.8799999999992</v>
      </c>
      <c r="I78" s="35">
        <f t="shared" si="2"/>
        <v>900.18799999999999</v>
      </c>
      <c r="J78" s="35">
        <f t="shared" si="3"/>
        <v>540.11279999999999</v>
      </c>
      <c r="K78" s="195">
        <v>0.6</v>
      </c>
    </row>
    <row r="79" spans="1:11" x14ac:dyDescent="0.25">
      <c r="A79" s="197" t="s">
        <v>966</v>
      </c>
      <c r="B79" s="197">
        <v>601208827</v>
      </c>
      <c r="C79" s="205">
        <v>45914</v>
      </c>
      <c r="D79" s="197" t="s">
        <v>967</v>
      </c>
      <c r="E79" s="197" t="s">
        <v>38</v>
      </c>
      <c r="F79" s="37" t="s">
        <v>57</v>
      </c>
      <c r="G79" s="194">
        <v>13753.32</v>
      </c>
      <c r="H79" s="194">
        <v>12416.17</v>
      </c>
      <c r="I79" s="35">
        <f t="shared" si="2"/>
        <v>1241.6170000000002</v>
      </c>
      <c r="J79" s="35">
        <f t="shared" si="3"/>
        <v>744.97020000000009</v>
      </c>
      <c r="K79" s="195">
        <v>0.6</v>
      </c>
    </row>
    <row r="80" spans="1:11" x14ac:dyDescent="0.25">
      <c r="A80" s="197" t="s">
        <v>966</v>
      </c>
      <c r="B80" s="197">
        <v>601208827</v>
      </c>
      <c r="C80" s="205">
        <v>45914</v>
      </c>
      <c r="D80" s="197" t="s">
        <v>967</v>
      </c>
      <c r="E80" s="197" t="s">
        <v>38</v>
      </c>
      <c r="F80" s="37" t="s">
        <v>57</v>
      </c>
      <c r="G80" s="194">
        <v>100</v>
      </c>
      <c r="H80" s="194">
        <v>100</v>
      </c>
      <c r="I80" s="35">
        <f t="shared" si="2"/>
        <v>10</v>
      </c>
      <c r="J80" s="35">
        <f t="shared" si="3"/>
        <v>6</v>
      </c>
      <c r="K80" s="195">
        <v>0.6</v>
      </c>
    </row>
    <row r="81" spans="1:11" x14ac:dyDescent="0.25">
      <c r="A81" s="197" t="s">
        <v>970</v>
      </c>
      <c r="B81" s="197">
        <v>601219953</v>
      </c>
      <c r="C81" s="204">
        <v>45915</v>
      </c>
      <c r="D81" s="197" t="s">
        <v>971</v>
      </c>
      <c r="E81" s="197" t="s">
        <v>38</v>
      </c>
      <c r="F81" s="37" t="s">
        <v>57</v>
      </c>
      <c r="G81" s="194">
        <v>13753.34</v>
      </c>
      <c r="H81" s="194">
        <v>12416.17</v>
      </c>
      <c r="I81" s="35">
        <f t="shared" si="2"/>
        <v>1241.6170000000002</v>
      </c>
      <c r="J81" s="35">
        <f t="shared" si="3"/>
        <v>744.97020000000009</v>
      </c>
      <c r="K81" s="195">
        <v>0.6</v>
      </c>
    </row>
    <row r="82" spans="1:11" x14ac:dyDescent="0.25">
      <c r="A82" s="197" t="s">
        <v>970</v>
      </c>
      <c r="B82" s="197">
        <v>601219953</v>
      </c>
      <c r="C82" s="204">
        <v>45915</v>
      </c>
      <c r="D82" s="197" t="s">
        <v>971</v>
      </c>
      <c r="E82" s="197" t="s">
        <v>38</v>
      </c>
      <c r="F82" s="37" t="s">
        <v>57</v>
      </c>
      <c r="G82" s="194">
        <v>100</v>
      </c>
      <c r="H82" s="194">
        <v>100</v>
      </c>
      <c r="I82" s="35">
        <f t="shared" si="2"/>
        <v>10</v>
      </c>
      <c r="J82" s="35">
        <f t="shared" si="3"/>
        <v>6</v>
      </c>
      <c r="K82" s="195">
        <v>0.6</v>
      </c>
    </row>
    <row r="83" spans="1:11" x14ac:dyDescent="0.25">
      <c r="A83" s="197" t="s">
        <v>968</v>
      </c>
      <c r="B83" s="197">
        <v>603603864</v>
      </c>
      <c r="C83" s="204">
        <v>45916</v>
      </c>
      <c r="D83" s="197" t="s">
        <v>969</v>
      </c>
      <c r="E83" s="197" t="s">
        <v>41</v>
      </c>
      <c r="F83" s="37" t="s">
        <v>12</v>
      </c>
      <c r="G83" s="194">
        <v>13881.04</v>
      </c>
      <c r="H83" s="194">
        <v>12393.78</v>
      </c>
      <c r="I83" s="35">
        <f t="shared" si="2"/>
        <v>1239.3780000000002</v>
      </c>
      <c r="J83" s="35">
        <f t="shared" si="3"/>
        <v>743.62680000000012</v>
      </c>
      <c r="K83" s="195">
        <v>0.6</v>
      </c>
    </row>
    <row r="84" spans="1:11" x14ac:dyDescent="0.25">
      <c r="A84" s="197" t="s">
        <v>972</v>
      </c>
      <c r="B84" s="197">
        <v>601214629</v>
      </c>
      <c r="C84" s="204">
        <v>45915</v>
      </c>
      <c r="D84" s="197" t="s">
        <v>973</v>
      </c>
      <c r="E84" s="197" t="s">
        <v>38</v>
      </c>
      <c r="F84" s="197" t="s">
        <v>972</v>
      </c>
      <c r="G84" s="194">
        <v>9497.81</v>
      </c>
      <c r="H84" s="194">
        <v>8610.64</v>
      </c>
      <c r="I84" s="35">
        <f t="shared" si="2"/>
        <v>861.06399999999996</v>
      </c>
      <c r="J84" s="35">
        <f t="shared" si="3"/>
        <v>516.63839999999993</v>
      </c>
      <c r="K84" s="195">
        <v>0.6</v>
      </c>
    </row>
    <row r="85" spans="1:11" x14ac:dyDescent="0.25">
      <c r="A85" s="197" t="s">
        <v>972</v>
      </c>
      <c r="B85" s="197">
        <v>601214629</v>
      </c>
      <c r="C85" s="204">
        <v>45915</v>
      </c>
      <c r="D85" s="197" t="s">
        <v>973</v>
      </c>
      <c r="E85" s="197" t="s">
        <v>38</v>
      </c>
      <c r="F85" s="197" t="s">
        <v>972</v>
      </c>
      <c r="G85" s="194">
        <v>100</v>
      </c>
      <c r="H85" s="194">
        <v>100</v>
      </c>
      <c r="I85" s="35">
        <f t="shared" si="2"/>
        <v>10</v>
      </c>
      <c r="J85" s="35">
        <f t="shared" si="3"/>
        <v>6</v>
      </c>
      <c r="K85" s="195">
        <v>0.6</v>
      </c>
    </row>
    <row r="86" spans="1:11" x14ac:dyDescent="0.25">
      <c r="A86" s="197" t="s">
        <v>265</v>
      </c>
      <c r="B86" s="197">
        <v>603523585</v>
      </c>
      <c r="C86" s="204">
        <v>45915</v>
      </c>
      <c r="D86" s="197" t="s">
        <v>974</v>
      </c>
      <c r="E86" s="197" t="s">
        <v>38</v>
      </c>
      <c r="F86" s="37" t="s">
        <v>267</v>
      </c>
      <c r="G86" s="194">
        <v>18995.73</v>
      </c>
      <c r="H86" s="194">
        <v>17221.419999999998</v>
      </c>
      <c r="I86" s="35">
        <f t="shared" si="2"/>
        <v>1722.1419999999998</v>
      </c>
      <c r="J86" s="35">
        <f t="shared" si="3"/>
        <v>1033.2851999999998</v>
      </c>
      <c r="K86" s="195">
        <v>0.6</v>
      </c>
    </row>
    <row r="87" spans="1:11" x14ac:dyDescent="0.25">
      <c r="A87" s="197" t="s">
        <v>265</v>
      </c>
      <c r="B87" s="197">
        <v>603523585</v>
      </c>
      <c r="C87" s="204">
        <v>45915</v>
      </c>
      <c r="D87" s="197" t="s">
        <v>974</v>
      </c>
      <c r="E87" s="197" t="s">
        <v>38</v>
      </c>
      <c r="F87" s="37" t="s">
        <v>267</v>
      </c>
      <c r="G87" s="194">
        <v>100</v>
      </c>
      <c r="H87" s="194">
        <v>100</v>
      </c>
      <c r="I87" s="35">
        <f t="shared" si="2"/>
        <v>10</v>
      </c>
      <c r="J87" s="35">
        <f t="shared" si="3"/>
        <v>6</v>
      </c>
      <c r="K87" s="195">
        <v>0.6</v>
      </c>
    </row>
    <row r="88" spans="1:11" x14ac:dyDescent="0.25">
      <c r="A88" s="197" t="s">
        <v>976</v>
      </c>
      <c r="B88" s="197">
        <v>603989106</v>
      </c>
      <c r="C88" s="204">
        <v>45916</v>
      </c>
      <c r="D88" s="197" t="s">
        <v>977</v>
      </c>
      <c r="E88" s="197" t="s">
        <v>38</v>
      </c>
      <c r="F88" s="37" t="s">
        <v>978</v>
      </c>
      <c r="G88" s="194">
        <v>18995.740000000002</v>
      </c>
      <c r="H88" s="194">
        <v>17221.419999999998</v>
      </c>
      <c r="I88" s="35">
        <f t="shared" si="2"/>
        <v>1722.1419999999998</v>
      </c>
      <c r="J88" s="35">
        <f t="shared" si="3"/>
        <v>1033.2851999999998</v>
      </c>
      <c r="K88" s="195">
        <v>0.6</v>
      </c>
    </row>
    <row r="89" spans="1:11" x14ac:dyDescent="0.25">
      <c r="A89" s="197" t="s">
        <v>976</v>
      </c>
      <c r="B89" s="197">
        <v>603989106</v>
      </c>
      <c r="C89" s="204">
        <v>45916</v>
      </c>
      <c r="D89" s="197" t="s">
        <v>977</v>
      </c>
      <c r="E89" s="197" t="s">
        <v>38</v>
      </c>
      <c r="F89" s="37" t="s">
        <v>978</v>
      </c>
      <c r="G89" s="194">
        <v>100</v>
      </c>
      <c r="H89" s="194">
        <v>100</v>
      </c>
      <c r="I89" s="35">
        <f t="shared" si="2"/>
        <v>10</v>
      </c>
      <c r="J89" s="35">
        <f t="shared" si="3"/>
        <v>6</v>
      </c>
      <c r="K89" s="195">
        <v>0.6</v>
      </c>
    </row>
    <row r="90" spans="1:11" x14ac:dyDescent="0.25">
      <c r="A90" s="197" t="s">
        <v>979</v>
      </c>
      <c r="B90" s="197">
        <v>601234507</v>
      </c>
      <c r="C90" s="204">
        <v>45916</v>
      </c>
      <c r="D90" s="197" t="s">
        <v>980</v>
      </c>
      <c r="E90" s="197" t="s">
        <v>41</v>
      </c>
      <c r="F90" s="37" t="s">
        <v>12</v>
      </c>
      <c r="G90" s="194">
        <v>9497.7900000000009</v>
      </c>
      <c r="H90" s="194">
        <v>8610.6200000000008</v>
      </c>
      <c r="I90" s="35">
        <f t="shared" si="2"/>
        <v>861.06200000000013</v>
      </c>
      <c r="J90" s="35">
        <f t="shared" si="3"/>
        <v>516.63720000000001</v>
      </c>
      <c r="K90" s="195">
        <v>0.6</v>
      </c>
    </row>
    <row r="91" spans="1:11" x14ac:dyDescent="0.25">
      <c r="A91" s="197" t="s">
        <v>979</v>
      </c>
      <c r="B91" s="197">
        <v>601234507</v>
      </c>
      <c r="C91" s="204">
        <v>45916</v>
      </c>
      <c r="D91" s="197" t="s">
        <v>980</v>
      </c>
      <c r="E91" s="197" t="s">
        <v>41</v>
      </c>
      <c r="F91" s="37" t="s">
        <v>12</v>
      </c>
      <c r="G91" s="194">
        <v>100</v>
      </c>
      <c r="H91" s="194">
        <v>100</v>
      </c>
      <c r="I91" s="35">
        <f t="shared" si="2"/>
        <v>10</v>
      </c>
      <c r="J91" s="35">
        <f t="shared" si="3"/>
        <v>6</v>
      </c>
      <c r="K91" s="195">
        <v>0.6</v>
      </c>
    </row>
    <row r="92" spans="1:11" x14ac:dyDescent="0.25">
      <c r="A92" s="197" t="s">
        <v>981</v>
      </c>
      <c r="B92" s="197">
        <v>601236118</v>
      </c>
      <c r="C92" s="204">
        <v>45917</v>
      </c>
      <c r="D92" s="197" t="s">
        <v>982</v>
      </c>
      <c r="E92" s="197" t="s">
        <v>38</v>
      </c>
      <c r="F92" s="37" t="s">
        <v>57</v>
      </c>
      <c r="G92" s="194">
        <v>17840.060000000001</v>
      </c>
      <c r="H92" s="194">
        <v>16140.99</v>
      </c>
      <c r="I92" s="35">
        <f t="shared" si="2"/>
        <v>1614.0990000000002</v>
      </c>
      <c r="J92" s="35">
        <f t="shared" ref="J92:J97" si="4">I92*K92</f>
        <v>968.45940000000007</v>
      </c>
      <c r="K92" s="195">
        <v>0.6</v>
      </c>
    </row>
    <row r="93" spans="1:11" x14ac:dyDescent="0.25">
      <c r="A93" s="197" t="s">
        <v>333</v>
      </c>
      <c r="B93" s="197">
        <v>604333463</v>
      </c>
      <c r="C93" s="204">
        <v>45917</v>
      </c>
      <c r="D93" s="197" t="s">
        <v>983</v>
      </c>
      <c r="E93" s="197" t="s">
        <v>38</v>
      </c>
      <c r="F93" s="197" t="s">
        <v>333</v>
      </c>
      <c r="G93" s="194">
        <v>18265.13</v>
      </c>
      <c r="H93" s="194">
        <v>16525.61</v>
      </c>
      <c r="I93" s="35">
        <f t="shared" si="2"/>
        <v>1652.5610000000001</v>
      </c>
      <c r="J93" s="35">
        <f t="shared" si="4"/>
        <v>991.53660000000002</v>
      </c>
      <c r="K93" s="195">
        <v>0.6</v>
      </c>
    </row>
    <row r="94" spans="1:11" x14ac:dyDescent="0.25">
      <c r="A94" s="197" t="s">
        <v>333</v>
      </c>
      <c r="B94" s="197">
        <v>604333463</v>
      </c>
      <c r="C94" s="204">
        <v>45917</v>
      </c>
      <c r="D94" s="197" t="s">
        <v>983</v>
      </c>
      <c r="E94" s="197" t="s">
        <v>38</v>
      </c>
      <c r="F94" s="197" t="s">
        <v>333</v>
      </c>
      <c r="G94" s="194">
        <v>100</v>
      </c>
      <c r="H94" s="194">
        <v>100</v>
      </c>
      <c r="I94" s="35">
        <f t="shared" si="2"/>
        <v>10</v>
      </c>
      <c r="J94" s="35">
        <f t="shared" si="4"/>
        <v>6</v>
      </c>
      <c r="K94" s="195">
        <v>0.6</v>
      </c>
    </row>
    <row r="95" spans="1:11" x14ac:dyDescent="0.25">
      <c r="A95" s="197" t="s">
        <v>147</v>
      </c>
      <c r="B95" s="197">
        <v>604587154</v>
      </c>
      <c r="C95" s="204">
        <v>45919</v>
      </c>
      <c r="D95" s="197" t="s">
        <v>985</v>
      </c>
      <c r="E95" s="197" t="s">
        <v>38</v>
      </c>
      <c r="F95" s="197" t="s">
        <v>147</v>
      </c>
      <c r="G95" s="194">
        <v>7306.01</v>
      </c>
      <c r="H95" s="194">
        <v>6523.22</v>
      </c>
      <c r="I95" s="35">
        <f t="shared" si="2"/>
        <v>652.32200000000012</v>
      </c>
      <c r="J95" s="35">
        <f t="shared" si="4"/>
        <v>391.39320000000004</v>
      </c>
      <c r="K95" s="195">
        <v>0.6</v>
      </c>
    </row>
    <row r="96" spans="1:11" x14ac:dyDescent="0.25">
      <c r="A96" s="197" t="s">
        <v>986</v>
      </c>
      <c r="B96" s="197">
        <v>604744849</v>
      </c>
      <c r="C96" s="204">
        <v>45923</v>
      </c>
      <c r="D96" s="197" t="s">
        <v>987</v>
      </c>
      <c r="E96" s="197" t="s">
        <v>38</v>
      </c>
      <c r="F96" s="37" t="s">
        <v>57</v>
      </c>
      <c r="G96" s="194">
        <v>22256.06</v>
      </c>
      <c r="H96" s="194">
        <v>20177.2</v>
      </c>
      <c r="I96" s="35">
        <f t="shared" si="2"/>
        <v>2017.7200000000003</v>
      </c>
      <c r="J96" s="35">
        <f t="shared" si="4"/>
        <v>1210.6320000000001</v>
      </c>
      <c r="K96" s="195">
        <v>0.6</v>
      </c>
    </row>
    <row r="97" spans="1:11" x14ac:dyDescent="0.25">
      <c r="A97" s="197" t="s">
        <v>986</v>
      </c>
      <c r="B97" s="197">
        <v>604744849</v>
      </c>
      <c r="C97" s="204">
        <v>45923</v>
      </c>
      <c r="D97" s="197" t="s">
        <v>987</v>
      </c>
      <c r="E97" s="197" t="s">
        <v>38</v>
      </c>
      <c r="F97" s="37" t="s">
        <v>57</v>
      </c>
      <c r="G97" s="194">
        <v>100</v>
      </c>
      <c r="H97" s="194">
        <v>100</v>
      </c>
      <c r="I97" s="35">
        <f t="shared" si="2"/>
        <v>10</v>
      </c>
      <c r="J97" s="35">
        <f t="shared" si="4"/>
        <v>6</v>
      </c>
      <c r="K97" s="195">
        <v>0.6</v>
      </c>
    </row>
    <row r="98" spans="1:11" x14ac:dyDescent="0.25">
      <c r="A98" s="197" t="s">
        <v>988</v>
      </c>
      <c r="B98" s="197">
        <v>601488320</v>
      </c>
      <c r="C98" s="204">
        <v>45920</v>
      </c>
      <c r="D98" s="197" t="s">
        <v>989</v>
      </c>
      <c r="E98" s="197" t="s">
        <v>38</v>
      </c>
      <c r="F98" s="37" t="s">
        <v>988</v>
      </c>
      <c r="G98" s="194">
        <v>14326.4</v>
      </c>
      <c r="H98" s="194">
        <v>12961.94</v>
      </c>
      <c r="I98" s="35">
        <f t="shared" si="2"/>
        <v>1296.1940000000002</v>
      </c>
      <c r="J98" s="35">
        <f t="shared" ref="J98:J105" si="5">I98*K98</f>
        <v>777.71640000000014</v>
      </c>
      <c r="K98" s="195">
        <v>0.6</v>
      </c>
    </row>
    <row r="99" spans="1:11" x14ac:dyDescent="0.25">
      <c r="A99" s="197" t="s">
        <v>988</v>
      </c>
      <c r="B99" s="197">
        <v>601488320</v>
      </c>
      <c r="C99" s="204">
        <v>45920</v>
      </c>
      <c r="D99" s="197" t="s">
        <v>989</v>
      </c>
      <c r="E99" s="197" t="s">
        <v>38</v>
      </c>
      <c r="F99" s="37" t="s">
        <v>988</v>
      </c>
      <c r="G99" s="194">
        <v>100</v>
      </c>
      <c r="H99" s="194">
        <v>100</v>
      </c>
      <c r="I99" s="35">
        <f t="shared" si="2"/>
        <v>10</v>
      </c>
      <c r="J99" s="35">
        <f t="shared" si="5"/>
        <v>6</v>
      </c>
      <c r="K99" s="195">
        <v>0.6</v>
      </c>
    </row>
    <row r="100" spans="1:11" x14ac:dyDescent="0.25">
      <c r="A100" s="197" t="s">
        <v>990</v>
      </c>
      <c r="B100" s="197">
        <v>602002640</v>
      </c>
      <c r="C100" s="204">
        <v>45922</v>
      </c>
      <c r="D100" s="197" t="s">
        <v>991</v>
      </c>
      <c r="E100" s="197" t="s">
        <v>38</v>
      </c>
      <c r="F100" s="197" t="s">
        <v>990</v>
      </c>
      <c r="G100" s="194">
        <v>11397.09</v>
      </c>
      <c r="H100" s="194">
        <v>10332.51</v>
      </c>
      <c r="I100" s="35">
        <f t="shared" si="2"/>
        <v>1033.251</v>
      </c>
      <c r="J100" s="35">
        <f t="shared" si="5"/>
        <v>619.95060000000001</v>
      </c>
      <c r="K100" s="195">
        <v>0.6</v>
      </c>
    </row>
    <row r="101" spans="1:11" x14ac:dyDescent="0.25">
      <c r="A101" s="197" t="s">
        <v>990</v>
      </c>
      <c r="B101" s="197">
        <v>602002640</v>
      </c>
      <c r="C101" s="204">
        <v>45922</v>
      </c>
      <c r="D101" s="197" t="s">
        <v>991</v>
      </c>
      <c r="E101" s="197" t="s">
        <v>38</v>
      </c>
      <c r="F101" s="197" t="s">
        <v>990</v>
      </c>
      <c r="G101" s="194">
        <v>100</v>
      </c>
      <c r="H101" s="194">
        <v>100</v>
      </c>
      <c r="I101" s="35">
        <f t="shared" si="2"/>
        <v>10</v>
      </c>
      <c r="J101" s="35">
        <f t="shared" si="5"/>
        <v>6</v>
      </c>
      <c r="K101" s="195">
        <v>0.6</v>
      </c>
    </row>
    <row r="102" spans="1:11" x14ac:dyDescent="0.25">
      <c r="A102" s="197" t="s">
        <v>401</v>
      </c>
      <c r="B102" s="197">
        <v>602015434</v>
      </c>
      <c r="C102" s="204">
        <v>45922</v>
      </c>
      <c r="D102" s="197" t="s">
        <v>992</v>
      </c>
      <c r="E102" s="197" t="s">
        <v>38</v>
      </c>
      <c r="F102" s="37" t="s">
        <v>57</v>
      </c>
      <c r="G102" s="194">
        <v>16618.560000000001</v>
      </c>
      <c r="H102" s="194">
        <v>15144.98</v>
      </c>
      <c r="I102" s="35">
        <f t="shared" ref="I102:I131" si="6">H102*10%</f>
        <v>1514.498</v>
      </c>
      <c r="J102" s="35">
        <f t="shared" si="5"/>
        <v>908.69880000000001</v>
      </c>
      <c r="K102" s="195">
        <v>0.6</v>
      </c>
    </row>
    <row r="103" spans="1:11" x14ac:dyDescent="0.25">
      <c r="A103" s="197" t="s">
        <v>401</v>
      </c>
      <c r="B103" s="197">
        <v>602015434</v>
      </c>
      <c r="C103" s="204">
        <v>45922</v>
      </c>
      <c r="D103" s="197" t="s">
        <v>992</v>
      </c>
      <c r="E103" s="197" t="s">
        <v>38</v>
      </c>
      <c r="F103" s="37" t="s">
        <v>57</v>
      </c>
      <c r="G103" s="194">
        <v>100</v>
      </c>
      <c r="H103" s="194">
        <v>100</v>
      </c>
      <c r="I103" s="35">
        <f t="shared" si="6"/>
        <v>10</v>
      </c>
      <c r="J103" s="35">
        <f t="shared" si="5"/>
        <v>6</v>
      </c>
      <c r="K103" s="195">
        <v>0.6</v>
      </c>
    </row>
    <row r="104" spans="1:11" x14ac:dyDescent="0.25">
      <c r="A104" s="197" t="s">
        <v>993</v>
      </c>
      <c r="B104" s="197">
        <v>605325316</v>
      </c>
      <c r="C104" s="204">
        <v>45922</v>
      </c>
      <c r="D104" s="197" t="s">
        <v>994</v>
      </c>
      <c r="E104" s="197" t="s">
        <v>38</v>
      </c>
      <c r="F104" s="197" t="s">
        <v>993</v>
      </c>
      <c r="G104" s="194">
        <v>16618.59</v>
      </c>
      <c r="H104" s="194">
        <v>15145</v>
      </c>
      <c r="I104" s="35">
        <f t="shared" si="6"/>
        <v>1514.5</v>
      </c>
      <c r="J104" s="35">
        <f t="shared" si="5"/>
        <v>908.69999999999993</v>
      </c>
      <c r="K104" s="195">
        <v>0.6</v>
      </c>
    </row>
    <row r="105" spans="1:11" x14ac:dyDescent="0.25">
      <c r="A105" s="197" t="s">
        <v>993</v>
      </c>
      <c r="B105" s="197">
        <v>605325316</v>
      </c>
      <c r="C105" s="204">
        <v>45922</v>
      </c>
      <c r="D105" s="197" t="s">
        <v>994</v>
      </c>
      <c r="E105" s="197" t="s">
        <v>38</v>
      </c>
      <c r="F105" s="197" t="s">
        <v>993</v>
      </c>
      <c r="G105" s="194">
        <v>100</v>
      </c>
      <c r="H105" s="194">
        <v>100</v>
      </c>
      <c r="I105" s="35">
        <f t="shared" si="6"/>
        <v>10</v>
      </c>
      <c r="J105" s="35">
        <f t="shared" si="5"/>
        <v>6</v>
      </c>
      <c r="K105" s="195">
        <v>0.6</v>
      </c>
    </row>
    <row r="106" spans="1:11" x14ac:dyDescent="0.25">
      <c r="A106" s="197" t="s">
        <v>536</v>
      </c>
      <c r="B106" s="197">
        <v>605283060</v>
      </c>
      <c r="C106" s="204">
        <v>45922</v>
      </c>
      <c r="D106" s="197" t="s">
        <v>995</v>
      </c>
      <c r="E106" s="197" t="s">
        <v>38</v>
      </c>
      <c r="F106" s="197" t="s">
        <v>996</v>
      </c>
      <c r="G106" s="194">
        <v>7306.01</v>
      </c>
      <c r="H106" s="194">
        <v>6523.22</v>
      </c>
      <c r="I106" s="35">
        <f t="shared" si="6"/>
        <v>652.32200000000012</v>
      </c>
      <c r="J106" s="35">
        <f t="shared" ref="J106:J111" si="7">I106*K106</f>
        <v>391.39320000000004</v>
      </c>
      <c r="K106" s="195">
        <v>0.6</v>
      </c>
    </row>
    <row r="107" spans="1:11" x14ac:dyDescent="0.25">
      <c r="A107" s="197" t="s">
        <v>997</v>
      </c>
      <c r="B107" s="197">
        <v>605358225</v>
      </c>
      <c r="C107" s="204">
        <v>45922</v>
      </c>
      <c r="D107" s="197" t="s">
        <v>998</v>
      </c>
      <c r="E107" s="197" t="s">
        <v>38</v>
      </c>
      <c r="F107" s="197" t="s">
        <v>57</v>
      </c>
      <c r="G107" s="194">
        <v>8637.68</v>
      </c>
      <c r="H107" s="194">
        <v>7871.78</v>
      </c>
      <c r="I107" s="35">
        <f t="shared" si="6"/>
        <v>787.178</v>
      </c>
      <c r="J107" s="35">
        <f t="shared" si="7"/>
        <v>472.30679999999995</v>
      </c>
      <c r="K107" s="195">
        <v>0.6</v>
      </c>
    </row>
    <row r="108" spans="1:11" x14ac:dyDescent="0.25">
      <c r="A108" s="197" t="s">
        <v>997</v>
      </c>
      <c r="B108" s="197">
        <v>605358225</v>
      </c>
      <c r="C108" s="204">
        <v>45922</v>
      </c>
      <c r="D108" s="197" t="s">
        <v>998</v>
      </c>
      <c r="E108" s="197" t="s">
        <v>38</v>
      </c>
      <c r="F108" s="197" t="s">
        <v>57</v>
      </c>
      <c r="G108" s="194">
        <v>100</v>
      </c>
      <c r="H108" s="194">
        <v>100</v>
      </c>
      <c r="I108" s="35">
        <f t="shared" si="6"/>
        <v>10</v>
      </c>
      <c r="J108" s="35">
        <f t="shared" si="7"/>
        <v>6</v>
      </c>
      <c r="K108" s="195">
        <v>0.6</v>
      </c>
    </row>
    <row r="109" spans="1:11" x14ac:dyDescent="0.25">
      <c r="A109" s="197" t="s">
        <v>926</v>
      </c>
      <c r="B109" s="197">
        <v>605445293</v>
      </c>
      <c r="C109" s="204">
        <v>45922</v>
      </c>
      <c r="D109" s="197" t="s">
        <v>999</v>
      </c>
      <c r="E109" s="197" t="s">
        <v>41</v>
      </c>
      <c r="F109" s="197" t="s">
        <v>12</v>
      </c>
      <c r="G109" s="194">
        <v>11392.76</v>
      </c>
      <c r="H109" s="194">
        <v>10382.549999999999</v>
      </c>
      <c r="I109" s="35">
        <f t="shared" si="6"/>
        <v>1038.2549999999999</v>
      </c>
      <c r="J109" s="35">
        <f t="shared" si="7"/>
        <v>622.95299999999986</v>
      </c>
      <c r="K109" s="195">
        <v>0.6</v>
      </c>
    </row>
    <row r="110" spans="1:11" x14ac:dyDescent="0.25">
      <c r="A110" s="197" t="s">
        <v>926</v>
      </c>
      <c r="B110" s="197">
        <v>605445293</v>
      </c>
      <c r="C110" s="204">
        <v>45922</v>
      </c>
      <c r="D110" s="197" t="s">
        <v>999</v>
      </c>
      <c r="E110" s="197" t="s">
        <v>41</v>
      </c>
      <c r="F110" s="197" t="s">
        <v>12</v>
      </c>
      <c r="G110" s="194">
        <v>100</v>
      </c>
      <c r="H110" s="194">
        <v>100</v>
      </c>
      <c r="I110" s="35">
        <f t="shared" si="6"/>
        <v>10</v>
      </c>
      <c r="J110" s="35">
        <f t="shared" si="7"/>
        <v>6</v>
      </c>
      <c r="K110" s="195">
        <v>0.6</v>
      </c>
    </row>
    <row r="111" spans="1:11" x14ac:dyDescent="0.25">
      <c r="A111" s="197" t="s">
        <v>1000</v>
      </c>
      <c r="B111" s="197">
        <v>605530069</v>
      </c>
      <c r="C111" s="204">
        <v>45923</v>
      </c>
      <c r="D111" s="197" t="s">
        <v>1001</v>
      </c>
      <c r="E111" s="197" t="s">
        <v>38</v>
      </c>
      <c r="F111" s="197" t="s">
        <v>1000</v>
      </c>
      <c r="G111" s="194">
        <v>7306.03</v>
      </c>
      <c r="H111" s="194">
        <v>6523.22</v>
      </c>
      <c r="I111" s="35">
        <f t="shared" si="6"/>
        <v>652.32200000000012</v>
      </c>
      <c r="J111" s="35">
        <f t="shared" si="7"/>
        <v>391.39320000000004</v>
      </c>
      <c r="K111" s="195">
        <v>0.6</v>
      </c>
    </row>
    <row r="112" spans="1:11" x14ac:dyDescent="0.25">
      <c r="A112" s="197" t="s">
        <v>1004</v>
      </c>
      <c r="B112" s="197">
        <v>605654644</v>
      </c>
      <c r="C112" s="204">
        <v>45923</v>
      </c>
      <c r="D112" s="197" t="s">
        <v>1005</v>
      </c>
      <c r="E112" s="197" t="s">
        <v>38</v>
      </c>
      <c r="F112" s="197" t="s">
        <v>57</v>
      </c>
      <c r="G112" s="194">
        <v>8188.05</v>
      </c>
      <c r="H112" s="194">
        <v>7310.77</v>
      </c>
      <c r="I112" s="35">
        <f t="shared" si="6"/>
        <v>731.07700000000011</v>
      </c>
      <c r="J112" s="35">
        <f t="shared" ref="J112:J125" si="8">I112*K112</f>
        <v>438.64620000000008</v>
      </c>
      <c r="K112" s="195">
        <v>0.6</v>
      </c>
    </row>
    <row r="113" spans="1:11" x14ac:dyDescent="0.25">
      <c r="A113" s="197" t="s">
        <v>1007</v>
      </c>
      <c r="B113" s="197">
        <v>604140132</v>
      </c>
      <c r="C113" s="204">
        <v>45924</v>
      </c>
      <c r="D113" s="197" t="s">
        <v>1008</v>
      </c>
      <c r="E113" s="197" t="s">
        <v>38</v>
      </c>
      <c r="F113" s="197" t="s">
        <v>1007</v>
      </c>
      <c r="G113" s="194">
        <v>14899.41</v>
      </c>
      <c r="H113" s="194">
        <v>13507.7</v>
      </c>
      <c r="I113" s="35">
        <f t="shared" si="6"/>
        <v>1350.7700000000002</v>
      </c>
      <c r="J113" s="35">
        <f t="shared" si="8"/>
        <v>810.4620000000001</v>
      </c>
      <c r="K113" s="195">
        <v>0.6</v>
      </c>
    </row>
    <row r="114" spans="1:11" x14ac:dyDescent="0.25">
      <c r="A114" s="197" t="s">
        <v>1002</v>
      </c>
      <c r="B114" s="197">
        <v>605526755</v>
      </c>
      <c r="C114" s="204">
        <v>45923</v>
      </c>
      <c r="D114" s="197" t="s">
        <v>1003</v>
      </c>
      <c r="E114" s="197" t="s">
        <v>41</v>
      </c>
      <c r="F114" s="197" t="s">
        <v>12</v>
      </c>
      <c r="G114" s="194">
        <v>8766.98</v>
      </c>
      <c r="H114" s="194">
        <v>7827.66</v>
      </c>
      <c r="I114" s="35">
        <f t="shared" si="6"/>
        <v>782.76600000000008</v>
      </c>
      <c r="J114" s="35">
        <f t="shared" si="8"/>
        <v>469.65960000000001</v>
      </c>
      <c r="K114" s="195">
        <v>0.6</v>
      </c>
    </row>
    <row r="115" spans="1:11" x14ac:dyDescent="0.25">
      <c r="A115" s="197" t="s">
        <v>628</v>
      </c>
      <c r="B115" s="197">
        <v>605601341</v>
      </c>
      <c r="C115" s="204">
        <v>45923</v>
      </c>
      <c r="D115" s="197" t="s">
        <v>1009</v>
      </c>
      <c r="E115" s="197" t="s">
        <v>41</v>
      </c>
      <c r="F115" s="197" t="s">
        <v>12</v>
      </c>
      <c r="G115" s="194">
        <v>12975.04</v>
      </c>
      <c r="H115" s="194">
        <v>11739.32</v>
      </c>
      <c r="I115" s="35">
        <f t="shared" si="6"/>
        <v>1173.932</v>
      </c>
      <c r="J115" s="35">
        <f t="shared" si="8"/>
        <v>704.35919999999999</v>
      </c>
      <c r="K115" s="195">
        <v>0.6</v>
      </c>
    </row>
    <row r="116" spans="1:11" x14ac:dyDescent="0.25">
      <c r="A116" s="197" t="s">
        <v>628</v>
      </c>
      <c r="B116" s="197">
        <v>605601341</v>
      </c>
      <c r="C116" s="204">
        <v>45923</v>
      </c>
      <c r="D116" s="197" t="s">
        <v>1009</v>
      </c>
      <c r="E116" s="197" t="s">
        <v>41</v>
      </c>
      <c r="F116" s="197" t="s">
        <v>12</v>
      </c>
      <c r="G116" s="194">
        <v>100</v>
      </c>
      <c r="H116" s="194">
        <v>100</v>
      </c>
      <c r="I116" s="35">
        <f t="shared" si="6"/>
        <v>10</v>
      </c>
      <c r="J116" s="35">
        <f t="shared" si="8"/>
        <v>6</v>
      </c>
      <c r="K116" s="195">
        <v>0.6</v>
      </c>
    </row>
    <row r="117" spans="1:11" x14ac:dyDescent="0.25">
      <c r="A117" s="197" t="s">
        <v>1011</v>
      </c>
      <c r="B117" s="197">
        <v>605792914</v>
      </c>
      <c r="C117" s="204">
        <v>45923</v>
      </c>
      <c r="D117" s="197" t="s">
        <v>1012</v>
      </c>
      <c r="E117" s="197" t="s">
        <v>38</v>
      </c>
      <c r="F117" s="197" t="s">
        <v>1013</v>
      </c>
      <c r="G117" s="194">
        <v>24824.06</v>
      </c>
      <c r="H117" s="194">
        <v>22622.92</v>
      </c>
      <c r="I117" s="35">
        <f t="shared" si="6"/>
        <v>2262.2919999999999</v>
      </c>
      <c r="J117" s="35">
        <f t="shared" si="8"/>
        <v>1357.3751999999999</v>
      </c>
      <c r="K117" s="195">
        <v>0.6</v>
      </c>
    </row>
    <row r="118" spans="1:11" x14ac:dyDescent="0.25">
      <c r="A118" s="197" t="s">
        <v>1011</v>
      </c>
      <c r="B118" s="197">
        <v>605792914</v>
      </c>
      <c r="C118" s="204">
        <v>45923</v>
      </c>
      <c r="D118" s="197" t="s">
        <v>1012</v>
      </c>
      <c r="E118" s="197" t="s">
        <v>38</v>
      </c>
      <c r="F118" s="197" t="s">
        <v>1013</v>
      </c>
      <c r="G118" s="194">
        <v>100</v>
      </c>
      <c r="H118" s="194">
        <v>100</v>
      </c>
      <c r="I118" s="35">
        <f t="shared" si="6"/>
        <v>10</v>
      </c>
      <c r="J118" s="35">
        <f t="shared" si="8"/>
        <v>6</v>
      </c>
      <c r="K118" s="195">
        <v>0.6</v>
      </c>
    </row>
    <row r="119" spans="1:11" x14ac:dyDescent="0.25">
      <c r="A119" s="197" t="s">
        <v>1017</v>
      </c>
      <c r="B119" s="197">
        <v>604141177</v>
      </c>
      <c r="C119" s="204">
        <v>45924</v>
      </c>
      <c r="D119" s="197" t="s">
        <v>1018</v>
      </c>
      <c r="E119" s="197" t="s">
        <v>38</v>
      </c>
      <c r="F119" s="197" t="s">
        <v>1019</v>
      </c>
      <c r="G119" s="194">
        <v>33237.82</v>
      </c>
      <c r="H119" s="194">
        <v>30006.37</v>
      </c>
      <c r="I119" s="35">
        <f t="shared" si="6"/>
        <v>3000.6370000000002</v>
      </c>
      <c r="J119" s="35">
        <f t="shared" si="8"/>
        <v>1800.3822</v>
      </c>
      <c r="K119" s="195">
        <v>0.6</v>
      </c>
    </row>
    <row r="120" spans="1:11" x14ac:dyDescent="0.25">
      <c r="A120" s="197" t="s">
        <v>1020</v>
      </c>
      <c r="B120" s="197">
        <v>605978767</v>
      </c>
      <c r="C120" s="204">
        <v>45924</v>
      </c>
      <c r="D120" s="197" t="s">
        <v>1021</v>
      </c>
      <c r="E120" s="197" t="s">
        <v>38</v>
      </c>
      <c r="F120" s="197" t="s">
        <v>57</v>
      </c>
      <c r="G120" s="194">
        <v>7741.6</v>
      </c>
      <c r="H120" s="194">
        <v>7055.16</v>
      </c>
      <c r="I120" s="35">
        <f t="shared" si="6"/>
        <v>705.51600000000008</v>
      </c>
      <c r="J120" s="35">
        <f t="shared" si="8"/>
        <v>423.30960000000005</v>
      </c>
      <c r="K120" s="195">
        <v>0.6</v>
      </c>
    </row>
    <row r="121" spans="1:11" x14ac:dyDescent="0.25">
      <c r="A121" s="197" t="s">
        <v>1020</v>
      </c>
      <c r="B121" s="197">
        <v>605978767</v>
      </c>
      <c r="C121" s="204">
        <v>45924</v>
      </c>
      <c r="D121" s="197" t="s">
        <v>1021</v>
      </c>
      <c r="E121" s="197" t="s">
        <v>38</v>
      </c>
      <c r="F121" s="197" t="s">
        <v>57</v>
      </c>
      <c r="G121" s="194">
        <v>100</v>
      </c>
      <c r="H121" s="194">
        <v>100</v>
      </c>
      <c r="I121" s="35">
        <f t="shared" si="6"/>
        <v>10</v>
      </c>
      <c r="J121" s="35">
        <f t="shared" si="8"/>
        <v>6</v>
      </c>
      <c r="K121" s="195">
        <v>0.6</v>
      </c>
    </row>
    <row r="122" spans="1:11" x14ac:dyDescent="0.25">
      <c r="A122" s="197" t="s">
        <v>427</v>
      </c>
      <c r="B122" s="197">
        <v>604148697</v>
      </c>
      <c r="C122" s="204">
        <v>45925</v>
      </c>
      <c r="D122" s="197" t="s">
        <v>428</v>
      </c>
      <c r="E122" s="197" t="s">
        <v>38</v>
      </c>
      <c r="F122" s="197" t="s">
        <v>57</v>
      </c>
      <c r="G122" s="194">
        <v>7306.01</v>
      </c>
      <c r="H122" s="194">
        <v>6523.22</v>
      </c>
      <c r="I122" s="35">
        <f t="shared" si="6"/>
        <v>652.32200000000012</v>
      </c>
      <c r="J122" s="35">
        <f t="shared" si="8"/>
        <v>391.39320000000004</v>
      </c>
      <c r="K122" s="195">
        <v>0.6</v>
      </c>
    </row>
    <row r="123" spans="1:11" x14ac:dyDescent="0.25">
      <c r="A123" s="197" t="s">
        <v>1025</v>
      </c>
      <c r="B123" s="197">
        <v>605079543</v>
      </c>
      <c r="C123" s="204">
        <v>45927</v>
      </c>
      <c r="D123" s="197" t="s">
        <v>1026</v>
      </c>
      <c r="E123" s="197" t="s">
        <v>38</v>
      </c>
      <c r="F123" s="197" t="s">
        <v>1027</v>
      </c>
      <c r="G123" s="194">
        <v>14326.38</v>
      </c>
      <c r="H123" s="194">
        <v>12961.94</v>
      </c>
      <c r="I123" s="35">
        <f t="shared" si="6"/>
        <v>1296.1940000000002</v>
      </c>
      <c r="J123" s="35">
        <f t="shared" si="8"/>
        <v>777.71640000000014</v>
      </c>
      <c r="K123" s="195">
        <v>0.6</v>
      </c>
    </row>
    <row r="124" spans="1:11" x14ac:dyDescent="0.25">
      <c r="A124" s="197" t="s">
        <v>1028</v>
      </c>
      <c r="B124" s="197">
        <v>606444964</v>
      </c>
      <c r="C124" s="204">
        <v>45925</v>
      </c>
      <c r="D124" s="197" t="s">
        <v>1029</v>
      </c>
      <c r="E124" s="197" t="s">
        <v>38</v>
      </c>
      <c r="F124" s="197" t="s">
        <v>822</v>
      </c>
      <c r="G124" s="194">
        <v>77141.94</v>
      </c>
      <c r="H124" s="194">
        <v>69795.08</v>
      </c>
      <c r="I124" s="35">
        <f t="shared" si="6"/>
        <v>6979.5080000000007</v>
      </c>
      <c r="J124" s="35">
        <f t="shared" si="8"/>
        <v>4187.7048000000004</v>
      </c>
      <c r="K124" s="195">
        <v>0.6</v>
      </c>
    </row>
    <row r="125" spans="1:11" x14ac:dyDescent="0.25">
      <c r="A125" s="197" t="s">
        <v>1028</v>
      </c>
      <c r="B125" s="197">
        <v>606444964</v>
      </c>
      <c r="C125" s="204">
        <v>45925</v>
      </c>
      <c r="D125" s="197" t="s">
        <v>1029</v>
      </c>
      <c r="E125" s="197" t="s">
        <v>38</v>
      </c>
      <c r="F125" s="197" t="s">
        <v>822</v>
      </c>
      <c r="G125" s="194">
        <v>100</v>
      </c>
      <c r="H125" s="194">
        <v>100</v>
      </c>
      <c r="I125" s="35">
        <f t="shared" si="6"/>
        <v>10</v>
      </c>
      <c r="J125" s="35">
        <f t="shared" si="8"/>
        <v>6</v>
      </c>
      <c r="K125" s="195">
        <v>0.6</v>
      </c>
    </row>
    <row r="126" spans="1:11" x14ac:dyDescent="0.25">
      <c r="A126" s="197" t="s">
        <v>1030</v>
      </c>
      <c r="B126" s="197">
        <v>606245903</v>
      </c>
      <c r="C126" s="204">
        <v>45925</v>
      </c>
      <c r="D126" s="197" t="s">
        <v>1031</v>
      </c>
      <c r="E126" s="197" t="s">
        <v>38</v>
      </c>
      <c r="F126" s="197" t="s">
        <v>1032</v>
      </c>
      <c r="G126" s="194">
        <v>18995.72</v>
      </c>
      <c r="H126" s="194">
        <v>17221.41</v>
      </c>
      <c r="I126" s="35">
        <f t="shared" si="6"/>
        <v>1722.1410000000001</v>
      </c>
      <c r="J126" s="35">
        <f t="shared" ref="J126:J129" si="9">I126*K126</f>
        <v>1033.2846</v>
      </c>
      <c r="K126" s="195">
        <v>0.6</v>
      </c>
    </row>
    <row r="127" spans="1:11" x14ac:dyDescent="0.25">
      <c r="A127" s="197" t="s">
        <v>1030</v>
      </c>
      <c r="B127" s="197">
        <v>606245903</v>
      </c>
      <c r="C127" s="204">
        <v>45925</v>
      </c>
      <c r="D127" s="197" t="s">
        <v>1031</v>
      </c>
      <c r="E127" s="197" t="s">
        <v>38</v>
      </c>
      <c r="F127" s="197" t="s">
        <v>1032</v>
      </c>
      <c r="G127" s="194">
        <v>100</v>
      </c>
      <c r="H127" s="194">
        <v>100</v>
      </c>
      <c r="I127" s="35">
        <f t="shared" si="6"/>
        <v>10</v>
      </c>
      <c r="J127" s="35">
        <f t="shared" si="9"/>
        <v>6</v>
      </c>
      <c r="K127" s="195">
        <v>0.6</v>
      </c>
    </row>
    <row r="128" spans="1:11" x14ac:dyDescent="0.25">
      <c r="A128" s="197" t="s">
        <v>1033</v>
      </c>
      <c r="B128" s="197">
        <v>606545128</v>
      </c>
      <c r="C128" s="204">
        <v>45926</v>
      </c>
      <c r="D128" s="197" t="s">
        <v>1034</v>
      </c>
      <c r="E128" s="197" t="s">
        <v>38</v>
      </c>
      <c r="F128" s="197" t="s">
        <v>1035</v>
      </c>
      <c r="G128" s="194">
        <v>8205.5300000000007</v>
      </c>
      <c r="H128" s="194">
        <v>7477.95</v>
      </c>
      <c r="I128" s="35">
        <f t="shared" si="6"/>
        <v>747.79500000000007</v>
      </c>
      <c r="J128" s="35">
        <f t="shared" si="9"/>
        <v>448.67700000000002</v>
      </c>
      <c r="K128" s="195">
        <v>0.6</v>
      </c>
    </row>
    <row r="129" spans="1:11" x14ac:dyDescent="0.25">
      <c r="A129" s="197" t="s">
        <v>1033</v>
      </c>
      <c r="B129" s="197">
        <v>606545128</v>
      </c>
      <c r="C129" s="204">
        <v>45926</v>
      </c>
      <c r="D129" s="197" t="s">
        <v>1034</v>
      </c>
      <c r="E129" s="197" t="s">
        <v>38</v>
      </c>
      <c r="F129" s="197" t="s">
        <v>1035</v>
      </c>
      <c r="G129" s="194">
        <v>100</v>
      </c>
      <c r="H129" s="194">
        <v>100</v>
      </c>
      <c r="I129" s="35">
        <f t="shared" si="6"/>
        <v>10</v>
      </c>
      <c r="J129" s="35">
        <f t="shared" si="9"/>
        <v>6</v>
      </c>
      <c r="K129" s="195">
        <v>0.6</v>
      </c>
    </row>
    <row r="130" spans="1:11" x14ac:dyDescent="0.25">
      <c r="A130" s="197" t="s">
        <v>1043</v>
      </c>
      <c r="B130" s="197">
        <v>605081539</v>
      </c>
      <c r="C130" s="204">
        <v>45930</v>
      </c>
      <c r="D130" s="197" t="s">
        <v>1044</v>
      </c>
      <c r="E130" s="197" t="s">
        <v>41</v>
      </c>
      <c r="F130" s="197" t="s">
        <v>12</v>
      </c>
      <c r="G130" s="194">
        <v>16657.23</v>
      </c>
      <c r="H130" s="194">
        <v>15037.77</v>
      </c>
      <c r="I130" s="194">
        <f t="shared" si="6"/>
        <v>1503.777</v>
      </c>
      <c r="J130" s="35">
        <f t="shared" ref="J130:J135" si="10">I130*K130</f>
        <v>902.26620000000003</v>
      </c>
      <c r="K130" s="195">
        <v>0.6</v>
      </c>
    </row>
    <row r="131" spans="1:11" x14ac:dyDescent="0.25">
      <c r="A131" s="197" t="s">
        <v>1043</v>
      </c>
      <c r="B131" s="197">
        <v>605081539</v>
      </c>
      <c r="C131" s="204">
        <v>45930</v>
      </c>
      <c r="D131" s="197" t="s">
        <v>1044</v>
      </c>
      <c r="E131" s="197" t="s">
        <v>41</v>
      </c>
      <c r="F131" s="197" t="s">
        <v>12</v>
      </c>
      <c r="G131" s="194">
        <v>100</v>
      </c>
      <c r="H131" s="194">
        <v>100</v>
      </c>
      <c r="I131" s="194">
        <f t="shared" si="6"/>
        <v>10</v>
      </c>
      <c r="J131" s="35">
        <f t="shared" si="10"/>
        <v>6</v>
      </c>
      <c r="K131" s="195">
        <v>0.6</v>
      </c>
    </row>
    <row r="132" spans="1:11" x14ac:dyDescent="0.25">
      <c r="A132" s="197" t="s">
        <v>1037</v>
      </c>
      <c r="B132" s="197">
        <v>607227004</v>
      </c>
      <c r="C132" s="204">
        <v>45929</v>
      </c>
      <c r="D132" s="197" t="s">
        <v>1038</v>
      </c>
      <c r="E132" s="197" t="s">
        <v>38</v>
      </c>
      <c r="F132" s="197" t="s">
        <v>1037</v>
      </c>
      <c r="G132" s="194">
        <v>14612.11</v>
      </c>
      <c r="H132" s="194">
        <v>13046.54</v>
      </c>
      <c r="I132" s="194">
        <f>H132*10%</f>
        <v>1304.6540000000002</v>
      </c>
      <c r="J132" s="35">
        <f t="shared" si="10"/>
        <v>782.79240000000016</v>
      </c>
      <c r="K132" s="195">
        <v>0.6</v>
      </c>
    </row>
    <row r="133" spans="1:11" x14ac:dyDescent="0.25">
      <c r="A133" s="197" t="s">
        <v>1039</v>
      </c>
      <c r="B133" s="197">
        <v>607277744</v>
      </c>
      <c r="C133" s="204">
        <v>45929</v>
      </c>
      <c r="D133" s="197" t="s">
        <v>1040</v>
      </c>
      <c r="E133" s="197" t="s">
        <v>38</v>
      </c>
      <c r="F133" s="197" t="s">
        <v>57</v>
      </c>
      <c r="G133" s="194">
        <v>19102.11</v>
      </c>
      <c r="H133" s="194">
        <v>17055.439999999999</v>
      </c>
      <c r="I133" s="194">
        <f>H133*10%</f>
        <v>1705.5439999999999</v>
      </c>
      <c r="J133" s="35">
        <f t="shared" si="10"/>
        <v>1023.3263999999999</v>
      </c>
      <c r="K133" s="195">
        <v>0.6</v>
      </c>
    </row>
    <row r="134" spans="1:11" x14ac:dyDescent="0.25">
      <c r="A134" s="197" t="s">
        <v>427</v>
      </c>
      <c r="B134" s="197">
        <v>607195195</v>
      </c>
      <c r="C134" s="204">
        <v>45929</v>
      </c>
      <c r="D134" s="197" t="s">
        <v>43</v>
      </c>
      <c r="E134" s="197" t="s">
        <v>38</v>
      </c>
      <c r="F134" s="197" t="s">
        <v>427</v>
      </c>
      <c r="G134" s="194">
        <v>14612.13</v>
      </c>
      <c r="H134" s="194">
        <v>13046.54</v>
      </c>
      <c r="I134" s="194">
        <f>H134*10%</f>
        <v>1304.6540000000002</v>
      </c>
      <c r="J134" s="35">
        <f t="shared" si="10"/>
        <v>782.79240000000016</v>
      </c>
      <c r="K134" s="195">
        <v>0.6</v>
      </c>
    </row>
    <row r="135" spans="1:11" x14ac:dyDescent="0.25">
      <c r="A135" s="197" t="s">
        <v>1045</v>
      </c>
      <c r="B135" s="197">
        <v>607595234</v>
      </c>
      <c r="C135" s="204">
        <v>45930</v>
      </c>
      <c r="D135" s="197" t="s">
        <v>1042</v>
      </c>
      <c r="E135" s="197" t="s">
        <v>38</v>
      </c>
      <c r="F135" s="197" t="s">
        <v>57</v>
      </c>
      <c r="G135" s="194">
        <v>14612.13</v>
      </c>
      <c r="H135" s="194">
        <v>13046.54</v>
      </c>
      <c r="I135" s="194">
        <f>H135*10%</f>
        <v>1304.6540000000002</v>
      </c>
      <c r="J135" s="35">
        <f t="shared" si="10"/>
        <v>782.79240000000016</v>
      </c>
      <c r="K135" s="195">
        <v>0.6</v>
      </c>
    </row>
    <row r="136" spans="1:11" x14ac:dyDescent="0.25">
      <c r="A136" s="245" t="s">
        <v>333</v>
      </c>
      <c r="B136" s="249">
        <v>553656817</v>
      </c>
      <c r="C136" s="250">
        <v>45917</v>
      </c>
      <c r="D136" s="249" t="s">
        <v>334</v>
      </c>
      <c r="E136" s="197" t="s">
        <v>38</v>
      </c>
      <c r="F136" s="147" t="s">
        <v>112</v>
      </c>
      <c r="G136" s="248">
        <v>8196.64</v>
      </c>
      <c r="H136" s="248">
        <v>7416.01</v>
      </c>
      <c r="I136" s="159">
        <v>-741.61</v>
      </c>
      <c r="J136" s="146">
        <f>I136*K136</f>
        <v>-444.96600000000001</v>
      </c>
      <c r="K136" s="172">
        <v>0.6</v>
      </c>
    </row>
    <row r="137" spans="1:11" x14ac:dyDescent="0.25">
      <c r="A137" s="245" t="s">
        <v>1048</v>
      </c>
      <c r="B137" s="249">
        <v>521693654</v>
      </c>
      <c r="C137" s="250">
        <v>45916</v>
      </c>
      <c r="D137" s="249" t="s">
        <v>1049</v>
      </c>
      <c r="E137" s="197" t="s">
        <v>38</v>
      </c>
      <c r="F137" s="147" t="s">
        <v>112</v>
      </c>
      <c r="G137" s="248">
        <v>2104.44</v>
      </c>
      <c r="H137" s="248">
        <v>1914.75</v>
      </c>
      <c r="I137" s="159">
        <v>-191.47</v>
      </c>
      <c r="J137" s="146">
        <f t="shared" ref="J137" si="11">I137*K137</f>
        <v>-114.88199999999999</v>
      </c>
      <c r="K137" s="172">
        <v>0.6</v>
      </c>
    </row>
    <row r="138" spans="1:11" x14ac:dyDescent="0.25">
      <c r="A138" s="245" t="s">
        <v>381</v>
      </c>
      <c r="B138" s="249">
        <v>561910098</v>
      </c>
      <c r="C138" s="250">
        <v>45915</v>
      </c>
      <c r="D138" s="249" t="s">
        <v>382</v>
      </c>
      <c r="E138" s="197" t="s">
        <v>38</v>
      </c>
      <c r="F138" s="147" t="s">
        <v>112</v>
      </c>
      <c r="G138" s="248">
        <v>6252.66</v>
      </c>
      <c r="H138" s="248">
        <v>5582.74</v>
      </c>
      <c r="I138" s="159">
        <v>-305.58999999999997</v>
      </c>
      <c r="J138" s="146">
        <f>I138*K138</f>
        <v>-183.35399999999998</v>
      </c>
      <c r="K138" s="172">
        <v>0.6</v>
      </c>
    </row>
    <row r="139" spans="1:11" x14ac:dyDescent="0.25">
      <c r="A139" s="245" t="s">
        <v>1050</v>
      </c>
      <c r="B139" s="249">
        <v>523292390</v>
      </c>
      <c r="C139" s="250">
        <v>45910</v>
      </c>
      <c r="D139" s="249" t="s">
        <v>1051</v>
      </c>
      <c r="E139" s="197" t="s">
        <v>41</v>
      </c>
      <c r="F139" s="147" t="s">
        <v>112</v>
      </c>
      <c r="G139" s="248">
        <v>1724.81</v>
      </c>
      <c r="H139" s="248">
        <v>1569.34</v>
      </c>
      <c r="I139" s="159">
        <v>-156.93</v>
      </c>
      <c r="J139" s="146">
        <f t="shared" ref="J139" si="12">I139*K139</f>
        <v>-94.158000000000001</v>
      </c>
      <c r="K139" s="172">
        <v>0.6</v>
      </c>
    </row>
    <row r="140" spans="1:11" x14ac:dyDescent="0.25">
      <c r="A140" s="245" t="s">
        <v>1046</v>
      </c>
      <c r="B140" s="249">
        <v>526911231</v>
      </c>
      <c r="C140" s="250">
        <v>45916</v>
      </c>
      <c r="D140" s="249" t="s">
        <v>1047</v>
      </c>
      <c r="E140" s="197" t="s">
        <v>41</v>
      </c>
      <c r="F140" s="147" t="s">
        <v>112</v>
      </c>
      <c r="G140" s="248">
        <v>1108.77</v>
      </c>
      <c r="H140" s="248">
        <v>989.99</v>
      </c>
      <c r="I140" s="159">
        <v>-99</v>
      </c>
      <c r="J140" s="146">
        <f>I140*K140</f>
        <v>-59.4</v>
      </c>
      <c r="K140" s="172">
        <v>0.6</v>
      </c>
    </row>
    <row r="141" spans="1:11" x14ac:dyDescent="0.25">
      <c r="A141" s="245" t="s">
        <v>926</v>
      </c>
      <c r="B141" s="249">
        <v>598431131</v>
      </c>
      <c r="C141" s="250">
        <v>45922</v>
      </c>
      <c r="D141" s="249" t="s">
        <v>927</v>
      </c>
      <c r="E141" s="197" t="s">
        <v>41</v>
      </c>
      <c r="F141" s="147" t="s">
        <v>112</v>
      </c>
      <c r="G141" s="248">
        <v>9639.4599999999991</v>
      </c>
      <c r="H141" s="248">
        <v>8739.08</v>
      </c>
      <c r="I141" s="159">
        <v>-509</v>
      </c>
      <c r="J141" s="146">
        <f t="shared" ref="J141" si="13">I141*K141</f>
        <v>-305.39999999999998</v>
      </c>
      <c r="K141" s="172">
        <v>0.6</v>
      </c>
    </row>
    <row r="142" spans="1:11" x14ac:dyDescent="0.25">
      <c r="A142" s="245" t="s">
        <v>628</v>
      </c>
      <c r="B142" s="249">
        <v>578748970</v>
      </c>
      <c r="C142" s="250">
        <v>45922</v>
      </c>
      <c r="D142" s="249" t="s">
        <v>629</v>
      </c>
      <c r="E142" s="197" t="s">
        <v>41</v>
      </c>
      <c r="F142" s="147" t="s">
        <v>112</v>
      </c>
      <c r="G142" s="248">
        <v>8178.84</v>
      </c>
      <c r="H142" s="248">
        <v>7366.04</v>
      </c>
      <c r="I142" s="159">
        <v>-609.17999999999995</v>
      </c>
      <c r="J142" s="146">
        <f t="shared" ref="J142" si="14">I142*K142</f>
        <v>-365.50799999999998</v>
      </c>
      <c r="K142" s="172">
        <v>0.6</v>
      </c>
    </row>
    <row r="143" spans="1:11" x14ac:dyDescent="0.25">
      <c r="A143" s="37"/>
      <c r="B143" s="37"/>
      <c r="C143" s="193"/>
      <c r="D143" s="37"/>
      <c r="E143" s="37"/>
      <c r="F143" s="190" t="s">
        <v>13</v>
      </c>
      <c r="G143" s="192">
        <f>SUM(G37:G142)</f>
        <v>1072441.3200000005</v>
      </c>
      <c r="H143" s="192">
        <f>SUM(H37:H142)</f>
        <v>968226.85999999987</v>
      </c>
      <c r="I143" s="192">
        <f>SUM(I37:I142)</f>
        <v>90852.111000000019</v>
      </c>
      <c r="J143" s="192">
        <f>SUM(J37:J142)</f>
        <v>54511.266599999966</v>
      </c>
      <c r="K143" s="190"/>
    </row>
    <row r="144" spans="1:11" x14ac:dyDescent="0.25">
      <c r="A144" s="37"/>
      <c r="B144" s="37"/>
      <c r="C144" s="193"/>
      <c r="D144" s="37"/>
      <c r="E144" s="37"/>
      <c r="F144" s="198" t="s">
        <v>14</v>
      </c>
      <c r="G144" s="199">
        <f>G45+G46+G47+G50+G51+G52+G53+G54+G55+G63+G64+G68+G75+G76+G83+G90+G91+G109+G110+G114+G115+G116+G130+G131</f>
        <v>202844.41000000006</v>
      </c>
      <c r="H144" s="35"/>
      <c r="I144" s="35"/>
      <c r="J144" s="35"/>
      <c r="K144" s="37"/>
    </row>
    <row r="145" spans="1:11" x14ac:dyDescent="0.2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</row>
    <row r="146" spans="1:11" x14ac:dyDescent="0.25">
      <c r="A146" s="37" t="s">
        <v>17</v>
      </c>
      <c r="B146" s="37"/>
      <c r="C146" s="193"/>
      <c r="D146" s="37"/>
      <c r="E146" s="37"/>
      <c r="F146" s="37"/>
      <c r="G146" s="35"/>
      <c r="H146" s="35"/>
      <c r="I146" s="35"/>
      <c r="J146" s="35"/>
      <c r="K146" s="37"/>
    </row>
    <row r="147" spans="1:11" x14ac:dyDescent="0.25">
      <c r="A147" s="37" t="s">
        <v>914</v>
      </c>
      <c r="B147" s="37">
        <v>7774968</v>
      </c>
      <c r="C147" s="193">
        <v>45905</v>
      </c>
      <c r="D147" s="37" t="s">
        <v>12</v>
      </c>
      <c r="E147" s="37" t="s">
        <v>38</v>
      </c>
      <c r="F147" s="37" t="s">
        <v>517</v>
      </c>
      <c r="G147" s="206">
        <v>92879.39</v>
      </c>
      <c r="H147" s="206">
        <v>92879.39</v>
      </c>
      <c r="I147" s="206">
        <v>13931.85</v>
      </c>
      <c r="J147" s="35">
        <f t="shared" ref="J147:J155" si="15">I147*K147</f>
        <v>8359.11</v>
      </c>
      <c r="K147" s="195">
        <v>0.6</v>
      </c>
    </row>
    <row r="148" spans="1:11" x14ac:dyDescent="0.25">
      <c r="A148" s="37" t="s">
        <v>915</v>
      </c>
      <c r="B148" s="37">
        <v>600762130</v>
      </c>
      <c r="C148" s="193">
        <v>45905</v>
      </c>
      <c r="D148" s="37" t="s">
        <v>12</v>
      </c>
      <c r="E148" s="37" t="s">
        <v>38</v>
      </c>
      <c r="F148" s="37" t="s">
        <v>904</v>
      </c>
      <c r="G148" s="206">
        <v>73305.66</v>
      </c>
      <c r="H148" s="206">
        <v>69814.91</v>
      </c>
      <c r="I148" s="206">
        <v>10472.1</v>
      </c>
      <c r="J148" s="35">
        <f t="shared" si="15"/>
        <v>6283.26</v>
      </c>
      <c r="K148" s="195">
        <v>0.6</v>
      </c>
    </row>
    <row r="149" spans="1:11" x14ac:dyDescent="0.25">
      <c r="A149" s="37" t="s">
        <v>915</v>
      </c>
      <c r="B149" s="37">
        <v>600772119</v>
      </c>
      <c r="C149" s="193">
        <v>45905</v>
      </c>
      <c r="D149" s="37" t="s">
        <v>12</v>
      </c>
      <c r="E149" s="37" t="s">
        <v>38</v>
      </c>
      <c r="F149" s="37" t="s">
        <v>904</v>
      </c>
      <c r="G149" s="206">
        <v>60886.46</v>
      </c>
      <c r="H149" s="206">
        <v>57987.1</v>
      </c>
      <c r="I149" s="206">
        <v>8698.0499999999993</v>
      </c>
      <c r="J149" s="35">
        <f t="shared" si="15"/>
        <v>5218.829999999999</v>
      </c>
      <c r="K149" s="195">
        <v>0.6</v>
      </c>
    </row>
    <row r="150" spans="1:11" x14ac:dyDescent="0.25">
      <c r="A150" s="37" t="s">
        <v>886</v>
      </c>
      <c r="B150" s="37">
        <v>7775854</v>
      </c>
      <c r="C150" s="193">
        <v>45906</v>
      </c>
      <c r="D150" s="37" t="s">
        <v>12</v>
      </c>
      <c r="E150" s="37" t="s">
        <v>38</v>
      </c>
      <c r="F150" s="37" t="s">
        <v>886</v>
      </c>
      <c r="G150" s="206">
        <v>102141.85</v>
      </c>
      <c r="H150" s="206">
        <v>102141.85</v>
      </c>
      <c r="I150" s="206">
        <v>15321.15</v>
      </c>
      <c r="J150" s="35">
        <f t="shared" si="15"/>
        <v>9192.6899999999987</v>
      </c>
      <c r="K150" s="195">
        <v>0.6</v>
      </c>
    </row>
    <row r="151" spans="1:11" x14ac:dyDescent="0.25">
      <c r="A151" s="37" t="s">
        <v>290</v>
      </c>
      <c r="B151" s="37">
        <v>5738749</v>
      </c>
      <c r="C151" s="193">
        <v>45901</v>
      </c>
      <c r="D151" s="37" t="s">
        <v>12</v>
      </c>
      <c r="E151" s="37" t="s">
        <v>38</v>
      </c>
      <c r="F151" s="37" t="s">
        <v>290</v>
      </c>
      <c r="G151" s="206">
        <v>22560.07</v>
      </c>
      <c r="H151" s="206">
        <v>22560.07</v>
      </c>
      <c r="I151" s="206">
        <v>3384</v>
      </c>
      <c r="J151" s="35">
        <f t="shared" si="15"/>
        <v>2030.3999999999999</v>
      </c>
      <c r="K151" s="195">
        <v>0.6</v>
      </c>
    </row>
    <row r="152" spans="1:11" x14ac:dyDescent="0.25">
      <c r="A152" s="37" t="s">
        <v>1022</v>
      </c>
      <c r="B152" s="37">
        <v>6142430</v>
      </c>
      <c r="C152" s="193">
        <v>45930</v>
      </c>
      <c r="D152" s="37" t="s">
        <v>12</v>
      </c>
      <c r="E152" s="37" t="s">
        <v>38</v>
      </c>
      <c r="F152" s="37" t="s">
        <v>48</v>
      </c>
      <c r="G152" s="206">
        <v>56058.32</v>
      </c>
      <c r="H152" s="206">
        <v>56058.32</v>
      </c>
      <c r="I152" s="206">
        <v>8408.7000000000007</v>
      </c>
      <c r="J152" s="35">
        <f t="shared" si="15"/>
        <v>5045.22</v>
      </c>
      <c r="K152" s="195">
        <v>0.6</v>
      </c>
    </row>
    <row r="153" spans="1:11" x14ac:dyDescent="0.25">
      <c r="A153" s="37" t="s">
        <v>1036</v>
      </c>
      <c r="B153" s="37">
        <v>600812706</v>
      </c>
      <c r="C153" s="193">
        <v>45929</v>
      </c>
      <c r="D153" s="37" t="s">
        <v>12</v>
      </c>
      <c r="E153" s="37" t="s">
        <v>38</v>
      </c>
      <c r="F153" s="37" t="s">
        <v>1172</v>
      </c>
      <c r="G153" s="206">
        <v>75711.14</v>
      </c>
      <c r="H153" s="206">
        <v>72076.78</v>
      </c>
      <c r="I153" s="206">
        <v>10811.4</v>
      </c>
      <c r="J153" s="35">
        <f t="shared" si="15"/>
        <v>6486.8399999999992</v>
      </c>
      <c r="K153" s="195">
        <v>0.6</v>
      </c>
    </row>
    <row r="154" spans="1:11" x14ac:dyDescent="0.25">
      <c r="A154" s="37" t="s">
        <v>1036</v>
      </c>
      <c r="B154" s="37">
        <v>596701782</v>
      </c>
      <c r="C154" s="193">
        <v>45920</v>
      </c>
      <c r="D154" s="37" t="s">
        <v>12</v>
      </c>
      <c r="E154" s="37" t="s">
        <v>38</v>
      </c>
      <c r="F154" s="37" t="s">
        <v>1173</v>
      </c>
      <c r="G154" s="206">
        <v>5037.25</v>
      </c>
      <c r="H154" s="206">
        <v>4782.9399999999996</v>
      </c>
      <c r="I154" s="206">
        <v>717.3</v>
      </c>
      <c r="J154" s="35">
        <f t="shared" si="15"/>
        <v>430.37999999999994</v>
      </c>
      <c r="K154" s="195">
        <v>0.6</v>
      </c>
    </row>
    <row r="155" spans="1:11" x14ac:dyDescent="0.25">
      <c r="A155" s="37" t="s">
        <v>856</v>
      </c>
      <c r="B155" s="37">
        <v>596701111</v>
      </c>
      <c r="C155" s="193">
        <v>45927</v>
      </c>
      <c r="D155" s="37" t="s">
        <v>12</v>
      </c>
      <c r="E155" s="37" t="s">
        <v>41</v>
      </c>
      <c r="F155" s="37" t="s">
        <v>12</v>
      </c>
      <c r="G155" s="206">
        <v>9401.35</v>
      </c>
      <c r="H155" s="206">
        <v>8925.9599999999991</v>
      </c>
      <c r="I155" s="206">
        <v>1338.75</v>
      </c>
      <c r="J155" s="35">
        <f t="shared" si="15"/>
        <v>803.25</v>
      </c>
      <c r="K155" s="195">
        <v>0.6</v>
      </c>
    </row>
    <row r="156" spans="1:11" x14ac:dyDescent="0.25">
      <c r="A156" s="37" t="s">
        <v>93</v>
      </c>
      <c r="B156" s="37">
        <v>596703924</v>
      </c>
      <c r="C156" s="193">
        <v>45929</v>
      </c>
      <c r="D156" s="37" t="s">
        <v>12</v>
      </c>
      <c r="E156" s="37" t="s">
        <v>41</v>
      </c>
      <c r="F156" s="37" t="s">
        <v>12</v>
      </c>
      <c r="G156" s="206">
        <v>14906.71</v>
      </c>
      <c r="H156" s="206">
        <v>14180.38</v>
      </c>
      <c r="I156" s="206">
        <v>2127</v>
      </c>
      <c r="J156" s="35">
        <f t="shared" ref="J156" si="16">I156*K156</f>
        <v>1276.2</v>
      </c>
      <c r="K156" s="195">
        <v>0.6</v>
      </c>
    </row>
    <row r="157" spans="1:11" x14ac:dyDescent="0.25">
      <c r="A157" s="37"/>
      <c r="B157" s="37"/>
      <c r="C157" s="193"/>
      <c r="D157" s="37"/>
      <c r="E157" s="37"/>
      <c r="F157" s="37"/>
      <c r="G157" s="206"/>
      <c r="H157" s="206"/>
      <c r="I157" s="206"/>
      <c r="J157" s="206"/>
      <c r="K157" s="195"/>
    </row>
    <row r="158" spans="1:11" x14ac:dyDescent="0.25">
      <c r="A158" s="37"/>
      <c r="B158" s="37"/>
      <c r="C158" s="193"/>
      <c r="D158" s="37"/>
      <c r="E158" s="37"/>
      <c r="F158" s="197"/>
      <c r="G158" s="207"/>
      <c r="H158" s="207"/>
      <c r="I158" s="206"/>
      <c r="J158" s="206"/>
      <c r="K158" s="195"/>
    </row>
    <row r="159" spans="1:11" x14ac:dyDescent="0.25">
      <c r="A159" s="37"/>
      <c r="B159" s="37"/>
      <c r="C159" s="193"/>
      <c r="D159" s="37"/>
      <c r="E159" s="37"/>
      <c r="F159" s="190" t="s">
        <v>13</v>
      </c>
      <c r="G159" s="192">
        <f>SUM(G147:G158)</f>
        <v>512888.2</v>
      </c>
      <c r="H159" s="192">
        <f>SUM(H147:H158)</f>
        <v>501407.70000000007</v>
      </c>
      <c r="I159" s="192">
        <f>SUM(I147:I158)</f>
        <v>75210.3</v>
      </c>
      <c r="J159" s="192">
        <f>SUM(J147:J158)</f>
        <v>45126.179999999993</v>
      </c>
      <c r="K159" s="190"/>
    </row>
    <row r="160" spans="1:11" x14ac:dyDescent="0.25">
      <c r="A160" s="37"/>
      <c r="B160" s="37"/>
      <c r="C160" s="193"/>
      <c r="D160" s="37"/>
      <c r="E160" s="37"/>
      <c r="F160" s="198" t="s">
        <v>14</v>
      </c>
      <c r="G160" s="199">
        <f>G155+G156</f>
        <v>24308.059999999998</v>
      </c>
      <c r="H160" s="35"/>
      <c r="I160" s="35"/>
      <c r="J160" s="35"/>
      <c r="K160" s="37"/>
    </row>
    <row r="161" spans="1:11" x14ac:dyDescent="0.25">
      <c r="A161" s="37"/>
      <c r="B161" s="37"/>
      <c r="C161" s="193"/>
      <c r="D161" s="198"/>
      <c r="E161" s="198" t="s">
        <v>18</v>
      </c>
      <c r="F161" s="198"/>
      <c r="G161" s="199">
        <f>G160/6</f>
        <v>4051.3433333333328</v>
      </c>
      <c r="H161" s="35"/>
      <c r="I161" s="35"/>
      <c r="J161" s="35"/>
      <c r="K161" s="37"/>
    </row>
    <row r="162" spans="1:11" x14ac:dyDescent="0.2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</row>
    <row r="163" spans="1:11" x14ac:dyDescent="0.2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</row>
    <row r="164" spans="1:11" x14ac:dyDescent="0.2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</row>
    <row r="165" spans="1:11" x14ac:dyDescent="0.25">
      <c r="A165" s="176" t="s">
        <v>19</v>
      </c>
      <c r="B165" s="208"/>
      <c r="C165" s="209">
        <f>G33</f>
        <v>0</v>
      </c>
      <c r="D165" s="37"/>
      <c r="E165" s="177" t="s">
        <v>20</v>
      </c>
      <c r="F165" s="176"/>
      <c r="G165" s="209">
        <f>G145</f>
        <v>0</v>
      </c>
      <c r="H165" s="176"/>
      <c r="I165" s="176" t="s">
        <v>21</v>
      </c>
      <c r="J165" s="176"/>
      <c r="K165" s="40">
        <f>G160</f>
        <v>24308.059999999998</v>
      </c>
    </row>
    <row r="166" spans="1:11" x14ac:dyDescent="0.25">
      <c r="A166" s="208" t="s">
        <v>22</v>
      </c>
      <c r="B166" s="208"/>
      <c r="C166" s="209">
        <f>G34</f>
        <v>0</v>
      </c>
      <c r="D166" s="211"/>
      <c r="E166" s="212"/>
      <c r="F166" s="212"/>
      <c r="G166" s="208" t="s">
        <v>12</v>
      </c>
      <c r="H166" s="37"/>
      <c r="I166" s="208" t="s">
        <v>23</v>
      </c>
      <c r="J166" s="208"/>
      <c r="K166" s="209">
        <f>G161</f>
        <v>4051.3433333333328</v>
      </c>
    </row>
    <row r="167" spans="1:11" x14ac:dyDescent="0.25">
      <c r="A167" s="208" t="s">
        <v>24</v>
      </c>
      <c r="B167" s="208"/>
      <c r="C167" s="209">
        <f>J32</f>
        <v>36437.717999999986</v>
      </c>
      <c r="D167" s="211"/>
      <c r="E167" s="212" t="s">
        <v>25</v>
      </c>
      <c r="F167" s="212"/>
      <c r="G167" s="209">
        <f>J143</f>
        <v>54511.266599999966</v>
      </c>
      <c r="H167" s="37"/>
      <c r="I167" s="208" t="s">
        <v>26</v>
      </c>
      <c r="J167" s="208"/>
      <c r="K167" s="209">
        <f>J159</f>
        <v>45126.179999999993</v>
      </c>
    </row>
    <row r="168" spans="1:11" x14ac:dyDescent="0.25">
      <c r="A168" s="208"/>
      <c r="B168" s="208"/>
      <c r="C168" s="209"/>
      <c r="D168" s="211"/>
      <c r="E168" s="212"/>
      <c r="F168" s="212"/>
      <c r="G168" s="209"/>
      <c r="H168" s="37"/>
      <c r="I168" s="208"/>
      <c r="J168" s="208"/>
      <c r="K168" s="208"/>
    </row>
    <row r="169" spans="1:11" x14ac:dyDescent="0.25">
      <c r="A169" s="208"/>
      <c r="B169" s="208"/>
      <c r="C169" s="208"/>
      <c r="D169" s="37"/>
      <c r="E169" s="208"/>
      <c r="F169" s="208"/>
      <c r="G169" s="208"/>
      <c r="H169" s="37"/>
      <c r="I169" s="208"/>
      <c r="J169" s="208"/>
      <c r="K169" s="208"/>
    </row>
    <row r="170" spans="1:11" x14ac:dyDescent="0.2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</row>
    <row r="171" spans="1:11" x14ac:dyDescent="0.25">
      <c r="A171" s="177" t="s">
        <v>27</v>
      </c>
      <c r="B171" s="176"/>
      <c r="C171" s="176"/>
      <c r="D171" s="37"/>
      <c r="E171" s="177" t="s">
        <v>28</v>
      </c>
      <c r="F171" s="176"/>
      <c r="G171" s="176"/>
      <c r="H171" s="37"/>
      <c r="I171" s="58" t="s">
        <v>104</v>
      </c>
      <c r="J171" s="58"/>
      <c r="K171" s="58"/>
    </row>
    <row r="172" spans="1:11" x14ac:dyDescent="0.25">
      <c r="A172" s="138"/>
      <c r="B172" s="138"/>
      <c r="C172" s="214"/>
      <c r="D172" s="37"/>
      <c r="E172" s="37"/>
      <c r="F172" s="37"/>
      <c r="G172" s="37"/>
      <c r="H172" s="35"/>
      <c r="I172" s="58" t="s">
        <v>605</v>
      </c>
      <c r="J172" s="218">
        <v>12400</v>
      </c>
      <c r="K172" s="141">
        <v>45936</v>
      </c>
    </row>
    <row r="173" spans="1:11" x14ac:dyDescent="0.25">
      <c r="A173" s="56" t="s">
        <v>29</v>
      </c>
      <c r="B173" s="56"/>
      <c r="C173" s="255">
        <f>J2</f>
        <v>348150.19</v>
      </c>
      <c r="D173" s="211"/>
      <c r="E173" s="212" t="s">
        <v>30</v>
      </c>
      <c r="F173" s="212"/>
      <c r="G173" s="212"/>
      <c r="H173" s="35"/>
      <c r="I173" s="58" t="s">
        <v>1105</v>
      </c>
      <c r="J173" s="218">
        <v>9550</v>
      </c>
      <c r="K173" s="141">
        <v>45936</v>
      </c>
    </row>
    <row r="174" spans="1:11" x14ac:dyDescent="0.25">
      <c r="A174" s="56" t="s">
        <v>31</v>
      </c>
      <c r="B174" s="56"/>
      <c r="C174" s="139">
        <f>C167+G167+K167</f>
        <v>136075.16459999996</v>
      </c>
      <c r="D174" s="211"/>
      <c r="E174" s="212" t="s">
        <v>32</v>
      </c>
      <c r="F174" s="212"/>
      <c r="G174" s="215">
        <f>G35</f>
        <v>0</v>
      </c>
      <c r="H174" s="35"/>
      <c r="I174" s="58" t="s">
        <v>1106</v>
      </c>
      <c r="J174" s="218">
        <v>47800</v>
      </c>
      <c r="K174" s="141">
        <v>45932</v>
      </c>
    </row>
    <row r="175" spans="1:11" x14ac:dyDescent="0.25">
      <c r="A175" s="138" t="s">
        <v>109</v>
      </c>
      <c r="B175" s="139"/>
      <c r="C175" s="139">
        <f>J190</f>
        <v>250654</v>
      </c>
      <c r="D175" s="211"/>
      <c r="E175" s="212" t="s">
        <v>33</v>
      </c>
      <c r="F175" s="212"/>
      <c r="G175" s="215">
        <f>G144</f>
        <v>202844.41000000006</v>
      </c>
      <c r="H175" s="35"/>
      <c r="I175" s="58" t="s">
        <v>1107</v>
      </c>
      <c r="J175" s="218">
        <v>350</v>
      </c>
      <c r="K175" s="141">
        <v>45931</v>
      </c>
    </row>
    <row r="176" spans="1:11" x14ac:dyDescent="0.25">
      <c r="A176" s="138" t="s">
        <v>472</v>
      </c>
      <c r="B176" s="138"/>
      <c r="C176" s="139">
        <f>G139+G140+G141+G142</f>
        <v>20651.879999999997</v>
      </c>
      <c r="D176" s="211"/>
      <c r="E176" s="50" t="s">
        <v>1052</v>
      </c>
      <c r="F176" s="51"/>
      <c r="G176" s="242">
        <v>77.5</v>
      </c>
      <c r="H176" s="35"/>
      <c r="I176" s="58" t="s">
        <v>907</v>
      </c>
      <c r="J176" s="218">
        <v>7500</v>
      </c>
      <c r="K176" s="141">
        <v>45944</v>
      </c>
    </row>
    <row r="177" spans="1:11" x14ac:dyDescent="0.25">
      <c r="A177" s="138" t="s">
        <v>13</v>
      </c>
      <c r="B177" s="138"/>
      <c r="C177" s="139">
        <f>C173+C174+C175+C176</f>
        <v>755531.23459999997</v>
      </c>
      <c r="D177" s="211"/>
      <c r="E177" s="50" t="s">
        <v>1053</v>
      </c>
      <c r="F177" s="56"/>
      <c r="G177" s="185" t="s">
        <v>12</v>
      </c>
      <c r="H177" s="35"/>
      <c r="I177" s="58" t="s">
        <v>907</v>
      </c>
      <c r="J177" s="218">
        <v>8000</v>
      </c>
      <c r="K177" s="141">
        <v>45944</v>
      </c>
    </row>
    <row r="178" spans="1:11" x14ac:dyDescent="0.25">
      <c r="A178" s="37"/>
      <c r="B178" s="37"/>
      <c r="C178" s="37"/>
      <c r="D178" s="211"/>
      <c r="E178" s="50" t="s">
        <v>1054</v>
      </c>
      <c r="F178" s="51"/>
      <c r="G178" s="242">
        <v>7964.08</v>
      </c>
      <c r="H178" s="35"/>
      <c r="I178" s="58" t="s">
        <v>1137</v>
      </c>
      <c r="J178" s="218">
        <v>400</v>
      </c>
      <c r="K178" s="141">
        <v>45943</v>
      </c>
    </row>
    <row r="179" spans="1:11" x14ac:dyDescent="0.25">
      <c r="A179" s="37"/>
      <c r="B179" s="37"/>
      <c r="C179" s="37"/>
      <c r="D179" s="211"/>
      <c r="E179" s="50" t="s">
        <v>1055</v>
      </c>
      <c r="F179" s="56"/>
      <c r="G179" s="185">
        <v>13425.5</v>
      </c>
      <c r="H179" s="35"/>
      <c r="I179" s="58" t="s">
        <v>1127</v>
      </c>
      <c r="J179" s="218">
        <v>11985</v>
      </c>
      <c r="K179" s="141">
        <v>45940</v>
      </c>
    </row>
    <row r="180" spans="1:11" x14ac:dyDescent="0.25">
      <c r="A180" s="37"/>
      <c r="B180" s="37"/>
      <c r="C180" s="37"/>
      <c r="D180" s="211"/>
      <c r="E180" s="50" t="s">
        <v>1056</v>
      </c>
      <c r="F180" s="51"/>
      <c r="G180" s="185">
        <v>3527.65</v>
      </c>
      <c r="H180" s="35"/>
      <c r="I180" s="58" t="s">
        <v>1138</v>
      </c>
      <c r="J180" s="218">
        <v>14612</v>
      </c>
      <c r="K180" s="141">
        <v>45940</v>
      </c>
    </row>
    <row r="181" spans="1:11" x14ac:dyDescent="0.25">
      <c r="A181" s="37"/>
      <c r="B181" s="37"/>
      <c r="C181" s="37"/>
      <c r="D181" s="211"/>
      <c r="E181" s="50" t="s">
        <v>1057</v>
      </c>
      <c r="F181" s="56"/>
      <c r="G181" s="185" t="s">
        <v>12</v>
      </c>
      <c r="H181" s="35"/>
      <c r="I181" s="58" t="s">
        <v>1139</v>
      </c>
      <c r="J181" s="218">
        <v>20220</v>
      </c>
      <c r="K181" s="141">
        <v>45938</v>
      </c>
    </row>
    <row r="182" spans="1:11" x14ac:dyDescent="0.25">
      <c r="A182" s="37"/>
      <c r="B182" s="37"/>
      <c r="C182" s="37"/>
      <c r="D182" s="211"/>
      <c r="E182" s="50" t="s">
        <v>1058</v>
      </c>
      <c r="F182" s="51"/>
      <c r="G182" s="241">
        <v>6450.58</v>
      </c>
      <c r="H182" s="35"/>
      <c r="I182" s="58" t="s">
        <v>1174</v>
      </c>
      <c r="J182" s="218">
        <v>13386</v>
      </c>
      <c r="K182" s="141">
        <v>45945</v>
      </c>
    </row>
    <row r="183" spans="1:11" x14ac:dyDescent="0.25">
      <c r="A183" s="37"/>
      <c r="B183" s="37"/>
      <c r="C183" s="37"/>
      <c r="D183" s="211"/>
      <c r="E183" s="50" t="s">
        <v>1059</v>
      </c>
      <c r="F183" s="56"/>
      <c r="G183" s="241">
        <v>16311.96</v>
      </c>
      <c r="H183" s="35"/>
      <c r="I183" s="58" t="s">
        <v>606</v>
      </c>
      <c r="J183" s="218">
        <v>21500</v>
      </c>
      <c r="K183" s="141">
        <v>45950</v>
      </c>
    </row>
    <row r="184" spans="1:11" x14ac:dyDescent="0.25">
      <c r="A184" s="37"/>
      <c r="B184" s="37"/>
      <c r="C184" s="37"/>
      <c r="D184" s="211"/>
      <c r="E184" s="50" t="s">
        <v>1060</v>
      </c>
      <c r="F184" s="51"/>
      <c r="G184" s="241">
        <v>10437.73</v>
      </c>
      <c r="H184" s="35"/>
      <c r="I184" s="58" t="s">
        <v>517</v>
      </c>
      <c r="J184" s="218">
        <v>1790</v>
      </c>
      <c r="K184" s="141">
        <v>45953</v>
      </c>
    </row>
    <row r="185" spans="1:11" x14ac:dyDescent="0.25">
      <c r="A185" s="37"/>
      <c r="B185" s="37"/>
      <c r="C185" s="37"/>
      <c r="D185" s="211"/>
      <c r="E185" s="50" t="s">
        <v>1061</v>
      </c>
      <c r="F185" s="56"/>
      <c r="G185" s="241">
        <v>2715.13</v>
      </c>
      <c r="H185" s="35"/>
      <c r="I185" s="58" t="s">
        <v>1186</v>
      </c>
      <c r="J185" s="218">
        <v>24750</v>
      </c>
      <c r="K185" s="141">
        <v>45953</v>
      </c>
    </row>
    <row r="186" spans="1:11" x14ac:dyDescent="0.25">
      <c r="A186" s="37"/>
      <c r="B186" s="37"/>
      <c r="C186" s="37"/>
      <c r="D186" s="211"/>
      <c r="E186" s="50" t="s">
        <v>1062</v>
      </c>
      <c r="F186" s="51"/>
      <c r="G186" s="241">
        <f>G34</f>
        <v>0</v>
      </c>
      <c r="H186" s="35"/>
      <c r="I186" s="58" t="s">
        <v>1187</v>
      </c>
      <c r="J186" s="218">
        <v>23500</v>
      </c>
      <c r="K186" s="141">
        <v>45953</v>
      </c>
    </row>
    <row r="187" spans="1:11" x14ac:dyDescent="0.25">
      <c r="A187" s="37"/>
      <c r="B187" s="37"/>
      <c r="C187" s="37"/>
      <c r="D187" s="211"/>
      <c r="E187" s="50" t="s">
        <v>1063</v>
      </c>
      <c r="F187" s="56"/>
      <c r="G187" s="241">
        <f>G161</f>
        <v>4051.3433333333328</v>
      </c>
      <c r="H187" s="35"/>
      <c r="I187" s="58" t="s">
        <v>1196</v>
      </c>
      <c r="J187" s="218">
        <v>11811</v>
      </c>
      <c r="K187" s="141">
        <v>45959</v>
      </c>
    </row>
    <row r="188" spans="1:11" x14ac:dyDescent="0.25">
      <c r="A188" s="37"/>
      <c r="B188" s="37"/>
      <c r="C188" s="37"/>
      <c r="D188" s="211"/>
      <c r="E188" s="50"/>
      <c r="F188" s="56"/>
      <c r="G188" s="241"/>
      <c r="H188" s="35"/>
      <c r="I188" s="58" t="s">
        <v>1125</v>
      </c>
      <c r="J188" s="218">
        <v>21100</v>
      </c>
      <c r="K188" s="141">
        <v>45958</v>
      </c>
    </row>
    <row r="189" spans="1:11" x14ac:dyDescent="0.25">
      <c r="A189" s="37"/>
      <c r="B189" s="37"/>
      <c r="C189" s="37"/>
      <c r="D189" s="211"/>
      <c r="E189" s="56" t="s">
        <v>13</v>
      </c>
      <c r="F189" s="56"/>
      <c r="G189" s="57">
        <f>SUM(G173:G188)</f>
        <v>267805.88333333336</v>
      </c>
      <c r="H189" s="35"/>
      <c r="I189" s="58"/>
      <c r="J189" s="218"/>
      <c r="K189" s="58"/>
    </row>
    <row r="190" spans="1:11" x14ac:dyDescent="0.25">
      <c r="A190" s="37"/>
      <c r="B190" s="37"/>
      <c r="C190" s="37"/>
      <c r="D190" s="211"/>
      <c r="E190" s="253"/>
      <c r="F190" s="253"/>
      <c r="G190" s="253"/>
      <c r="H190" s="35"/>
      <c r="I190" s="58" t="s">
        <v>13</v>
      </c>
      <c r="J190" s="218">
        <f>SUM(J172:J188)</f>
        <v>250654</v>
      </c>
      <c r="K190" s="58"/>
    </row>
    <row r="191" spans="1:11" x14ac:dyDescent="0.25">
      <c r="A191" s="37"/>
      <c r="B191" s="37"/>
      <c r="C191" s="37"/>
      <c r="D191" s="211"/>
      <c r="E191" s="254"/>
      <c r="F191" s="254"/>
      <c r="G191" s="253"/>
      <c r="H191" s="35"/>
      <c r="I191" s="37"/>
      <c r="J191" s="37"/>
      <c r="K191" s="37"/>
    </row>
    <row r="192" spans="1:11" x14ac:dyDescent="0.2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</row>
    <row r="193" spans="1:11" x14ac:dyDescent="0.2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</row>
    <row r="194" spans="1:11" x14ac:dyDescent="0.2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</row>
    <row r="195" spans="1:11" x14ac:dyDescent="0.2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</row>
    <row r="196" spans="1:11" x14ac:dyDescent="0.2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</row>
    <row r="197" spans="1:11" x14ac:dyDescent="0.2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</row>
    <row r="198" spans="1:11" x14ac:dyDescent="0.25">
      <c r="A198" s="37"/>
      <c r="B198" s="37"/>
      <c r="C198" s="133"/>
      <c r="D198" s="133" t="s">
        <v>239</v>
      </c>
      <c r="E198" s="40"/>
      <c r="F198" s="257">
        <f>C177-G189</f>
        <v>487725.35126666661</v>
      </c>
      <c r="G198" s="37"/>
      <c r="H198" s="37"/>
      <c r="I198" s="37"/>
      <c r="J198" s="37"/>
      <c r="K198" s="37"/>
    </row>
    <row r="199" spans="1:11" x14ac:dyDescent="0.25">
      <c r="A199" s="37"/>
      <c r="B199" s="37"/>
      <c r="C199" s="72"/>
      <c r="D199" s="72" t="s">
        <v>1202</v>
      </c>
      <c r="E199" s="72"/>
      <c r="F199" s="259">
        <v>200000</v>
      </c>
      <c r="G199" s="37"/>
      <c r="H199" s="37"/>
      <c r="I199" s="37"/>
      <c r="J199" s="37"/>
      <c r="K199" s="37"/>
    </row>
    <row r="200" spans="1:11" x14ac:dyDescent="0.25">
      <c r="A200" s="72"/>
      <c r="B200" s="72"/>
      <c r="C200" s="72"/>
      <c r="D200" s="72"/>
      <c r="E200" s="72"/>
      <c r="F200" s="256"/>
      <c r="G200" s="72"/>
      <c r="H200" s="72"/>
      <c r="I200" s="72"/>
      <c r="J200" s="72"/>
      <c r="K200" s="72"/>
    </row>
    <row r="201" spans="1:11" x14ac:dyDescent="0.25">
      <c r="A201" s="72"/>
      <c r="B201" s="72"/>
      <c r="C201" s="72"/>
      <c r="D201" s="72" t="s">
        <v>35</v>
      </c>
      <c r="E201" s="72"/>
      <c r="F201" s="258">
        <f>F198-F199</f>
        <v>287725.35126666661</v>
      </c>
      <c r="G201" s="72"/>
      <c r="H201" s="72"/>
      <c r="I201" s="72"/>
      <c r="J201" s="72"/>
      <c r="K201" s="72"/>
    </row>
    <row r="202" spans="1:11" x14ac:dyDescent="0.25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</row>
    <row r="203" spans="1:11" x14ac:dyDescent="0.25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</row>
  </sheetData>
  <conditionalFormatting sqref="E1 E146:E161">
    <cfRule type="cellIs" dxfId="19" priority="11" operator="equal">
      <formula>"K.KART"</formula>
    </cfRule>
    <cfRule type="cellIs" dxfId="18" priority="12" operator="equal">
      <formula>"AÇIK"</formula>
    </cfRule>
  </conditionalFormatting>
  <conditionalFormatting sqref="E3:E144">
    <cfRule type="cellIs" dxfId="17" priority="1" operator="equal">
      <formula>"K.KART"</formula>
    </cfRule>
    <cfRule type="cellIs" dxfId="16" priority="2" operator="equal">
      <formula>"AÇIK"</formula>
    </cfRule>
  </conditionalFormatting>
  <conditionalFormatting sqref="F5">
    <cfRule type="cellIs" dxfId="15" priority="7" operator="equal">
      <formula>"K.KART"</formula>
    </cfRule>
    <cfRule type="cellIs" dxfId="14" priority="8" operator="equal">
      <formula>"AÇIK"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DA1BB-A860-46A4-A0ED-96C1BBF682E3}">
  <dimension ref="A1:K187"/>
  <sheetViews>
    <sheetView topLeftCell="A169" workbookViewId="0">
      <selection activeCell="C164" sqref="C164"/>
    </sheetView>
  </sheetViews>
  <sheetFormatPr defaultRowHeight="15" x14ac:dyDescent="0.25"/>
  <cols>
    <col min="1" max="1" width="25.7109375" customWidth="1"/>
    <col min="2" max="2" width="12.7109375" customWidth="1"/>
    <col min="3" max="3" width="12.42578125" customWidth="1"/>
    <col min="4" max="4" width="13.7109375" customWidth="1"/>
    <col min="5" max="5" width="16.28515625" customWidth="1"/>
    <col min="6" max="6" width="28.7109375" customWidth="1"/>
    <col min="7" max="7" width="19.28515625" customWidth="1"/>
    <col min="8" max="8" width="18.5703125" customWidth="1"/>
    <col min="9" max="9" width="20" customWidth="1"/>
    <col min="10" max="10" width="20.42578125" customWidth="1"/>
    <col min="11" max="11" width="11.85546875" customWidth="1"/>
  </cols>
  <sheetData>
    <row r="1" spans="1:11" x14ac:dyDescent="0.25">
      <c r="A1" s="186" t="s">
        <v>1014</v>
      </c>
      <c r="B1" s="72"/>
      <c r="C1" s="187"/>
      <c r="D1" s="72"/>
      <c r="E1" s="188"/>
      <c r="F1" s="188"/>
      <c r="G1" s="114"/>
      <c r="H1" s="114"/>
      <c r="I1" s="114"/>
      <c r="J1" s="114"/>
      <c r="K1" s="72"/>
    </row>
    <row r="2" spans="1:11" x14ac:dyDescent="0.25">
      <c r="A2" s="189" t="s">
        <v>0</v>
      </c>
      <c r="B2" s="189"/>
      <c r="C2" s="189"/>
      <c r="D2" s="189"/>
      <c r="E2" s="189"/>
      <c r="F2" s="189"/>
      <c r="G2" s="189"/>
      <c r="H2" s="189"/>
      <c r="I2" s="189"/>
      <c r="J2" s="40">
        <v>287725.34999999998</v>
      </c>
      <c r="K2" s="189"/>
    </row>
    <row r="3" spans="1:11" x14ac:dyDescent="0.25">
      <c r="A3" s="190" t="s">
        <v>1</v>
      </c>
      <c r="B3" s="190" t="s">
        <v>2</v>
      </c>
      <c r="C3" s="191" t="s">
        <v>3</v>
      </c>
      <c r="D3" s="190" t="s">
        <v>4</v>
      </c>
      <c r="E3" s="190" t="s">
        <v>5</v>
      </c>
      <c r="F3" s="190" t="s">
        <v>6</v>
      </c>
      <c r="G3" s="192" t="s">
        <v>7</v>
      </c>
      <c r="H3" s="192" t="s">
        <v>8</v>
      </c>
      <c r="I3" s="192" t="s">
        <v>9</v>
      </c>
      <c r="J3" s="192" t="s">
        <v>10</v>
      </c>
      <c r="K3" s="190" t="s">
        <v>11</v>
      </c>
    </row>
    <row r="4" spans="1:11" x14ac:dyDescent="0.25">
      <c r="A4" s="197" t="s">
        <v>1023</v>
      </c>
      <c r="B4" s="37">
        <v>606251596</v>
      </c>
      <c r="C4" s="193">
        <v>45932</v>
      </c>
      <c r="D4" s="37" t="s">
        <v>1024</v>
      </c>
      <c r="E4" s="37" t="s">
        <v>38</v>
      </c>
      <c r="F4" s="37" t="s">
        <v>1023</v>
      </c>
      <c r="G4" s="35">
        <v>20593.810000000001</v>
      </c>
      <c r="H4" s="35">
        <v>19613.13</v>
      </c>
      <c r="I4" s="35">
        <v>2941.98</v>
      </c>
      <c r="J4" s="35">
        <f t="shared" ref="J4:J6" si="0">I4*K4</f>
        <v>1765.1879999999999</v>
      </c>
      <c r="K4" s="195">
        <v>0.6</v>
      </c>
    </row>
    <row r="5" spans="1:11" x14ac:dyDescent="0.25">
      <c r="A5" s="197" t="s">
        <v>1064</v>
      </c>
      <c r="B5" s="37">
        <v>606390515</v>
      </c>
      <c r="C5" s="193">
        <v>45944</v>
      </c>
      <c r="D5" s="37" t="s">
        <v>1065</v>
      </c>
      <c r="E5" s="37" t="s">
        <v>38</v>
      </c>
      <c r="F5" s="37" t="s">
        <v>57</v>
      </c>
      <c r="G5" s="35">
        <v>16427.25</v>
      </c>
      <c r="H5" s="35">
        <v>15645</v>
      </c>
      <c r="I5" s="35">
        <v>2346.7600000000002</v>
      </c>
      <c r="J5" s="35">
        <f t="shared" si="0"/>
        <v>1408.056</v>
      </c>
      <c r="K5" s="195">
        <v>0.6</v>
      </c>
    </row>
    <row r="6" spans="1:11" x14ac:dyDescent="0.25">
      <c r="A6" s="197" t="s">
        <v>1066</v>
      </c>
      <c r="B6" s="37">
        <v>607869258</v>
      </c>
      <c r="C6" s="193">
        <v>45955</v>
      </c>
      <c r="D6" s="196" t="s">
        <v>1067</v>
      </c>
      <c r="E6" s="37" t="s">
        <v>38</v>
      </c>
      <c r="F6" s="197" t="s">
        <v>1066</v>
      </c>
      <c r="G6" s="35">
        <v>15612.29</v>
      </c>
      <c r="H6" s="35">
        <v>14868.84</v>
      </c>
      <c r="I6" s="35">
        <v>2230.33</v>
      </c>
      <c r="J6" s="35">
        <f t="shared" si="0"/>
        <v>1338.1979999999999</v>
      </c>
      <c r="K6" s="195">
        <v>0.6</v>
      </c>
    </row>
    <row r="7" spans="1:11" x14ac:dyDescent="0.25">
      <c r="A7" s="197" t="s">
        <v>1092</v>
      </c>
      <c r="B7" s="37">
        <v>608121786</v>
      </c>
      <c r="C7" s="193">
        <v>45933</v>
      </c>
      <c r="D7" s="196" t="s">
        <v>1093</v>
      </c>
      <c r="E7" s="37" t="s">
        <v>38</v>
      </c>
      <c r="F7" s="37" t="s">
        <v>1092</v>
      </c>
      <c r="G7" s="35">
        <v>21690.9</v>
      </c>
      <c r="H7" s="35">
        <v>20657.990000000002</v>
      </c>
      <c r="I7" s="35">
        <v>3098.7</v>
      </c>
      <c r="J7" s="35">
        <f t="shared" ref="J7:J25" si="1">I7*K7</f>
        <v>1859.2199999999998</v>
      </c>
      <c r="K7" s="195">
        <v>0.6</v>
      </c>
    </row>
    <row r="8" spans="1:11" x14ac:dyDescent="0.25">
      <c r="A8" s="197" t="s">
        <v>699</v>
      </c>
      <c r="B8" s="37">
        <v>606428864</v>
      </c>
      <c r="C8" s="193">
        <v>45939</v>
      </c>
      <c r="D8" s="37" t="s">
        <v>1094</v>
      </c>
      <c r="E8" s="37" t="s">
        <v>38</v>
      </c>
      <c r="F8" s="37" t="s">
        <v>367</v>
      </c>
      <c r="G8" s="35">
        <v>15374.55</v>
      </c>
      <c r="H8" s="35">
        <v>14642.42</v>
      </c>
      <c r="I8" s="35">
        <v>2196.36</v>
      </c>
      <c r="J8" s="35">
        <f t="shared" si="1"/>
        <v>1317.816</v>
      </c>
      <c r="K8" s="195">
        <v>0.6</v>
      </c>
    </row>
    <row r="9" spans="1:11" x14ac:dyDescent="0.25">
      <c r="A9" s="197" t="s">
        <v>1095</v>
      </c>
      <c r="B9" s="37">
        <v>608925348</v>
      </c>
      <c r="C9" s="193">
        <v>45936</v>
      </c>
      <c r="D9" s="37" t="s">
        <v>1096</v>
      </c>
      <c r="E9" s="37" t="s">
        <v>38</v>
      </c>
      <c r="F9" s="37" t="s">
        <v>414</v>
      </c>
      <c r="G9" s="35">
        <v>20471.080000000002</v>
      </c>
      <c r="H9" s="35">
        <v>19496.259999999998</v>
      </c>
      <c r="I9" s="35">
        <v>2924.44</v>
      </c>
      <c r="J9" s="35">
        <f t="shared" si="1"/>
        <v>1754.664</v>
      </c>
      <c r="K9" s="195">
        <v>0.6</v>
      </c>
    </row>
    <row r="10" spans="1:11" x14ac:dyDescent="0.25">
      <c r="A10" s="197" t="s">
        <v>1108</v>
      </c>
      <c r="B10" s="197">
        <v>609359788</v>
      </c>
      <c r="C10" s="204">
        <v>45937</v>
      </c>
      <c r="D10" s="197" t="s">
        <v>1109</v>
      </c>
      <c r="E10" s="197" t="s">
        <v>38</v>
      </c>
      <c r="F10" s="37" t="s">
        <v>1110</v>
      </c>
      <c r="G10" s="35">
        <v>18795.97</v>
      </c>
      <c r="H10" s="35">
        <v>17900.91</v>
      </c>
      <c r="I10" s="35">
        <v>2685.15</v>
      </c>
      <c r="J10" s="35">
        <f t="shared" si="1"/>
        <v>1611.09</v>
      </c>
      <c r="K10" s="195">
        <v>0.6</v>
      </c>
    </row>
    <row r="11" spans="1:11" x14ac:dyDescent="0.25">
      <c r="A11" s="197" t="s">
        <v>226</v>
      </c>
      <c r="B11" s="37">
        <v>606491961</v>
      </c>
      <c r="C11" s="193">
        <v>45939</v>
      </c>
      <c r="D11" s="37" t="s">
        <v>1111</v>
      </c>
      <c r="E11" s="37" t="s">
        <v>38</v>
      </c>
      <c r="F11" s="197" t="s">
        <v>226</v>
      </c>
      <c r="G11" s="35">
        <v>17501.2</v>
      </c>
      <c r="H11" s="35">
        <v>16667.8</v>
      </c>
      <c r="I11" s="35">
        <v>2500.1799999999998</v>
      </c>
      <c r="J11" s="35">
        <f t="shared" si="1"/>
        <v>1500.1079999999999</v>
      </c>
      <c r="K11" s="195">
        <v>0.6</v>
      </c>
    </row>
    <row r="12" spans="1:11" x14ac:dyDescent="0.25">
      <c r="A12" s="197" t="s">
        <v>1117</v>
      </c>
      <c r="B12" s="37">
        <v>609737307</v>
      </c>
      <c r="C12" s="193">
        <v>45938</v>
      </c>
      <c r="D12" s="37" t="s">
        <v>1118</v>
      </c>
      <c r="E12" s="37" t="s">
        <v>38</v>
      </c>
      <c r="F12" s="37" t="s">
        <v>1117</v>
      </c>
      <c r="G12" s="35">
        <v>20223.22</v>
      </c>
      <c r="H12" s="35">
        <v>19260.2</v>
      </c>
      <c r="I12" s="35">
        <v>2889.04</v>
      </c>
      <c r="J12" s="35">
        <f t="shared" si="1"/>
        <v>1733.424</v>
      </c>
      <c r="K12" s="195">
        <v>0.6</v>
      </c>
    </row>
    <row r="13" spans="1:11" x14ac:dyDescent="0.25">
      <c r="A13" s="197" t="s">
        <v>1119</v>
      </c>
      <c r="B13" s="37">
        <v>609974936</v>
      </c>
      <c r="C13" s="193">
        <v>45939</v>
      </c>
      <c r="D13" s="37" t="s">
        <v>1120</v>
      </c>
      <c r="E13" s="37" t="s">
        <v>38</v>
      </c>
      <c r="F13" s="37" t="s">
        <v>1119</v>
      </c>
      <c r="G13" s="35">
        <v>28959.58</v>
      </c>
      <c r="H13" s="35">
        <v>27580.54</v>
      </c>
      <c r="I13" s="35">
        <v>4137.09</v>
      </c>
      <c r="J13" s="35">
        <f t="shared" si="1"/>
        <v>2482.2539999999999</v>
      </c>
      <c r="K13" s="195">
        <v>0.6</v>
      </c>
    </row>
    <row r="14" spans="1:11" x14ac:dyDescent="0.25">
      <c r="A14" s="197" t="s">
        <v>1123</v>
      </c>
      <c r="B14" s="37">
        <v>608583389</v>
      </c>
      <c r="C14" s="193">
        <v>45944</v>
      </c>
      <c r="D14" s="37" t="s">
        <v>1124</v>
      </c>
      <c r="E14" s="37" t="s">
        <v>38</v>
      </c>
      <c r="F14" s="197" t="s">
        <v>1196</v>
      </c>
      <c r="G14" s="35">
        <v>15024.28</v>
      </c>
      <c r="H14" s="35">
        <v>14308.83</v>
      </c>
      <c r="I14" s="35">
        <v>2146.33</v>
      </c>
      <c r="J14" s="35">
        <f t="shared" si="1"/>
        <v>1287.798</v>
      </c>
      <c r="K14" s="195">
        <v>0.6</v>
      </c>
    </row>
    <row r="15" spans="1:11" x14ac:dyDescent="0.25">
      <c r="A15" s="197" t="s">
        <v>1125</v>
      </c>
      <c r="B15" s="37">
        <v>610094832</v>
      </c>
      <c r="C15" s="193">
        <v>45954</v>
      </c>
      <c r="D15" s="37" t="s">
        <v>1126</v>
      </c>
      <c r="E15" s="37" t="s">
        <v>38</v>
      </c>
      <c r="F15" s="197" t="s">
        <v>1125</v>
      </c>
      <c r="G15" s="35">
        <v>20295.34</v>
      </c>
      <c r="H15" s="35">
        <v>19328.900000000001</v>
      </c>
      <c r="I15" s="35">
        <v>2899.34</v>
      </c>
      <c r="J15" s="35">
        <f t="shared" si="1"/>
        <v>1739.604</v>
      </c>
      <c r="K15" s="195">
        <v>0.6</v>
      </c>
    </row>
    <row r="16" spans="1:11" x14ac:dyDescent="0.25">
      <c r="A16" s="197" t="s">
        <v>1131</v>
      </c>
      <c r="B16" s="37">
        <v>608594193</v>
      </c>
      <c r="C16" s="193">
        <v>45948</v>
      </c>
      <c r="D16" s="37" t="s">
        <v>1132</v>
      </c>
      <c r="E16" s="37" t="s">
        <v>38</v>
      </c>
      <c r="F16" s="37" t="s">
        <v>1131</v>
      </c>
      <c r="G16" s="35">
        <v>11695.19</v>
      </c>
      <c r="H16" s="35">
        <v>11138.27</v>
      </c>
      <c r="I16" s="35">
        <v>1670.74</v>
      </c>
      <c r="J16" s="35">
        <f t="shared" si="1"/>
        <v>1002.444</v>
      </c>
      <c r="K16" s="195">
        <v>0.6</v>
      </c>
    </row>
    <row r="17" spans="1:11" x14ac:dyDescent="0.25">
      <c r="A17" s="197" t="s">
        <v>1133</v>
      </c>
      <c r="B17" s="37">
        <v>608587441</v>
      </c>
      <c r="C17" s="193">
        <v>45957</v>
      </c>
      <c r="D17" s="37" t="s">
        <v>1134</v>
      </c>
      <c r="E17" s="37" t="s">
        <v>38</v>
      </c>
      <c r="F17" s="37" t="s">
        <v>1133</v>
      </c>
      <c r="G17" s="35">
        <v>17975.939999999999</v>
      </c>
      <c r="H17" s="35">
        <v>17119.939999999999</v>
      </c>
      <c r="I17" s="35">
        <v>2568</v>
      </c>
      <c r="J17" s="35">
        <f t="shared" si="1"/>
        <v>1540.8</v>
      </c>
      <c r="K17" s="195">
        <v>0.6</v>
      </c>
    </row>
    <row r="18" spans="1:11" x14ac:dyDescent="0.25">
      <c r="A18" s="197" t="s">
        <v>1140</v>
      </c>
      <c r="B18" s="197">
        <v>612004289</v>
      </c>
      <c r="C18" s="204">
        <v>45956</v>
      </c>
      <c r="D18" s="197" t="s">
        <v>1141</v>
      </c>
      <c r="E18" s="197" t="s">
        <v>38</v>
      </c>
      <c r="F18" s="197" t="s">
        <v>414</v>
      </c>
      <c r="G18" s="194">
        <v>20085.28</v>
      </c>
      <c r="H18" s="194">
        <v>19128.84</v>
      </c>
      <c r="I18" s="35">
        <v>2869.33</v>
      </c>
      <c r="J18" s="35">
        <f t="shared" si="1"/>
        <v>1721.598</v>
      </c>
      <c r="K18" s="195">
        <v>0.6</v>
      </c>
    </row>
    <row r="19" spans="1:11" x14ac:dyDescent="0.25">
      <c r="A19" s="197" t="s">
        <v>1153</v>
      </c>
      <c r="B19" s="197">
        <v>609714398</v>
      </c>
      <c r="C19" s="204">
        <v>45948</v>
      </c>
      <c r="D19" s="197" t="s">
        <v>1154</v>
      </c>
      <c r="E19" s="197" t="s">
        <v>38</v>
      </c>
      <c r="F19" s="197" t="s">
        <v>1153</v>
      </c>
      <c r="G19" s="194">
        <v>10845.42</v>
      </c>
      <c r="H19" s="194">
        <v>10328.969999999999</v>
      </c>
      <c r="I19" s="35">
        <v>1549.35</v>
      </c>
      <c r="J19" s="35">
        <f t="shared" si="1"/>
        <v>929.6099999999999</v>
      </c>
      <c r="K19" s="195">
        <v>0.6</v>
      </c>
    </row>
    <row r="20" spans="1:11" x14ac:dyDescent="0.25">
      <c r="A20" s="197" t="s">
        <v>1036</v>
      </c>
      <c r="B20" s="37">
        <v>611015312</v>
      </c>
      <c r="C20" s="193">
        <v>45952</v>
      </c>
      <c r="D20" s="37" t="s">
        <v>1155</v>
      </c>
      <c r="E20" s="37" t="s">
        <v>38</v>
      </c>
      <c r="F20" s="197" t="s">
        <v>1274</v>
      </c>
      <c r="G20" s="35">
        <v>18944.41</v>
      </c>
      <c r="H20" s="35">
        <v>18042.29</v>
      </c>
      <c r="I20" s="35">
        <v>2706.34</v>
      </c>
      <c r="J20" s="35">
        <f t="shared" si="1"/>
        <v>1623.8040000000001</v>
      </c>
      <c r="K20" s="195">
        <v>0.6</v>
      </c>
    </row>
    <row r="21" spans="1:11" x14ac:dyDescent="0.25">
      <c r="A21" s="197" t="s">
        <v>1167</v>
      </c>
      <c r="B21" s="37">
        <v>612509588</v>
      </c>
      <c r="C21" s="193">
        <v>45947</v>
      </c>
      <c r="D21" s="37" t="s">
        <v>1168</v>
      </c>
      <c r="E21" s="37" t="s">
        <v>38</v>
      </c>
      <c r="F21" s="197" t="s">
        <v>1167</v>
      </c>
      <c r="G21" s="35">
        <v>26251.27</v>
      </c>
      <c r="H21" s="35">
        <v>25001.200000000001</v>
      </c>
      <c r="I21" s="35">
        <v>3750.19</v>
      </c>
      <c r="J21" s="35">
        <f t="shared" si="1"/>
        <v>2250.114</v>
      </c>
      <c r="K21" s="195">
        <v>0.6</v>
      </c>
    </row>
    <row r="22" spans="1:11" x14ac:dyDescent="0.25">
      <c r="A22" s="197" t="s">
        <v>337</v>
      </c>
      <c r="B22" s="37">
        <v>613392276</v>
      </c>
      <c r="C22" s="193">
        <v>45951</v>
      </c>
      <c r="D22" s="37" t="s">
        <v>1177</v>
      </c>
      <c r="E22" s="37" t="s">
        <v>38</v>
      </c>
      <c r="F22" s="37" t="s">
        <v>337</v>
      </c>
      <c r="G22" s="35">
        <v>19660.7</v>
      </c>
      <c r="H22" s="35">
        <v>18724.48</v>
      </c>
      <c r="I22" s="35">
        <v>2808.67</v>
      </c>
      <c r="J22" s="35">
        <f t="shared" si="1"/>
        <v>1685.202</v>
      </c>
      <c r="K22" s="195">
        <v>0.6</v>
      </c>
    </row>
    <row r="23" spans="1:11" x14ac:dyDescent="0.25">
      <c r="A23" s="197" t="s">
        <v>1188</v>
      </c>
      <c r="B23" s="37">
        <v>612060042</v>
      </c>
      <c r="C23" s="193">
        <v>45956</v>
      </c>
      <c r="D23" s="37" t="s">
        <v>1189</v>
      </c>
      <c r="E23" s="37" t="s">
        <v>38</v>
      </c>
      <c r="F23" s="197" t="s">
        <v>57</v>
      </c>
      <c r="G23" s="35">
        <v>11399.77</v>
      </c>
      <c r="H23" s="35">
        <v>10856.92</v>
      </c>
      <c r="I23" s="35">
        <v>1628.54</v>
      </c>
      <c r="J23" s="35">
        <f t="shared" si="1"/>
        <v>977.12399999999991</v>
      </c>
      <c r="K23" s="195">
        <v>0.6</v>
      </c>
    </row>
    <row r="24" spans="1:11" x14ac:dyDescent="0.25">
      <c r="A24" s="197" t="s">
        <v>625</v>
      </c>
      <c r="B24" s="37">
        <v>612073811</v>
      </c>
      <c r="C24" s="193">
        <v>45958</v>
      </c>
      <c r="D24" s="37" t="s">
        <v>1190</v>
      </c>
      <c r="E24" s="37" t="s">
        <v>38</v>
      </c>
      <c r="F24" s="197" t="s">
        <v>625</v>
      </c>
      <c r="G24" s="35">
        <v>13716.01</v>
      </c>
      <c r="H24" s="35">
        <v>13062.86</v>
      </c>
      <c r="I24" s="35">
        <v>1959.43</v>
      </c>
      <c r="J24" s="35">
        <f t="shared" si="1"/>
        <v>1175.6579999999999</v>
      </c>
      <c r="K24" s="195">
        <v>0.6</v>
      </c>
    </row>
    <row r="25" spans="1:11" x14ac:dyDescent="0.25">
      <c r="A25" s="197" t="s">
        <v>1191</v>
      </c>
      <c r="B25" s="37">
        <v>612071121</v>
      </c>
      <c r="C25" s="193">
        <v>45957</v>
      </c>
      <c r="D25" s="37" t="s">
        <v>1192</v>
      </c>
      <c r="E25" s="37" t="s">
        <v>38</v>
      </c>
      <c r="F25" s="197" t="s">
        <v>1191</v>
      </c>
      <c r="G25" s="35">
        <v>24525.42</v>
      </c>
      <c r="H25" s="35">
        <v>23357.53</v>
      </c>
      <c r="I25" s="35">
        <v>3503.64</v>
      </c>
      <c r="J25" s="35">
        <f t="shared" si="1"/>
        <v>2102.1839999999997</v>
      </c>
      <c r="K25" s="195">
        <v>0.6</v>
      </c>
    </row>
    <row r="26" spans="1:11" x14ac:dyDescent="0.25">
      <c r="A26" s="245" t="s">
        <v>670</v>
      </c>
      <c r="B26" s="249">
        <v>581048884</v>
      </c>
      <c r="C26" s="250">
        <v>45953</v>
      </c>
      <c r="D26" s="249" t="s">
        <v>671</v>
      </c>
      <c r="E26" s="197" t="s">
        <v>38</v>
      </c>
      <c r="F26" s="147" t="s">
        <v>112</v>
      </c>
      <c r="G26" s="248">
        <v>30248.11</v>
      </c>
      <c r="H26" s="248">
        <v>28807.73</v>
      </c>
      <c r="I26" s="159">
        <v>-4321.17</v>
      </c>
      <c r="J26" s="146">
        <f>I26*K26</f>
        <v>-2592.7019999999998</v>
      </c>
      <c r="K26" s="172">
        <v>0.6</v>
      </c>
    </row>
    <row r="27" spans="1:11" x14ac:dyDescent="0.25">
      <c r="A27" s="245" t="s">
        <v>574</v>
      </c>
      <c r="B27" s="249">
        <v>573810149</v>
      </c>
      <c r="C27" s="250">
        <v>45931</v>
      </c>
      <c r="D27" s="249" t="s">
        <v>575</v>
      </c>
      <c r="E27" s="197" t="s">
        <v>38</v>
      </c>
      <c r="F27" s="147" t="s">
        <v>112</v>
      </c>
      <c r="G27" s="248">
        <v>8821.89</v>
      </c>
      <c r="H27" s="248">
        <v>8401.7900000000009</v>
      </c>
      <c r="I27" s="159">
        <v>-1722.84</v>
      </c>
      <c r="J27" s="146">
        <f t="shared" ref="J27" si="2">I27*K27</f>
        <v>-1033.704</v>
      </c>
      <c r="K27" s="172">
        <v>0.6</v>
      </c>
    </row>
    <row r="28" spans="1:11" x14ac:dyDescent="0.25">
      <c r="A28" s="37"/>
      <c r="B28" s="37"/>
      <c r="C28" s="193"/>
      <c r="D28" s="37"/>
      <c r="E28" s="37"/>
      <c r="F28" s="190" t="s">
        <v>13</v>
      </c>
      <c r="G28" s="192">
        <f>SUM(G4:G27)</f>
        <v>445138.88</v>
      </c>
      <c r="H28" s="192">
        <f>SUM(H4:H27)</f>
        <v>423941.63999999984</v>
      </c>
      <c r="I28" s="192">
        <f>SUM(I4:I27)</f>
        <v>51965.919999999998</v>
      </c>
      <c r="J28" s="192">
        <f>SUM(J4:J27)</f>
        <v>31179.551999999996</v>
      </c>
      <c r="K28" s="190"/>
    </row>
    <row r="29" spans="1:11" x14ac:dyDescent="0.25">
      <c r="A29" s="37"/>
      <c r="B29" s="37"/>
      <c r="C29" s="193"/>
      <c r="D29" s="37"/>
      <c r="E29" s="37"/>
      <c r="F29" s="198" t="s">
        <v>14</v>
      </c>
      <c r="G29" s="199"/>
      <c r="H29" s="35"/>
      <c r="I29" s="35"/>
      <c r="J29" s="35"/>
      <c r="K29" s="37"/>
    </row>
    <row r="30" spans="1:11" x14ac:dyDescent="0.25">
      <c r="A30" s="37"/>
      <c r="B30" s="37"/>
      <c r="C30" s="193"/>
      <c r="D30" s="37"/>
      <c r="E30" s="200"/>
      <c r="F30" s="201" t="s">
        <v>15</v>
      </c>
      <c r="G30" s="202">
        <f>G29/6</f>
        <v>0</v>
      </c>
      <c r="H30" s="35"/>
      <c r="I30" s="35"/>
      <c r="J30" s="35"/>
      <c r="K30" s="37"/>
    </row>
    <row r="31" spans="1:11" x14ac:dyDescent="0.25">
      <c r="A31" s="37"/>
      <c r="B31" s="251" t="s">
        <v>847</v>
      </c>
      <c r="C31" s="252"/>
      <c r="D31" s="244"/>
      <c r="E31" s="244"/>
      <c r="F31" s="37"/>
      <c r="G31" s="35"/>
      <c r="H31" s="35"/>
      <c r="I31" s="35"/>
      <c r="J31" s="35"/>
      <c r="K31" s="37"/>
    </row>
    <row r="32" spans="1:11" x14ac:dyDescent="0.25">
      <c r="A32" s="37" t="s">
        <v>16</v>
      </c>
      <c r="B32" s="37"/>
      <c r="C32" s="193"/>
      <c r="D32" s="37"/>
      <c r="E32" s="37"/>
      <c r="F32" s="37"/>
      <c r="G32" s="35"/>
      <c r="H32" s="35"/>
      <c r="I32" s="35"/>
      <c r="J32" s="35"/>
      <c r="K32" s="37"/>
    </row>
    <row r="33" spans="1:11" x14ac:dyDescent="0.25">
      <c r="A33" s="37" t="s">
        <v>723</v>
      </c>
      <c r="B33" s="37">
        <v>605923797</v>
      </c>
      <c r="C33" s="193">
        <v>45932</v>
      </c>
      <c r="D33" s="37" t="s">
        <v>1010</v>
      </c>
      <c r="E33" s="37" t="s">
        <v>38</v>
      </c>
      <c r="F33" s="37" t="s">
        <v>725</v>
      </c>
      <c r="G33" s="194">
        <v>8858.06</v>
      </c>
      <c r="H33" s="35">
        <v>7908.99</v>
      </c>
      <c r="I33" s="35">
        <v>790.8</v>
      </c>
      <c r="J33" s="35">
        <f t="shared" ref="J33" si="3">I33*K33</f>
        <v>474.47999999999996</v>
      </c>
      <c r="K33" s="195">
        <v>0.6</v>
      </c>
    </row>
    <row r="34" spans="1:11" x14ac:dyDescent="0.25">
      <c r="A34" s="197" t="s">
        <v>1066</v>
      </c>
      <c r="B34" s="197">
        <v>608328399</v>
      </c>
      <c r="C34" s="204">
        <v>45934</v>
      </c>
      <c r="D34" s="197" t="s">
        <v>1067</v>
      </c>
      <c r="E34" s="197" t="s">
        <v>38</v>
      </c>
      <c r="F34" s="197" t="s">
        <v>1066</v>
      </c>
      <c r="G34" s="194">
        <v>11811.02</v>
      </c>
      <c r="H34" s="194">
        <v>10545.55</v>
      </c>
      <c r="I34" s="35">
        <v>1054.5</v>
      </c>
      <c r="J34" s="35">
        <f t="shared" ref="J34:J96" si="4">I34*K34</f>
        <v>632.69999999999993</v>
      </c>
      <c r="K34" s="195">
        <v>0.6</v>
      </c>
    </row>
    <row r="35" spans="1:11" x14ac:dyDescent="0.25">
      <c r="A35" s="197" t="s">
        <v>1068</v>
      </c>
      <c r="B35" s="197">
        <v>606139097</v>
      </c>
      <c r="C35" s="204">
        <v>45931</v>
      </c>
      <c r="D35" s="197" t="s">
        <v>1069</v>
      </c>
      <c r="E35" s="197" t="s">
        <v>41</v>
      </c>
      <c r="F35" s="197" t="s">
        <v>12</v>
      </c>
      <c r="G35" s="35">
        <v>17531.37</v>
      </c>
      <c r="H35" s="35">
        <v>15861.74</v>
      </c>
      <c r="I35" s="35">
        <v>1586.1</v>
      </c>
      <c r="J35" s="35">
        <f t="shared" si="4"/>
        <v>951.65999999999985</v>
      </c>
      <c r="K35" s="195">
        <v>0.6</v>
      </c>
    </row>
    <row r="36" spans="1:11" x14ac:dyDescent="0.25">
      <c r="A36" s="197" t="s">
        <v>1068</v>
      </c>
      <c r="B36" s="197">
        <v>606139097</v>
      </c>
      <c r="C36" s="204">
        <v>45931</v>
      </c>
      <c r="D36" s="197" t="s">
        <v>1069</v>
      </c>
      <c r="E36" s="197" t="s">
        <v>41</v>
      </c>
      <c r="F36" s="37" t="s">
        <v>12</v>
      </c>
      <c r="G36" s="35">
        <v>100</v>
      </c>
      <c r="H36" s="35">
        <v>100</v>
      </c>
      <c r="I36" s="35">
        <v>10</v>
      </c>
      <c r="J36" s="35">
        <f t="shared" si="4"/>
        <v>6</v>
      </c>
      <c r="K36" s="195">
        <v>0.6</v>
      </c>
    </row>
    <row r="37" spans="1:11" x14ac:dyDescent="0.25">
      <c r="A37" s="37" t="s">
        <v>1070</v>
      </c>
      <c r="B37" s="37">
        <v>607825975</v>
      </c>
      <c r="C37" s="193">
        <v>45931</v>
      </c>
      <c r="D37" s="37" t="s">
        <v>1071</v>
      </c>
      <c r="E37" s="37" t="s">
        <v>38</v>
      </c>
      <c r="F37" s="37" t="s">
        <v>57</v>
      </c>
      <c r="G37" s="194">
        <v>17715.689999999999</v>
      </c>
      <c r="H37" s="194">
        <v>15993.33</v>
      </c>
      <c r="I37" s="35">
        <v>1599.3</v>
      </c>
      <c r="J37" s="35">
        <f t="shared" si="4"/>
        <v>959.57999999999993</v>
      </c>
      <c r="K37" s="195">
        <v>0.6</v>
      </c>
    </row>
    <row r="38" spans="1:11" x14ac:dyDescent="0.25">
      <c r="A38" s="37" t="s">
        <v>1070</v>
      </c>
      <c r="B38" s="37">
        <v>607825975</v>
      </c>
      <c r="C38" s="193">
        <v>45931</v>
      </c>
      <c r="D38" s="37" t="s">
        <v>1071</v>
      </c>
      <c r="E38" s="37" t="s">
        <v>38</v>
      </c>
      <c r="F38" s="37" t="s">
        <v>57</v>
      </c>
      <c r="G38" s="194">
        <v>100</v>
      </c>
      <c r="H38" s="194">
        <v>100</v>
      </c>
      <c r="I38" s="35">
        <v>10</v>
      </c>
      <c r="J38" s="35">
        <f t="shared" si="4"/>
        <v>6</v>
      </c>
      <c r="K38" s="195">
        <v>0.6</v>
      </c>
    </row>
    <row r="39" spans="1:11" x14ac:dyDescent="0.25">
      <c r="A39" s="37" t="s">
        <v>1064</v>
      </c>
      <c r="B39" s="197">
        <v>606814867</v>
      </c>
      <c r="C39" s="204">
        <v>45935</v>
      </c>
      <c r="D39" s="197" t="s">
        <v>1065</v>
      </c>
      <c r="E39" s="197" t="s">
        <v>41</v>
      </c>
      <c r="F39" s="197" t="s">
        <v>12</v>
      </c>
      <c r="G39" s="194">
        <v>9650.01</v>
      </c>
      <c r="H39" s="194">
        <v>8616.09</v>
      </c>
      <c r="I39" s="35">
        <v>861.6</v>
      </c>
      <c r="J39" s="35">
        <f t="shared" si="4"/>
        <v>516.96</v>
      </c>
      <c r="K39" s="195">
        <v>0.6</v>
      </c>
    </row>
    <row r="40" spans="1:11" x14ac:dyDescent="0.25">
      <c r="A40" s="37" t="s">
        <v>1072</v>
      </c>
      <c r="B40" s="197">
        <v>606412860</v>
      </c>
      <c r="C40" s="204">
        <v>45937</v>
      </c>
      <c r="D40" s="197" t="s">
        <v>1073</v>
      </c>
      <c r="E40" s="197" t="s">
        <v>38</v>
      </c>
      <c r="F40" s="37" t="s">
        <v>1072</v>
      </c>
      <c r="G40" s="194">
        <v>22179.72</v>
      </c>
      <c r="H40" s="194">
        <v>20023.349999999999</v>
      </c>
      <c r="I40" s="35">
        <v>2002.3</v>
      </c>
      <c r="J40" s="35">
        <f t="shared" si="4"/>
        <v>1201.3799999999999</v>
      </c>
      <c r="K40" s="195">
        <v>0.6</v>
      </c>
    </row>
    <row r="41" spans="1:11" x14ac:dyDescent="0.25">
      <c r="A41" s="37" t="s">
        <v>1072</v>
      </c>
      <c r="B41" s="197">
        <v>606412860</v>
      </c>
      <c r="C41" s="204">
        <v>45937</v>
      </c>
      <c r="D41" s="197" t="s">
        <v>1073</v>
      </c>
      <c r="E41" s="197" t="s">
        <v>38</v>
      </c>
      <c r="F41" s="37" t="s">
        <v>1072</v>
      </c>
      <c r="G41" s="194">
        <v>100</v>
      </c>
      <c r="H41" s="194">
        <v>100</v>
      </c>
      <c r="I41" s="35">
        <v>10</v>
      </c>
      <c r="J41" s="35">
        <f t="shared" si="4"/>
        <v>6</v>
      </c>
      <c r="K41" s="195">
        <v>0.6</v>
      </c>
    </row>
    <row r="42" spans="1:11" x14ac:dyDescent="0.25">
      <c r="A42" s="37" t="s">
        <v>1074</v>
      </c>
      <c r="B42" s="197">
        <v>607881983</v>
      </c>
      <c r="C42" s="204">
        <v>45931</v>
      </c>
      <c r="D42" s="197" t="s">
        <v>1075</v>
      </c>
      <c r="E42" s="197" t="s">
        <v>38</v>
      </c>
      <c r="F42" s="197" t="s">
        <v>57</v>
      </c>
      <c r="G42" s="194">
        <v>25090.07</v>
      </c>
      <c r="H42" s="194">
        <v>22746.5</v>
      </c>
      <c r="I42" s="35">
        <v>2274.6</v>
      </c>
      <c r="J42" s="35">
        <f t="shared" si="4"/>
        <v>1364.76</v>
      </c>
      <c r="K42" s="195">
        <v>0.6</v>
      </c>
    </row>
    <row r="43" spans="1:11" x14ac:dyDescent="0.25">
      <c r="A43" s="37" t="s">
        <v>1074</v>
      </c>
      <c r="B43" s="197">
        <v>607881983</v>
      </c>
      <c r="C43" s="204">
        <v>45931</v>
      </c>
      <c r="D43" s="197" t="s">
        <v>1075</v>
      </c>
      <c r="E43" s="197" t="s">
        <v>38</v>
      </c>
      <c r="F43" s="197" t="s">
        <v>57</v>
      </c>
      <c r="G43" s="194">
        <v>100</v>
      </c>
      <c r="H43" s="194">
        <v>100</v>
      </c>
      <c r="I43" s="35">
        <v>10</v>
      </c>
      <c r="J43" s="35">
        <f t="shared" si="4"/>
        <v>6</v>
      </c>
      <c r="K43" s="195">
        <v>0.6</v>
      </c>
    </row>
    <row r="44" spans="1:11" x14ac:dyDescent="0.25">
      <c r="A44" s="37" t="s">
        <v>1076</v>
      </c>
      <c r="B44" s="37">
        <v>606343334</v>
      </c>
      <c r="C44" s="204">
        <v>45932</v>
      </c>
      <c r="D44" s="197" t="s">
        <v>1077</v>
      </c>
      <c r="E44" s="197" t="s">
        <v>38</v>
      </c>
      <c r="F44" s="197" t="s">
        <v>1078</v>
      </c>
      <c r="G44" s="194">
        <v>22179.71</v>
      </c>
      <c r="H44" s="194">
        <v>20023.349999999999</v>
      </c>
      <c r="I44" s="35">
        <v>2002.3</v>
      </c>
      <c r="J44" s="35">
        <f t="shared" si="4"/>
        <v>1201.3799999999999</v>
      </c>
      <c r="K44" s="195">
        <v>0.6</v>
      </c>
    </row>
    <row r="45" spans="1:11" x14ac:dyDescent="0.25">
      <c r="A45" s="37" t="s">
        <v>1079</v>
      </c>
      <c r="B45" s="37">
        <v>607964994</v>
      </c>
      <c r="C45" s="204">
        <v>45931</v>
      </c>
      <c r="D45" s="197" t="s">
        <v>1080</v>
      </c>
      <c r="E45" s="197" t="s">
        <v>38</v>
      </c>
      <c r="F45" s="197" t="s">
        <v>57</v>
      </c>
      <c r="G45" s="16">
        <v>18453.82</v>
      </c>
      <c r="H45" s="16">
        <v>16696.330000000002</v>
      </c>
      <c r="I45" s="35">
        <v>1669.6</v>
      </c>
      <c r="J45" s="35">
        <f t="shared" si="4"/>
        <v>1001.7599999999999</v>
      </c>
      <c r="K45" s="195">
        <v>0.6</v>
      </c>
    </row>
    <row r="46" spans="1:11" x14ac:dyDescent="0.25">
      <c r="A46" s="37" t="s">
        <v>1081</v>
      </c>
      <c r="B46" s="197">
        <v>606342011</v>
      </c>
      <c r="C46" s="204">
        <v>45932</v>
      </c>
      <c r="D46" s="197" t="s">
        <v>1082</v>
      </c>
      <c r="E46" s="197" t="s">
        <v>38</v>
      </c>
      <c r="F46" s="197" t="s">
        <v>785</v>
      </c>
      <c r="G46" s="194">
        <v>22918.91</v>
      </c>
      <c r="H46" s="194">
        <v>20736.150000000001</v>
      </c>
      <c r="I46" s="35">
        <v>2073.6</v>
      </c>
      <c r="J46" s="35">
        <f t="shared" si="4"/>
        <v>1244.1599999999999</v>
      </c>
      <c r="K46" s="195">
        <v>0.6</v>
      </c>
    </row>
    <row r="47" spans="1:11" x14ac:dyDescent="0.25">
      <c r="A47" s="37" t="s">
        <v>1081</v>
      </c>
      <c r="B47" s="197">
        <v>606342011</v>
      </c>
      <c r="C47" s="204">
        <v>45932</v>
      </c>
      <c r="D47" s="197" t="s">
        <v>1082</v>
      </c>
      <c r="E47" s="197" t="s">
        <v>38</v>
      </c>
      <c r="F47" s="197" t="s">
        <v>785</v>
      </c>
      <c r="G47" s="194">
        <v>100</v>
      </c>
      <c r="H47" s="194">
        <v>100</v>
      </c>
      <c r="I47" s="35">
        <v>10</v>
      </c>
      <c r="J47" s="35">
        <f t="shared" si="4"/>
        <v>6</v>
      </c>
      <c r="K47" s="195">
        <v>0.6</v>
      </c>
    </row>
    <row r="48" spans="1:11" x14ac:dyDescent="0.25">
      <c r="A48" s="37" t="s">
        <v>1083</v>
      </c>
      <c r="B48" s="197">
        <v>608081803</v>
      </c>
      <c r="C48" s="204">
        <v>45932</v>
      </c>
      <c r="D48" s="197" t="s">
        <v>1084</v>
      </c>
      <c r="E48" s="197" t="s">
        <v>38</v>
      </c>
      <c r="F48" s="197" t="s">
        <v>57</v>
      </c>
      <c r="G48" s="194">
        <v>8727.56</v>
      </c>
      <c r="H48" s="194">
        <v>7953.68</v>
      </c>
      <c r="I48" s="35">
        <v>795.3</v>
      </c>
      <c r="J48" s="35">
        <f t="shared" si="4"/>
        <v>477.17999999999995</v>
      </c>
      <c r="K48" s="195">
        <v>0.6</v>
      </c>
    </row>
    <row r="49" spans="1:11" x14ac:dyDescent="0.25">
      <c r="A49" s="37" t="s">
        <v>1083</v>
      </c>
      <c r="B49" s="197">
        <v>608081803</v>
      </c>
      <c r="C49" s="204">
        <v>45932</v>
      </c>
      <c r="D49" s="197" t="s">
        <v>1084</v>
      </c>
      <c r="E49" s="197" t="s">
        <v>38</v>
      </c>
      <c r="F49" s="197" t="s">
        <v>57</v>
      </c>
      <c r="G49" s="194">
        <v>100</v>
      </c>
      <c r="H49" s="194">
        <v>100</v>
      </c>
      <c r="I49" s="35">
        <v>10</v>
      </c>
      <c r="J49" s="35">
        <f t="shared" si="4"/>
        <v>6</v>
      </c>
      <c r="K49" s="195">
        <v>0.6</v>
      </c>
    </row>
    <row r="50" spans="1:11" x14ac:dyDescent="0.25">
      <c r="A50" s="37" t="s">
        <v>1085</v>
      </c>
      <c r="B50" s="197">
        <v>608135262</v>
      </c>
      <c r="C50" s="204">
        <v>45932</v>
      </c>
      <c r="D50" s="197" t="s">
        <v>1086</v>
      </c>
      <c r="E50" s="197" t="s">
        <v>38</v>
      </c>
      <c r="F50" s="37" t="s">
        <v>1085</v>
      </c>
      <c r="G50" s="194">
        <v>8727.5499999999993</v>
      </c>
      <c r="H50" s="194">
        <v>7953.68</v>
      </c>
      <c r="I50" s="35">
        <v>795.3</v>
      </c>
      <c r="J50" s="35">
        <f t="shared" si="4"/>
        <v>477.17999999999995</v>
      </c>
      <c r="K50" s="195">
        <v>0.6</v>
      </c>
    </row>
    <row r="51" spans="1:11" x14ac:dyDescent="0.25">
      <c r="A51" s="37" t="s">
        <v>1085</v>
      </c>
      <c r="B51" s="197">
        <v>608135262</v>
      </c>
      <c r="C51" s="204">
        <v>45932</v>
      </c>
      <c r="D51" s="197" t="s">
        <v>1086</v>
      </c>
      <c r="E51" s="197" t="s">
        <v>38</v>
      </c>
      <c r="F51" s="37" t="s">
        <v>1085</v>
      </c>
      <c r="G51" s="194">
        <v>100</v>
      </c>
      <c r="H51" s="194">
        <v>100</v>
      </c>
      <c r="I51" s="35">
        <v>10</v>
      </c>
      <c r="J51" s="35">
        <f t="shared" si="4"/>
        <v>6</v>
      </c>
      <c r="K51" s="195">
        <v>0.6</v>
      </c>
    </row>
    <row r="52" spans="1:11" x14ac:dyDescent="0.25">
      <c r="A52" s="37" t="s">
        <v>1088</v>
      </c>
      <c r="B52" s="197">
        <v>607979902</v>
      </c>
      <c r="C52" s="204">
        <v>45945</v>
      </c>
      <c r="D52" s="197" t="s">
        <v>1087</v>
      </c>
      <c r="E52" s="197" t="s">
        <v>38</v>
      </c>
      <c r="F52" s="37" t="s">
        <v>1088</v>
      </c>
      <c r="G52" s="194">
        <v>9596.5499999999993</v>
      </c>
      <c r="H52" s="194">
        <v>8700.24</v>
      </c>
      <c r="I52" s="35">
        <v>870</v>
      </c>
      <c r="J52" s="35">
        <f t="shared" si="4"/>
        <v>522</v>
      </c>
      <c r="K52" s="195">
        <v>0.6</v>
      </c>
    </row>
    <row r="53" spans="1:11" x14ac:dyDescent="0.25">
      <c r="A53" s="37" t="s">
        <v>1088</v>
      </c>
      <c r="B53" s="197">
        <v>607979902</v>
      </c>
      <c r="C53" s="204">
        <v>45945</v>
      </c>
      <c r="D53" s="197" t="s">
        <v>1087</v>
      </c>
      <c r="E53" s="197" t="s">
        <v>38</v>
      </c>
      <c r="F53" s="37" t="s">
        <v>1088</v>
      </c>
      <c r="G53" s="194">
        <v>100</v>
      </c>
      <c r="H53" s="194">
        <v>100</v>
      </c>
      <c r="I53" s="35">
        <v>10</v>
      </c>
      <c r="J53" s="35">
        <f t="shared" si="4"/>
        <v>6</v>
      </c>
      <c r="K53" s="195">
        <v>0.6</v>
      </c>
    </row>
    <row r="54" spans="1:11" x14ac:dyDescent="0.25">
      <c r="A54" s="37" t="s">
        <v>1089</v>
      </c>
      <c r="B54" s="197">
        <v>607941565</v>
      </c>
      <c r="C54" s="204">
        <v>45933</v>
      </c>
      <c r="D54" s="197" t="s">
        <v>1090</v>
      </c>
      <c r="E54" s="197" t="s">
        <v>38</v>
      </c>
      <c r="F54" s="197" t="s">
        <v>1091</v>
      </c>
      <c r="G54" s="194">
        <v>18064.900000000001</v>
      </c>
      <c r="H54" s="194">
        <v>16377.52</v>
      </c>
      <c r="I54" s="35">
        <v>1637.7</v>
      </c>
      <c r="J54" s="35">
        <f t="shared" si="4"/>
        <v>982.62</v>
      </c>
      <c r="K54" s="195">
        <v>0.6</v>
      </c>
    </row>
    <row r="55" spans="1:11" x14ac:dyDescent="0.25">
      <c r="A55" s="37" t="s">
        <v>1095</v>
      </c>
      <c r="B55" s="197">
        <v>608949184</v>
      </c>
      <c r="C55" s="204">
        <v>45936</v>
      </c>
      <c r="D55" s="197" t="s">
        <v>1096</v>
      </c>
      <c r="E55" s="197" t="s">
        <v>38</v>
      </c>
      <c r="F55" s="37" t="s">
        <v>57</v>
      </c>
      <c r="G55" s="194">
        <v>13371.04</v>
      </c>
      <c r="H55" s="194">
        <v>11938.43</v>
      </c>
      <c r="I55" s="35">
        <v>1193.8</v>
      </c>
      <c r="J55" s="35">
        <f t="shared" si="4"/>
        <v>716.28</v>
      </c>
      <c r="K55" s="195">
        <v>0.6</v>
      </c>
    </row>
    <row r="56" spans="1:11" x14ac:dyDescent="0.25">
      <c r="A56" s="37" t="s">
        <v>1097</v>
      </c>
      <c r="B56" s="197">
        <v>606354252</v>
      </c>
      <c r="C56" s="204">
        <v>45936</v>
      </c>
      <c r="D56" s="197" t="s">
        <v>1099</v>
      </c>
      <c r="E56" s="197" t="s">
        <v>38</v>
      </c>
      <c r="F56" s="37" t="s">
        <v>1098</v>
      </c>
      <c r="G56" s="194">
        <v>18064.900000000001</v>
      </c>
      <c r="H56" s="194">
        <v>16377.52</v>
      </c>
      <c r="I56" s="35">
        <v>1637.7</v>
      </c>
      <c r="J56" s="35">
        <f t="shared" si="4"/>
        <v>982.62</v>
      </c>
      <c r="K56" s="195">
        <v>0.6</v>
      </c>
    </row>
    <row r="57" spans="1:11" x14ac:dyDescent="0.25">
      <c r="A57" s="37" t="s">
        <v>699</v>
      </c>
      <c r="B57" s="197">
        <v>608645158</v>
      </c>
      <c r="C57" s="204">
        <v>45939</v>
      </c>
      <c r="D57" s="197" t="s">
        <v>1094</v>
      </c>
      <c r="E57" s="197" t="s">
        <v>38</v>
      </c>
      <c r="F57" s="197" t="s">
        <v>367</v>
      </c>
      <c r="G57" s="194">
        <v>8858.06</v>
      </c>
      <c r="H57" s="194">
        <v>7908.98</v>
      </c>
      <c r="I57" s="35">
        <v>790.8</v>
      </c>
      <c r="J57" s="35">
        <f t="shared" si="4"/>
        <v>474.47999999999996</v>
      </c>
      <c r="K57" s="195">
        <v>0.6</v>
      </c>
    </row>
    <row r="58" spans="1:11" x14ac:dyDescent="0.25">
      <c r="A58" s="197" t="s">
        <v>1100</v>
      </c>
      <c r="B58" s="197">
        <v>606427146</v>
      </c>
      <c r="C58" s="204">
        <v>45939</v>
      </c>
      <c r="D58" s="197" t="s">
        <v>1101</v>
      </c>
      <c r="E58" s="197" t="s">
        <v>38</v>
      </c>
      <c r="F58" s="197" t="s">
        <v>1100</v>
      </c>
      <c r="G58" s="194">
        <v>13788.75</v>
      </c>
      <c r="H58" s="194">
        <v>12475.54</v>
      </c>
      <c r="I58" s="35">
        <v>1247.5</v>
      </c>
      <c r="J58" s="35">
        <f t="shared" si="4"/>
        <v>748.5</v>
      </c>
      <c r="K58" s="195">
        <v>0.6</v>
      </c>
    </row>
    <row r="59" spans="1:11" x14ac:dyDescent="0.25">
      <c r="A59" s="197" t="s">
        <v>1100</v>
      </c>
      <c r="B59" s="197">
        <v>606427146</v>
      </c>
      <c r="C59" s="204">
        <v>45939</v>
      </c>
      <c r="D59" s="197" t="s">
        <v>1101</v>
      </c>
      <c r="E59" s="197" t="s">
        <v>38</v>
      </c>
      <c r="F59" s="197" t="s">
        <v>1100</v>
      </c>
      <c r="G59" s="194">
        <v>100</v>
      </c>
      <c r="H59" s="194">
        <v>100</v>
      </c>
      <c r="I59" s="194">
        <v>10</v>
      </c>
      <c r="J59" s="35">
        <f t="shared" si="4"/>
        <v>6</v>
      </c>
      <c r="K59" s="195">
        <v>0.6</v>
      </c>
    </row>
    <row r="60" spans="1:11" x14ac:dyDescent="0.25">
      <c r="A60" s="197" t="s">
        <v>1102</v>
      </c>
      <c r="B60" s="197">
        <v>606409459</v>
      </c>
      <c r="C60" s="204">
        <v>45937</v>
      </c>
      <c r="D60" s="197" t="s">
        <v>1103</v>
      </c>
      <c r="E60" s="197" t="s">
        <v>38</v>
      </c>
      <c r="F60" s="197" t="s">
        <v>1102</v>
      </c>
      <c r="G60" s="194">
        <v>11515.45</v>
      </c>
      <c r="H60" s="194">
        <v>10439.85</v>
      </c>
      <c r="I60" s="194">
        <v>1043.9000000000001</v>
      </c>
      <c r="J60" s="35">
        <f t="shared" si="4"/>
        <v>626.34</v>
      </c>
      <c r="K60" s="195">
        <v>0.6</v>
      </c>
    </row>
    <row r="61" spans="1:11" x14ac:dyDescent="0.25">
      <c r="A61" s="197" t="s">
        <v>1102</v>
      </c>
      <c r="B61" s="197">
        <v>606409459</v>
      </c>
      <c r="C61" s="204">
        <v>45937</v>
      </c>
      <c r="D61" s="197" t="s">
        <v>1103</v>
      </c>
      <c r="E61" s="197" t="s">
        <v>38</v>
      </c>
      <c r="F61" s="197" t="s">
        <v>1102</v>
      </c>
      <c r="G61" s="194">
        <v>100</v>
      </c>
      <c r="H61" s="194">
        <v>100</v>
      </c>
      <c r="I61" s="194">
        <v>10</v>
      </c>
      <c r="J61" s="35">
        <f t="shared" si="4"/>
        <v>6</v>
      </c>
      <c r="K61" s="195">
        <v>0.6</v>
      </c>
    </row>
    <row r="62" spans="1:11" x14ac:dyDescent="0.25">
      <c r="A62" s="197" t="s">
        <v>1104</v>
      </c>
      <c r="B62" s="197">
        <v>609024691</v>
      </c>
      <c r="C62" s="204">
        <v>45936</v>
      </c>
      <c r="D62" s="197" t="s">
        <v>43</v>
      </c>
      <c r="E62" s="197" t="s">
        <v>38</v>
      </c>
      <c r="F62" s="37" t="s">
        <v>57</v>
      </c>
      <c r="G62" s="194">
        <v>8727.56</v>
      </c>
      <c r="H62" s="194">
        <v>7953.68</v>
      </c>
      <c r="I62" s="194">
        <v>795.3</v>
      </c>
      <c r="J62" s="35">
        <f t="shared" si="4"/>
        <v>477.17999999999995</v>
      </c>
      <c r="K62" s="195">
        <v>0.6</v>
      </c>
    </row>
    <row r="63" spans="1:11" x14ac:dyDescent="0.25">
      <c r="A63" s="197" t="s">
        <v>1104</v>
      </c>
      <c r="B63" s="197">
        <v>609024691</v>
      </c>
      <c r="C63" s="204">
        <v>45936</v>
      </c>
      <c r="D63" s="197" t="s">
        <v>43</v>
      </c>
      <c r="E63" s="197" t="s">
        <v>38</v>
      </c>
      <c r="F63" s="37" t="s">
        <v>57</v>
      </c>
      <c r="G63" s="194">
        <v>100</v>
      </c>
      <c r="H63" s="194">
        <v>100</v>
      </c>
      <c r="I63" s="194">
        <v>10</v>
      </c>
      <c r="J63" s="35">
        <f t="shared" si="4"/>
        <v>6</v>
      </c>
      <c r="K63" s="195">
        <v>0.6</v>
      </c>
    </row>
    <row r="64" spans="1:11" x14ac:dyDescent="0.25">
      <c r="A64" s="197" t="s">
        <v>1108</v>
      </c>
      <c r="B64" s="197">
        <v>609363873</v>
      </c>
      <c r="C64" s="204">
        <v>45937</v>
      </c>
      <c r="D64" s="197" t="s">
        <v>1109</v>
      </c>
      <c r="E64" s="197" t="s">
        <v>38</v>
      </c>
      <c r="F64" s="37" t="s">
        <v>1110</v>
      </c>
      <c r="G64" s="194">
        <v>8858.07</v>
      </c>
      <c r="H64" s="194">
        <v>7908.99</v>
      </c>
      <c r="I64" s="194">
        <v>790.8</v>
      </c>
      <c r="J64" s="35">
        <f t="shared" si="4"/>
        <v>474.47999999999996</v>
      </c>
      <c r="K64" s="195">
        <v>0.6</v>
      </c>
    </row>
    <row r="65" spans="1:11" x14ac:dyDescent="0.25">
      <c r="A65" s="197" t="s">
        <v>226</v>
      </c>
      <c r="B65" s="197">
        <v>609386786</v>
      </c>
      <c r="C65" s="204">
        <v>45939</v>
      </c>
      <c r="D65" s="197" t="s">
        <v>1111</v>
      </c>
      <c r="E65" s="197" t="s">
        <v>38</v>
      </c>
      <c r="F65" s="197" t="s">
        <v>57</v>
      </c>
      <c r="G65" s="194">
        <v>11580.07</v>
      </c>
      <c r="H65" s="194">
        <v>10339.02</v>
      </c>
      <c r="I65" s="194">
        <v>1033.9000000000001</v>
      </c>
      <c r="J65" s="35">
        <f t="shared" si="4"/>
        <v>620.34</v>
      </c>
      <c r="K65" s="195">
        <v>0.6</v>
      </c>
    </row>
    <row r="66" spans="1:11" x14ac:dyDescent="0.25">
      <c r="A66" s="197" t="s">
        <v>1068</v>
      </c>
      <c r="B66" s="197">
        <v>608570714</v>
      </c>
      <c r="C66" s="204">
        <v>45940</v>
      </c>
      <c r="D66" s="197" t="s">
        <v>1112</v>
      </c>
      <c r="E66" s="197" t="s">
        <v>38</v>
      </c>
      <c r="F66" s="197" t="s">
        <v>57</v>
      </c>
      <c r="G66" s="194">
        <v>32333.66</v>
      </c>
      <c r="H66" s="194">
        <v>29375.51</v>
      </c>
      <c r="I66" s="194">
        <v>2937.5</v>
      </c>
      <c r="J66" s="35">
        <f t="shared" si="4"/>
        <v>1762.5</v>
      </c>
      <c r="K66" s="195">
        <v>0.6</v>
      </c>
    </row>
    <row r="67" spans="1:11" x14ac:dyDescent="0.25">
      <c r="A67" s="197" t="s">
        <v>1115</v>
      </c>
      <c r="B67" s="197">
        <v>608580404</v>
      </c>
      <c r="C67" s="204">
        <v>45943</v>
      </c>
      <c r="D67" s="197" t="s">
        <v>1116</v>
      </c>
      <c r="E67" s="197" t="s">
        <v>41</v>
      </c>
      <c r="F67" s="37" t="s">
        <v>12</v>
      </c>
      <c r="G67" s="194">
        <v>14475.05</v>
      </c>
      <c r="H67" s="194">
        <v>13096.47</v>
      </c>
      <c r="I67" s="194">
        <v>1309.5999999999999</v>
      </c>
      <c r="J67" s="35">
        <f t="shared" si="4"/>
        <v>785.75999999999988</v>
      </c>
      <c r="K67" s="195">
        <v>0.6</v>
      </c>
    </row>
    <row r="68" spans="1:11" x14ac:dyDescent="0.25">
      <c r="A68" s="197" t="s">
        <v>1117</v>
      </c>
      <c r="B68" s="197">
        <v>609808908</v>
      </c>
      <c r="C68" s="204">
        <v>45938</v>
      </c>
      <c r="D68" s="197" t="s">
        <v>1118</v>
      </c>
      <c r="E68" s="197" t="s">
        <v>38</v>
      </c>
      <c r="F68" s="197" t="s">
        <v>1117</v>
      </c>
      <c r="G68" s="194">
        <v>14025.11</v>
      </c>
      <c r="H68" s="194">
        <v>12522.42</v>
      </c>
      <c r="I68" s="194">
        <v>1252.2</v>
      </c>
      <c r="J68" s="35">
        <f t="shared" si="4"/>
        <v>751.32</v>
      </c>
      <c r="K68" s="195">
        <v>0.6</v>
      </c>
    </row>
    <row r="69" spans="1:11" x14ac:dyDescent="0.25">
      <c r="A69" s="197" t="s">
        <v>1121</v>
      </c>
      <c r="B69" s="197">
        <v>609574416</v>
      </c>
      <c r="C69" s="204">
        <v>45942</v>
      </c>
      <c r="D69" s="197" t="s">
        <v>1122</v>
      </c>
      <c r="E69" s="197" t="s">
        <v>38</v>
      </c>
      <c r="F69" s="197" t="s">
        <v>57</v>
      </c>
      <c r="G69" s="194">
        <v>22579.3</v>
      </c>
      <c r="H69" s="194">
        <v>20384.099999999999</v>
      </c>
      <c r="I69" s="194">
        <v>2038.4</v>
      </c>
      <c r="J69" s="35">
        <f t="shared" si="4"/>
        <v>1223.04</v>
      </c>
      <c r="K69" s="195">
        <v>0.6</v>
      </c>
    </row>
    <row r="70" spans="1:11" x14ac:dyDescent="0.25">
      <c r="A70" s="197" t="s">
        <v>1121</v>
      </c>
      <c r="B70" s="197">
        <v>609574416</v>
      </c>
      <c r="C70" s="204">
        <v>45942</v>
      </c>
      <c r="D70" s="197" t="s">
        <v>1122</v>
      </c>
      <c r="E70" s="197" t="s">
        <v>38</v>
      </c>
      <c r="F70" s="197" t="s">
        <v>57</v>
      </c>
      <c r="G70" s="194">
        <v>100</v>
      </c>
      <c r="H70" s="194">
        <v>100</v>
      </c>
      <c r="I70" s="194">
        <v>10</v>
      </c>
      <c r="J70" s="35">
        <f t="shared" si="4"/>
        <v>6</v>
      </c>
      <c r="K70" s="195">
        <v>0.6</v>
      </c>
    </row>
    <row r="71" spans="1:11" x14ac:dyDescent="0.25">
      <c r="A71" s="197" t="s">
        <v>1119</v>
      </c>
      <c r="B71" s="197">
        <v>609995959</v>
      </c>
      <c r="C71" s="204">
        <v>45939</v>
      </c>
      <c r="D71" s="197" t="s">
        <v>1120</v>
      </c>
      <c r="E71" s="197" t="s">
        <v>38</v>
      </c>
      <c r="F71" s="37" t="s">
        <v>1119</v>
      </c>
      <c r="G71" s="194">
        <v>8858.0499999999993</v>
      </c>
      <c r="H71" s="194">
        <v>7908.99</v>
      </c>
      <c r="I71" s="194">
        <v>790.8</v>
      </c>
      <c r="J71" s="35">
        <f t="shared" si="4"/>
        <v>474.47999999999996</v>
      </c>
      <c r="K71" s="195">
        <v>0.6</v>
      </c>
    </row>
    <row r="72" spans="1:11" x14ac:dyDescent="0.25">
      <c r="A72" s="197" t="s">
        <v>1125</v>
      </c>
      <c r="B72" s="197">
        <v>610376028</v>
      </c>
      <c r="C72" s="204">
        <v>45954</v>
      </c>
      <c r="D72" s="197" t="s">
        <v>1126</v>
      </c>
      <c r="E72" s="197" t="s">
        <v>41</v>
      </c>
      <c r="F72" s="37" t="s">
        <v>12</v>
      </c>
      <c r="G72" s="194">
        <v>18335.12</v>
      </c>
      <c r="H72" s="194">
        <v>16370.65</v>
      </c>
      <c r="I72" s="194">
        <v>1637</v>
      </c>
      <c r="J72" s="35">
        <f t="shared" si="4"/>
        <v>982.19999999999993</v>
      </c>
      <c r="K72" s="195">
        <v>0.6</v>
      </c>
    </row>
    <row r="73" spans="1:11" x14ac:dyDescent="0.25">
      <c r="A73" s="197" t="s">
        <v>1123</v>
      </c>
      <c r="B73" s="197">
        <v>610389608</v>
      </c>
      <c r="C73" s="204">
        <v>45944</v>
      </c>
      <c r="D73" s="197" t="s">
        <v>1124</v>
      </c>
      <c r="E73" s="197" t="s">
        <v>41</v>
      </c>
      <c r="F73" s="37" t="s">
        <v>12</v>
      </c>
      <c r="G73" s="194">
        <v>11811.01</v>
      </c>
      <c r="H73" s="194">
        <v>10545.55</v>
      </c>
      <c r="I73" s="194">
        <v>1054.5</v>
      </c>
      <c r="J73" s="35">
        <f t="shared" si="4"/>
        <v>632.69999999999993</v>
      </c>
      <c r="K73" s="195">
        <v>0.6</v>
      </c>
    </row>
    <row r="74" spans="1:11" x14ac:dyDescent="0.25">
      <c r="A74" s="197" t="s">
        <v>1128</v>
      </c>
      <c r="B74" s="197">
        <v>608579671</v>
      </c>
      <c r="C74" s="204">
        <v>45943</v>
      </c>
      <c r="D74" s="197" t="s">
        <v>1129</v>
      </c>
      <c r="E74" s="197" t="s">
        <v>38</v>
      </c>
      <c r="F74" s="37" t="s">
        <v>1130</v>
      </c>
      <c r="G74" s="194">
        <v>11515.48</v>
      </c>
      <c r="H74" s="194">
        <v>10439.86</v>
      </c>
      <c r="I74" s="194">
        <v>1043.9000000000001</v>
      </c>
      <c r="J74" s="35">
        <f t="shared" si="4"/>
        <v>626.34</v>
      </c>
      <c r="K74" s="195">
        <v>0.6</v>
      </c>
    </row>
    <row r="75" spans="1:11" x14ac:dyDescent="0.25">
      <c r="A75" s="197" t="s">
        <v>1128</v>
      </c>
      <c r="B75" s="197">
        <v>608579671</v>
      </c>
      <c r="C75" s="204">
        <v>45943</v>
      </c>
      <c r="D75" s="197" t="s">
        <v>1129</v>
      </c>
      <c r="E75" s="197" t="s">
        <v>38</v>
      </c>
      <c r="F75" s="37" t="s">
        <v>1130</v>
      </c>
      <c r="G75" s="194">
        <v>100</v>
      </c>
      <c r="H75" s="194">
        <v>100</v>
      </c>
      <c r="I75" s="194">
        <v>10</v>
      </c>
      <c r="J75" s="35">
        <f t="shared" si="4"/>
        <v>6</v>
      </c>
      <c r="K75" s="195">
        <v>0.6</v>
      </c>
    </row>
    <row r="76" spans="1:11" x14ac:dyDescent="0.25">
      <c r="A76" s="197" t="s">
        <v>1131</v>
      </c>
      <c r="B76" s="197">
        <v>610956987</v>
      </c>
      <c r="C76" s="205">
        <v>45945</v>
      </c>
      <c r="D76" s="197" t="s">
        <v>1132</v>
      </c>
      <c r="E76" s="197" t="s">
        <v>38</v>
      </c>
      <c r="F76" s="197" t="s">
        <v>1131</v>
      </c>
      <c r="G76" s="194">
        <v>7382.05</v>
      </c>
      <c r="H76" s="194">
        <v>6591.1</v>
      </c>
      <c r="I76" s="194">
        <v>659.1</v>
      </c>
      <c r="J76" s="35">
        <f t="shared" si="4"/>
        <v>395.46</v>
      </c>
      <c r="K76" s="195">
        <v>0.6</v>
      </c>
    </row>
    <row r="77" spans="1:11" x14ac:dyDescent="0.25">
      <c r="A77" s="197" t="s">
        <v>1133</v>
      </c>
      <c r="B77" s="197">
        <v>611459295</v>
      </c>
      <c r="C77" s="204">
        <v>45945</v>
      </c>
      <c r="D77" s="197" t="s">
        <v>1134</v>
      </c>
      <c r="E77" s="197" t="s">
        <v>38</v>
      </c>
      <c r="F77" s="197" t="s">
        <v>1133</v>
      </c>
      <c r="G77" s="194">
        <v>11580.05</v>
      </c>
      <c r="H77" s="194">
        <v>10339.32</v>
      </c>
      <c r="I77" s="194">
        <v>1033.9000000000001</v>
      </c>
      <c r="J77" s="35">
        <f t="shared" si="4"/>
        <v>620.34</v>
      </c>
      <c r="K77" s="195">
        <v>0.6</v>
      </c>
    </row>
    <row r="78" spans="1:11" x14ac:dyDescent="0.25">
      <c r="A78" s="197" t="s">
        <v>921</v>
      </c>
      <c r="B78" s="197">
        <v>610998389</v>
      </c>
      <c r="C78" s="204">
        <v>45948</v>
      </c>
      <c r="D78" s="197" t="s">
        <v>1135</v>
      </c>
      <c r="E78" s="197" t="s">
        <v>38</v>
      </c>
      <c r="F78" s="37" t="s">
        <v>904</v>
      </c>
      <c r="G78" s="194">
        <v>14172.9</v>
      </c>
      <c r="H78" s="194">
        <v>12970.75</v>
      </c>
      <c r="I78" s="194">
        <v>1297</v>
      </c>
      <c r="J78" s="35">
        <f t="shared" si="4"/>
        <v>778.19999999999993</v>
      </c>
      <c r="K78" s="195">
        <v>0.6</v>
      </c>
    </row>
    <row r="79" spans="1:11" x14ac:dyDescent="0.25">
      <c r="A79" s="197" t="s">
        <v>921</v>
      </c>
      <c r="B79" s="197">
        <v>608581101</v>
      </c>
      <c r="C79" s="204">
        <v>45944</v>
      </c>
      <c r="D79" s="197" t="s">
        <v>1136</v>
      </c>
      <c r="E79" s="197" t="s">
        <v>38</v>
      </c>
      <c r="F79" s="37" t="s">
        <v>904</v>
      </c>
      <c r="G79" s="194">
        <v>16791.04</v>
      </c>
      <c r="H79" s="194">
        <v>15302.19</v>
      </c>
      <c r="I79" s="194">
        <v>1530.2</v>
      </c>
      <c r="J79" s="35">
        <f t="shared" si="4"/>
        <v>918.12</v>
      </c>
      <c r="K79" s="195">
        <v>0.6</v>
      </c>
    </row>
    <row r="80" spans="1:11" x14ac:dyDescent="0.25">
      <c r="A80" s="197" t="s">
        <v>1143</v>
      </c>
      <c r="B80" s="197">
        <v>609681925</v>
      </c>
      <c r="C80" s="204">
        <v>45946</v>
      </c>
      <c r="D80" s="197" t="s">
        <v>1144</v>
      </c>
      <c r="E80" s="197" t="s">
        <v>38</v>
      </c>
      <c r="F80" s="197" t="s">
        <v>57</v>
      </c>
      <c r="G80" s="194">
        <v>13896.05</v>
      </c>
      <c r="H80" s="194">
        <v>12545.04</v>
      </c>
      <c r="I80" s="194">
        <v>1254.5</v>
      </c>
      <c r="J80" s="35">
        <f t="shared" si="4"/>
        <v>752.69999999999993</v>
      </c>
      <c r="K80" s="195">
        <v>0.6</v>
      </c>
    </row>
    <row r="81" spans="1:11" x14ac:dyDescent="0.25">
      <c r="A81" s="197" t="s">
        <v>1143</v>
      </c>
      <c r="B81" s="197">
        <v>609681925</v>
      </c>
      <c r="C81" s="204">
        <v>45946</v>
      </c>
      <c r="D81" s="197" t="s">
        <v>1144</v>
      </c>
      <c r="E81" s="197" t="s">
        <v>38</v>
      </c>
      <c r="F81" s="197" t="s">
        <v>57</v>
      </c>
      <c r="G81" s="194">
        <v>100</v>
      </c>
      <c r="H81" s="194">
        <v>100</v>
      </c>
      <c r="I81" s="194">
        <v>10</v>
      </c>
      <c r="J81" s="35">
        <f t="shared" si="4"/>
        <v>6</v>
      </c>
      <c r="K81" s="195">
        <v>0.6</v>
      </c>
    </row>
    <row r="82" spans="1:11" x14ac:dyDescent="0.25">
      <c r="A82" s="197" t="s">
        <v>1145</v>
      </c>
      <c r="B82" s="197">
        <v>610976593</v>
      </c>
      <c r="C82" s="204">
        <v>45951</v>
      </c>
      <c r="D82" s="197" t="s">
        <v>1146</v>
      </c>
      <c r="E82" s="197" t="s">
        <v>41</v>
      </c>
      <c r="F82" s="37" t="s">
        <v>12</v>
      </c>
      <c r="G82" s="194">
        <v>13896.05</v>
      </c>
      <c r="H82" s="194">
        <v>12545.04</v>
      </c>
      <c r="I82" s="194">
        <v>1254.5</v>
      </c>
      <c r="J82" s="35">
        <f t="shared" si="4"/>
        <v>752.69999999999993</v>
      </c>
      <c r="K82" s="195">
        <v>0.6</v>
      </c>
    </row>
    <row r="83" spans="1:11" x14ac:dyDescent="0.25">
      <c r="A83" s="197" t="s">
        <v>1145</v>
      </c>
      <c r="B83" s="197">
        <v>610976593</v>
      </c>
      <c r="C83" s="204">
        <v>45951</v>
      </c>
      <c r="D83" s="197" t="s">
        <v>1146</v>
      </c>
      <c r="E83" s="197" t="s">
        <v>41</v>
      </c>
      <c r="F83" s="37" t="s">
        <v>12</v>
      </c>
      <c r="G83" s="194">
        <v>100</v>
      </c>
      <c r="H83" s="194">
        <v>100</v>
      </c>
      <c r="I83" s="194">
        <v>10</v>
      </c>
      <c r="J83" s="35">
        <f t="shared" si="4"/>
        <v>6</v>
      </c>
      <c r="K83" s="195">
        <v>0.6</v>
      </c>
    </row>
    <row r="84" spans="1:11" x14ac:dyDescent="0.25">
      <c r="A84" s="197" t="s">
        <v>1147</v>
      </c>
      <c r="B84" s="197">
        <v>611294212</v>
      </c>
      <c r="C84" s="204">
        <v>45953</v>
      </c>
      <c r="D84" s="197" t="s">
        <v>1148</v>
      </c>
      <c r="E84" s="197" t="s">
        <v>38</v>
      </c>
      <c r="F84" s="37" t="s">
        <v>1147</v>
      </c>
      <c r="G84" s="194">
        <v>25775.360000000001</v>
      </c>
      <c r="H84" s="194">
        <v>23489.87</v>
      </c>
      <c r="I84" s="194">
        <v>2348.9</v>
      </c>
      <c r="J84" s="35">
        <f t="shared" si="4"/>
        <v>1409.34</v>
      </c>
      <c r="K84" s="195">
        <v>0.6</v>
      </c>
    </row>
    <row r="85" spans="1:11" x14ac:dyDescent="0.25">
      <c r="A85" s="197" t="s">
        <v>307</v>
      </c>
      <c r="B85" s="197">
        <v>612040296</v>
      </c>
      <c r="C85" s="204">
        <v>45957</v>
      </c>
      <c r="D85" s="197" t="s">
        <v>1149</v>
      </c>
      <c r="E85" s="197" t="s">
        <v>38</v>
      </c>
      <c r="F85" s="37" t="s">
        <v>437</v>
      </c>
      <c r="G85" s="194">
        <v>17649.61</v>
      </c>
      <c r="H85" s="194">
        <v>16152.53</v>
      </c>
      <c r="I85" s="194">
        <v>1615.2</v>
      </c>
      <c r="J85" s="35">
        <f t="shared" si="4"/>
        <v>969.12</v>
      </c>
      <c r="K85" s="195">
        <v>0.6</v>
      </c>
    </row>
    <row r="86" spans="1:11" x14ac:dyDescent="0.25">
      <c r="A86" s="197" t="s">
        <v>307</v>
      </c>
      <c r="B86" s="197">
        <v>612040296</v>
      </c>
      <c r="C86" s="204">
        <v>45957</v>
      </c>
      <c r="D86" s="197" t="s">
        <v>1149</v>
      </c>
      <c r="E86" s="197" t="s">
        <v>38</v>
      </c>
      <c r="F86" s="37" t="s">
        <v>437</v>
      </c>
      <c r="G86" s="194">
        <v>100</v>
      </c>
      <c r="H86" s="194">
        <v>100</v>
      </c>
      <c r="I86" s="194">
        <v>10</v>
      </c>
      <c r="J86" s="35">
        <f t="shared" si="4"/>
        <v>6</v>
      </c>
      <c r="K86" s="195">
        <v>0.6</v>
      </c>
    </row>
    <row r="87" spans="1:11" x14ac:dyDescent="0.25">
      <c r="A87" s="197" t="s">
        <v>1150</v>
      </c>
      <c r="B87" s="197">
        <v>612189640</v>
      </c>
      <c r="C87" s="204">
        <v>45956</v>
      </c>
      <c r="D87" s="197" t="s">
        <v>1141</v>
      </c>
      <c r="E87" s="197" t="s">
        <v>41</v>
      </c>
      <c r="F87" s="37" t="s">
        <v>12</v>
      </c>
      <c r="G87" s="194">
        <v>15285.7</v>
      </c>
      <c r="H87" s="194">
        <v>13730.65</v>
      </c>
      <c r="I87" s="194">
        <v>1373</v>
      </c>
      <c r="J87" s="35">
        <f t="shared" si="4"/>
        <v>823.8</v>
      </c>
      <c r="K87" s="195">
        <v>0.6</v>
      </c>
    </row>
    <row r="88" spans="1:11" x14ac:dyDescent="0.25">
      <c r="A88" s="197" t="s">
        <v>1151</v>
      </c>
      <c r="B88" s="197">
        <v>609693938</v>
      </c>
      <c r="C88" s="204">
        <v>45950</v>
      </c>
      <c r="D88" s="197" t="s">
        <v>1152</v>
      </c>
      <c r="E88" s="197" t="s">
        <v>38</v>
      </c>
      <c r="F88" s="37" t="s">
        <v>57</v>
      </c>
      <c r="G88" s="194">
        <v>9227.5499999999993</v>
      </c>
      <c r="H88" s="194">
        <v>8348.7199999999993</v>
      </c>
      <c r="I88" s="194">
        <v>834.8</v>
      </c>
      <c r="J88" s="35">
        <f t="shared" si="4"/>
        <v>500.87999999999994</v>
      </c>
      <c r="K88" s="195">
        <v>0.6</v>
      </c>
    </row>
    <row r="89" spans="1:11" x14ac:dyDescent="0.25">
      <c r="A89" s="197" t="s">
        <v>1153</v>
      </c>
      <c r="B89" s="197">
        <v>612428453</v>
      </c>
      <c r="C89" s="204">
        <v>45948</v>
      </c>
      <c r="D89" s="197" t="s">
        <v>1154</v>
      </c>
      <c r="E89" s="197" t="s">
        <v>38</v>
      </c>
      <c r="F89" s="197" t="s">
        <v>1153</v>
      </c>
      <c r="G89" s="194">
        <v>7382.06</v>
      </c>
      <c r="H89" s="194">
        <v>6591.1</v>
      </c>
      <c r="I89" s="194">
        <v>659.1</v>
      </c>
      <c r="J89" s="35">
        <f t="shared" si="4"/>
        <v>395.46</v>
      </c>
      <c r="K89" s="195">
        <v>0.6</v>
      </c>
    </row>
    <row r="90" spans="1:11" x14ac:dyDescent="0.25">
      <c r="A90" s="197" t="s">
        <v>1036</v>
      </c>
      <c r="B90" s="197">
        <v>611014148</v>
      </c>
      <c r="C90" s="204">
        <v>45952</v>
      </c>
      <c r="D90" s="197" t="s">
        <v>1155</v>
      </c>
      <c r="E90" s="197" t="s">
        <v>41</v>
      </c>
      <c r="F90" s="197" t="s">
        <v>12</v>
      </c>
      <c r="G90" s="194">
        <v>13317.04</v>
      </c>
      <c r="H90" s="194">
        <v>11993.61</v>
      </c>
      <c r="I90" s="194">
        <v>10199.299999999999</v>
      </c>
      <c r="J90" s="35">
        <f t="shared" si="4"/>
        <v>6119.579999999999</v>
      </c>
      <c r="K90" s="195">
        <v>0.6</v>
      </c>
    </row>
    <row r="91" spans="1:11" x14ac:dyDescent="0.25">
      <c r="A91" s="197" t="s">
        <v>1156</v>
      </c>
      <c r="B91" s="197">
        <v>612469077</v>
      </c>
      <c r="C91" s="204">
        <v>45947</v>
      </c>
      <c r="D91" s="197" t="s">
        <v>1157</v>
      </c>
      <c r="E91" s="197" t="s">
        <v>38</v>
      </c>
      <c r="F91" s="197" t="s">
        <v>1158</v>
      </c>
      <c r="G91" s="194">
        <v>25991.01</v>
      </c>
      <c r="H91" s="194">
        <v>23563.29</v>
      </c>
      <c r="I91" s="194">
        <v>2356.3000000000002</v>
      </c>
      <c r="J91" s="35">
        <f t="shared" si="4"/>
        <v>1413.78</v>
      </c>
      <c r="K91" s="195">
        <v>0.6</v>
      </c>
    </row>
    <row r="92" spans="1:11" x14ac:dyDescent="0.25">
      <c r="A92" s="197" t="s">
        <v>1156</v>
      </c>
      <c r="B92" s="197">
        <v>612469077</v>
      </c>
      <c r="C92" s="204">
        <v>45947</v>
      </c>
      <c r="D92" s="197" t="s">
        <v>1157</v>
      </c>
      <c r="E92" s="197" t="s">
        <v>38</v>
      </c>
      <c r="F92" s="197" t="s">
        <v>1158</v>
      </c>
      <c r="G92" s="194">
        <v>100</v>
      </c>
      <c r="H92" s="194">
        <v>100</v>
      </c>
      <c r="I92" s="194">
        <v>10</v>
      </c>
      <c r="J92" s="35">
        <f t="shared" si="4"/>
        <v>6</v>
      </c>
      <c r="K92" s="195">
        <v>0.6</v>
      </c>
    </row>
    <row r="93" spans="1:11" x14ac:dyDescent="0.25">
      <c r="A93" s="197" t="s">
        <v>921</v>
      </c>
      <c r="B93" s="197">
        <v>612423570</v>
      </c>
      <c r="C93" s="205">
        <v>45953</v>
      </c>
      <c r="D93" s="197" t="s">
        <v>1159</v>
      </c>
      <c r="E93" s="197" t="s">
        <v>38</v>
      </c>
      <c r="F93" s="37" t="s">
        <v>904</v>
      </c>
      <c r="G93" s="194">
        <v>22233.75</v>
      </c>
      <c r="H93" s="194">
        <v>20347.830000000002</v>
      </c>
      <c r="I93" s="194">
        <v>2034.7</v>
      </c>
      <c r="J93" s="35">
        <f t="shared" si="4"/>
        <v>1220.82</v>
      </c>
      <c r="K93" s="195">
        <v>0.6</v>
      </c>
    </row>
    <row r="94" spans="1:11" x14ac:dyDescent="0.25">
      <c r="A94" s="197" t="s">
        <v>886</v>
      </c>
      <c r="B94" s="197">
        <v>611297222</v>
      </c>
      <c r="C94" s="204">
        <v>45954</v>
      </c>
      <c r="D94" s="197" t="s">
        <v>1160</v>
      </c>
      <c r="E94" s="197" t="s">
        <v>38</v>
      </c>
      <c r="F94" s="197" t="s">
        <v>886</v>
      </c>
      <c r="G94" s="194">
        <v>13582.67</v>
      </c>
      <c r="H94" s="194">
        <v>12232.84</v>
      </c>
      <c r="I94" s="194">
        <v>1223.2</v>
      </c>
      <c r="J94" s="35">
        <f t="shared" si="4"/>
        <v>733.92</v>
      </c>
      <c r="K94" s="195">
        <v>0.6</v>
      </c>
    </row>
    <row r="95" spans="1:11" x14ac:dyDescent="0.25">
      <c r="A95" s="197" t="s">
        <v>886</v>
      </c>
      <c r="B95" s="197">
        <v>611297222</v>
      </c>
      <c r="C95" s="204">
        <v>45954</v>
      </c>
      <c r="D95" s="197" t="s">
        <v>1160</v>
      </c>
      <c r="E95" s="197" t="s">
        <v>38</v>
      </c>
      <c r="F95" s="197" t="s">
        <v>886</v>
      </c>
      <c r="G95" s="194">
        <v>100</v>
      </c>
      <c r="H95" s="194">
        <v>100</v>
      </c>
      <c r="I95" s="194">
        <v>10</v>
      </c>
      <c r="J95" s="35">
        <f t="shared" si="4"/>
        <v>6</v>
      </c>
      <c r="K95" s="195">
        <v>0.6</v>
      </c>
    </row>
    <row r="96" spans="1:11" x14ac:dyDescent="0.25">
      <c r="A96" s="197" t="s">
        <v>1161</v>
      </c>
      <c r="B96" s="197">
        <v>609760783</v>
      </c>
      <c r="C96" s="205">
        <v>45948</v>
      </c>
      <c r="D96" s="197" t="s">
        <v>1162</v>
      </c>
      <c r="E96" s="197" t="s">
        <v>38</v>
      </c>
      <c r="F96" s="197" t="s">
        <v>1161</v>
      </c>
      <c r="G96" s="194">
        <v>11189.17</v>
      </c>
      <c r="H96" s="194">
        <v>10144.040000000001</v>
      </c>
      <c r="I96" s="194">
        <v>1014.4</v>
      </c>
      <c r="J96" s="35">
        <f t="shared" si="4"/>
        <v>608.64</v>
      </c>
      <c r="K96" s="195">
        <v>0.6</v>
      </c>
    </row>
    <row r="97" spans="1:11" x14ac:dyDescent="0.25">
      <c r="A97" s="197" t="s">
        <v>1161</v>
      </c>
      <c r="B97" s="197">
        <v>609760783</v>
      </c>
      <c r="C97" s="205">
        <v>45948</v>
      </c>
      <c r="D97" s="197" t="s">
        <v>1162</v>
      </c>
      <c r="E97" s="197" t="s">
        <v>38</v>
      </c>
      <c r="F97" s="197" t="s">
        <v>1161</v>
      </c>
      <c r="G97" s="194">
        <v>100</v>
      </c>
      <c r="H97" s="194">
        <v>100</v>
      </c>
      <c r="I97" s="194">
        <v>10</v>
      </c>
      <c r="J97" s="35">
        <f t="shared" ref="J97:J125" si="5">I97*K97</f>
        <v>6</v>
      </c>
      <c r="K97" s="195">
        <v>0.6</v>
      </c>
    </row>
    <row r="98" spans="1:11" x14ac:dyDescent="0.25">
      <c r="A98" s="197" t="s">
        <v>1163</v>
      </c>
      <c r="B98" s="197">
        <v>612739789</v>
      </c>
      <c r="C98" s="204">
        <v>45961</v>
      </c>
      <c r="D98" s="197" t="s">
        <v>1164</v>
      </c>
      <c r="E98" s="197" t="s">
        <v>38</v>
      </c>
      <c r="F98" s="37" t="s">
        <v>57</v>
      </c>
      <c r="G98" s="194">
        <v>12738.05</v>
      </c>
      <c r="H98" s="194">
        <v>11442.19</v>
      </c>
      <c r="I98" s="194">
        <v>1144.2</v>
      </c>
      <c r="J98" s="35">
        <f t="shared" si="5"/>
        <v>686.52</v>
      </c>
      <c r="K98" s="195">
        <v>0.6</v>
      </c>
    </row>
    <row r="99" spans="1:11" x14ac:dyDescent="0.25">
      <c r="A99" s="37" t="s">
        <v>658</v>
      </c>
      <c r="B99" s="37">
        <v>612151325</v>
      </c>
      <c r="C99" s="193">
        <v>45960</v>
      </c>
      <c r="D99" s="37" t="s">
        <v>1166</v>
      </c>
      <c r="E99" s="37" t="s">
        <v>38</v>
      </c>
      <c r="F99" s="197" t="s">
        <v>57</v>
      </c>
      <c r="G99" s="35">
        <v>7382.06</v>
      </c>
      <c r="H99" s="35">
        <v>6591.1</v>
      </c>
      <c r="I99" s="35">
        <v>659.1</v>
      </c>
      <c r="J99" s="35">
        <f t="shared" si="5"/>
        <v>395.46</v>
      </c>
      <c r="K99" s="195">
        <v>0.6</v>
      </c>
    </row>
    <row r="100" spans="1:11" x14ac:dyDescent="0.25">
      <c r="A100" s="197" t="s">
        <v>1167</v>
      </c>
      <c r="B100" s="197">
        <v>612994719</v>
      </c>
      <c r="C100" s="204">
        <v>45954</v>
      </c>
      <c r="D100" s="197" t="s">
        <v>1168</v>
      </c>
      <c r="E100" s="197" t="s">
        <v>41</v>
      </c>
      <c r="F100" s="197" t="s">
        <v>12</v>
      </c>
      <c r="G100" s="194">
        <v>11811.03</v>
      </c>
      <c r="H100" s="194">
        <v>10545.56</v>
      </c>
      <c r="I100" s="194">
        <v>1054.5</v>
      </c>
      <c r="J100" s="35">
        <f t="shared" si="5"/>
        <v>632.69999999999993</v>
      </c>
      <c r="K100" s="195">
        <v>0.6</v>
      </c>
    </row>
    <row r="101" spans="1:11" x14ac:dyDescent="0.25">
      <c r="A101" s="197" t="s">
        <v>1169</v>
      </c>
      <c r="B101" s="197">
        <v>610977508</v>
      </c>
      <c r="C101" s="204">
        <v>45951</v>
      </c>
      <c r="D101" s="197" t="s">
        <v>1170</v>
      </c>
      <c r="E101" s="197" t="s">
        <v>38</v>
      </c>
      <c r="F101" s="197" t="s">
        <v>1171</v>
      </c>
      <c r="G101" s="194">
        <v>10629.66</v>
      </c>
      <c r="H101" s="194">
        <v>9596.24</v>
      </c>
      <c r="I101" s="194">
        <v>959.6</v>
      </c>
      <c r="J101" s="35">
        <f t="shared" si="5"/>
        <v>575.76</v>
      </c>
      <c r="K101" s="195">
        <v>0.6</v>
      </c>
    </row>
    <row r="102" spans="1:11" x14ac:dyDescent="0.25">
      <c r="A102" s="197" t="s">
        <v>1169</v>
      </c>
      <c r="B102" s="197">
        <v>610977508</v>
      </c>
      <c r="C102" s="204">
        <v>45951</v>
      </c>
      <c r="D102" s="197" t="s">
        <v>1170</v>
      </c>
      <c r="E102" s="197" t="s">
        <v>38</v>
      </c>
      <c r="F102" s="197" t="s">
        <v>1171</v>
      </c>
      <c r="G102" s="194">
        <v>100</v>
      </c>
      <c r="H102" s="194">
        <v>100</v>
      </c>
      <c r="I102" s="194">
        <v>10</v>
      </c>
      <c r="J102" s="35">
        <f t="shared" si="5"/>
        <v>6</v>
      </c>
      <c r="K102" s="195">
        <v>0.6</v>
      </c>
    </row>
    <row r="103" spans="1:11" x14ac:dyDescent="0.25">
      <c r="A103" s="197" t="s">
        <v>1175</v>
      </c>
      <c r="B103" s="197">
        <v>613329339</v>
      </c>
      <c r="C103" s="204">
        <v>45951</v>
      </c>
      <c r="D103" s="197" t="s">
        <v>1176</v>
      </c>
      <c r="E103" s="197" t="s">
        <v>38</v>
      </c>
      <c r="F103" s="197" t="s">
        <v>1175</v>
      </c>
      <c r="G103" s="194">
        <v>15501.24</v>
      </c>
      <c r="H103" s="194">
        <v>13884.32</v>
      </c>
      <c r="I103" s="194">
        <v>1388.4</v>
      </c>
      <c r="J103" s="35">
        <f t="shared" si="5"/>
        <v>833.04000000000008</v>
      </c>
      <c r="K103" s="195">
        <v>0.6</v>
      </c>
    </row>
    <row r="104" spans="1:11" x14ac:dyDescent="0.25">
      <c r="A104" s="197" t="s">
        <v>1175</v>
      </c>
      <c r="B104" s="197">
        <v>613329339</v>
      </c>
      <c r="C104" s="204">
        <v>45951</v>
      </c>
      <c r="D104" s="197" t="s">
        <v>1176</v>
      </c>
      <c r="E104" s="197" t="s">
        <v>38</v>
      </c>
      <c r="F104" s="197" t="s">
        <v>1175</v>
      </c>
      <c r="G104" s="194">
        <v>100</v>
      </c>
      <c r="H104" s="194">
        <v>100</v>
      </c>
      <c r="I104" s="194">
        <v>10</v>
      </c>
      <c r="J104" s="35">
        <f t="shared" si="5"/>
        <v>6</v>
      </c>
      <c r="K104" s="195">
        <v>0.6</v>
      </c>
    </row>
    <row r="105" spans="1:11" x14ac:dyDescent="0.25">
      <c r="A105" s="197" t="s">
        <v>1178</v>
      </c>
      <c r="B105" s="197">
        <v>611807475</v>
      </c>
      <c r="C105" s="204">
        <v>45952</v>
      </c>
      <c r="D105" s="197" t="s">
        <v>1179</v>
      </c>
      <c r="E105" s="197" t="s">
        <v>38</v>
      </c>
      <c r="F105" s="197" t="s">
        <v>57</v>
      </c>
      <c r="G105" s="194">
        <v>13896.05</v>
      </c>
      <c r="H105" s="194">
        <v>12545.04</v>
      </c>
      <c r="I105" s="194">
        <v>1254.5</v>
      </c>
      <c r="J105" s="35">
        <f t="shared" si="5"/>
        <v>752.69999999999993</v>
      </c>
      <c r="K105" s="195">
        <v>0.6</v>
      </c>
    </row>
    <row r="106" spans="1:11" x14ac:dyDescent="0.25">
      <c r="A106" s="197" t="s">
        <v>1178</v>
      </c>
      <c r="B106" s="197">
        <v>611807475</v>
      </c>
      <c r="C106" s="204">
        <v>45952</v>
      </c>
      <c r="D106" s="197" t="s">
        <v>1179</v>
      </c>
      <c r="E106" s="197" t="s">
        <v>38</v>
      </c>
      <c r="F106" s="197" t="s">
        <v>57</v>
      </c>
      <c r="G106" s="194">
        <v>100</v>
      </c>
      <c r="H106" s="194">
        <v>100</v>
      </c>
      <c r="I106" s="194">
        <v>10</v>
      </c>
      <c r="J106" s="35">
        <f t="shared" si="5"/>
        <v>6</v>
      </c>
      <c r="K106" s="195">
        <v>0.6</v>
      </c>
    </row>
    <row r="107" spans="1:11" x14ac:dyDescent="0.25">
      <c r="A107" s="197" t="s">
        <v>337</v>
      </c>
      <c r="B107" s="197">
        <v>613439830</v>
      </c>
      <c r="C107" s="204">
        <v>45951</v>
      </c>
      <c r="D107" s="197" t="s">
        <v>1177</v>
      </c>
      <c r="E107" s="197" t="s">
        <v>38</v>
      </c>
      <c r="F107" s="197" t="s">
        <v>337</v>
      </c>
      <c r="G107" s="194">
        <v>10816.07</v>
      </c>
      <c r="H107" s="194">
        <v>9657.2099999999991</v>
      </c>
      <c r="I107" s="194">
        <v>965.7</v>
      </c>
      <c r="J107" s="35">
        <f t="shared" si="5"/>
        <v>579.41999999999996</v>
      </c>
      <c r="K107" s="195">
        <v>0.6</v>
      </c>
    </row>
    <row r="108" spans="1:11" x14ac:dyDescent="0.25">
      <c r="A108" s="197" t="s">
        <v>1180</v>
      </c>
      <c r="B108" s="197">
        <v>611302429</v>
      </c>
      <c r="C108" s="204">
        <v>45955</v>
      </c>
      <c r="D108" s="197" t="s">
        <v>1181</v>
      </c>
      <c r="E108" s="197" t="s">
        <v>38</v>
      </c>
      <c r="F108" s="197" t="s">
        <v>1182</v>
      </c>
      <c r="G108" s="194">
        <v>11958.38</v>
      </c>
      <c r="H108" s="194">
        <v>10861.67</v>
      </c>
      <c r="I108" s="194">
        <v>10086</v>
      </c>
      <c r="J108" s="35">
        <f t="shared" si="5"/>
        <v>6051.5999999999995</v>
      </c>
      <c r="K108" s="195">
        <v>0.6</v>
      </c>
    </row>
    <row r="109" spans="1:11" x14ac:dyDescent="0.25">
      <c r="A109" s="197" t="s">
        <v>1183</v>
      </c>
      <c r="B109" s="197">
        <v>611296399</v>
      </c>
      <c r="C109" s="204">
        <v>45954</v>
      </c>
      <c r="D109" s="197" t="s">
        <v>1184</v>
      </c>
      <c r="E109" s="197" t="s">
        <v>38</v>
      </c>
      <c r="F109" s="197" t="s">
        <v>1183</v>
      </c>
      <c r="G109" s="194">
        <v>15633.06</v>
      </c>
      <c r="H109" s="194">
        <v>14199.33</v>
      </c>
      <c r="I109" s="194">
        <v>1419.9</v>
      </c>
      <c r="J109" s="35">
        <f t="shared" si="5"/>
        <v>851.94</v>
      </c>
      <c r="K109" s="195">
        <v>0.6</v>
      </c>
    </row>
    <row r="110" spans="1:11" x14ac:dyDescent="0.25">
      <c r="A110" s="197" t="s">
        <v>1183</v>
      </c>
      <c r="B110" s="197">
        <v>611296399</v>
      </c>
      <c r="C110" s="204">
        <v>45954</v>
      </c>
      <c r="D110" s="197" t="s">
        <v>1184</v>
      </c>
      <c r="E110" s="197" t="s">
        <v>38</v>
      </c>
      <c r="F110" s="197" t="s">
        <v>1183</v>
      </c>
      <c r="G110" s="194">
        <v>100</v>
      </c>
      <c r="H110" s="194">
        <v>100</v>
      </c>
      <c r="I110" s="194">
        <v>10</v>
      </c>
      <c r="J110" s="35">
        <f t="shared" si="5"/>
        <v>6</v>
      </c>
      <c r="K110" s="195">
        <v>0.6</v>
      </c>
    </row>
    <row r="111" spans="1:11" x14ac:dyDescent="0.25">
      <c r="A111" s="197" t="s">
        <v>1188</v>
      </c>
      <c r="B111" s="197">
        <v>614570474</v>
      </c>
      <c r="C111" s="204">
        <v>45956</v>
      </c>
      <c r="D111" s="197" t="s">
        <v>1189</v>
      </c>
      <c r="E111" s="197" t="s">
        <v>41</v>
      </c>
      <c r="F111" s="197" t="s">
        <v>12</v>
      </c>
      <c r="G111" s="194">
        <v>8858.07</v>
      </c>
      <c r="H111" s="194">
        <v>7908.99</v>
      </c>
      <c r="I111" s="194">
        <v>790.8</v>
      </c>
      <c r="J111" s="35">
        <f t="shared" si="5"/>
        <v>474.47999999999996</v>
      </c>
      <c r="K111" s="195">
        <v>0.6</v>
      </c>
    </row>
    <row r="112" spans="1:11" x14ac:dyDescent="0.25">
      <c r="A112" s="197" t="s">
        <v>1191</v>
      </c>
      <c r="B112" s="197">
        <v>614685714</v>
      </c>
      <c r="C112" s="204">
        <v>45958</v>
      </c>
      <c r="D112" s="197" t="s">
        <v>1192</v>
      </c>
      <c r="E112" s="197" t="s">
        <v>38</v>
      </c>
      <c r="F112" s="197" t="s">
        <v>1191</v>
      </c>
      <c r="G112" s="194">
        <v>6893.98</v>
      </c>
      <c r="H112" s="194">
        <v>6155.33</v>
      </c>
      <c r="I112" s="194">
        <v>615.55550000000005</v>
      </c>
      <c r="J112" s="35">
        <f t="shared" si="5"/>
        <v>369.33330000000001</v>
      </c>
      <c r="K112" s="195">
        <v>0.6</v>
      </c>
    </row>
    <row r="113" spans="1:11" x14ac:dyDescent="0.25">
      <c r="A113" s="197" t="s">
        <v>1193</v>
      </c>
      <c r="B113" s="197">
        <v>612449514</v>
      </c>
      <c r="C113" s="204">
        <v>45961</v>
      </c>
      <c r="D113" s="197" t="s">
        <v>1194</v>
      </c>
      <c r="E113" s="197" t="s">
        <v>38</v>
      </c>
      <c r="F113" s="197" t="s">
        <v>1193</v>
      </c>
      <c r="G113" s="194">
        <v>18933.88</v>
      </c>
      <c r="H113" s="194">
        <v>17197.45</v>
      </c>
      <c r="I113" s="194">
        <v>1719.7</v>
      </c>
      <c r="J113" s="35">
        <f t="shared" si="5"/>
        <v>1031.82</v>
      </c>
      <c r="K113" s="195">
        <v>0.6</v>
      </c>
    </row>
    <row r="114" spans="1:11" x14ac:dyDescent="0.25">
      <c r="A114" s="197" t="s">
        <v>1193</v>
      </c>
      <c r="B114" s="197">
        <v>612449514</v>
      </c>
      <c r="C114" s="204">
        <v>45961</v>
      </c>
      <c r="D114" s="197" t="s">
        <v>1194</v>
      </c>
      <c r="E114" s="197" t="s">
        <v>38</v>
      </c>
      <c r="F114" s="197" t="s">
        <v>1193</v>
      </c>
      <c r="G114" s="194">
        <v>100</v>
      </c>
      <c r="H114" s="194">
        <v>100</v>
      </c>
      <c r="I114" s="194">
        <v>10</v>
      </c>
      <c r="J114" s="35">
        <f t="shared" si="5"/>
        <v>6</v>
      </c>
      <c r="K114" s="195">
        <v>0.6</v>
      </c>
    </row>
    <row r="115" spans="1:11" x14ac:dyDescent="0.25">
      <c r="A115" s="197" t="s">
        <v>625</v>
      </c>
      <c r="B115" s="197">
        <v>614895709</v>
      </c>
      <c r="C115" s="204">
        <v>45957</v>
      </c>
      <c r="D115" s="197" t="s">
        <v>1190</v>
      </c>
      <c r="E115" s="197" t="s">
        <v>38</v>
      </c>
      <c r="F115" s="197" t="s">
        <v>625</v>
      </c>
      <c r="G115" s="194">
        <v>8022.06</v>
      </c>
      <c r="H115" s="194">
        <v>7162.56</v>
      </c>
      <c r="I115" s="194">
        <v>716.2</v>
      </c>
      <c r="J115" s="35">
        <f t="shared" si="5"/>
        <v>429.72</v>
      </c>
      <c r="K115" s="195">
        <v>0.6</v>
      </c>
    </row>
    <row r="116" spans="1:11" x14ac:dyDescent="0.25">
      <c r="A116" s="197" t="s">
        <v>351</v>
      </c>
      <c r="B116" s="197">
        <v>614916585</v>
      </c>
      <c r="C116" s="204">
        <v>45957</v>
      </c>
      <c r="D116" s="197" t="s">
        <v>1195</v>
      </c>
      <c r="E116" s="197" t="s">
        <v>38</v>
      </c>
      <c r="F116" s="197" t="s">
        <v>351</v>
      </c>
      <c r="G116" s="194">
        <v>19930.189999999999</v>
      </c>
      <c r="H116" s="194">
        <v>18102.349999999999</v>
      </c>
      <c r="I116" s="194">
        <v>1810.2</v>
      </c>
      <c r="J116" s="35">
        <f t="shared" si="5"/>
        <v>1086.1199999999999</v>
      </c>
      <c r="K116" s="195">
        <v>0.6</v>
      </c>
    </row>
    <row r="117" spans="1:11" x14ac:dyDescent="0.25">
      <c r="A117" s="197" t="s">
        <v>1197</v>
      </c>
      <c r="B117" s="197">
        <v>612152769</v>
      </c>
      <c r="C117" s="204">
        <v>45960</v>
      </c>
      <c r="D117" s="197" t="s">
        <v>1198</v>
      </c>
      <c r="E117" s="197" t="s">
        <v>38</v>
      </c>
      <c r="F117" s="197" t="s">
        <v>57</v>
      </c>
      <c r="G117" s="194">
        <v>14173.23</v>
      </c>
      <c r="H117" s="194">
        <v>12795.28</v>
      </c>
      <c r="I117" s="194">
        <v>1279.5</v>
      </c>
      <c r="J117" s="35">
        <f t="shared" si="5"/>
        <v>767.69999999999993</v>
      </c>
      <c r="K117" s="195">
        <v>0.6</v>
      </c>
    </row>
    <row r="118" spans="1:11" x14ac:dyDescent="0.25">
      <c r="A118" s="197" t="s">
        <v>1197</v>
      </c>
      <c r="B118" s="197">
        <v>612152769</v>
      </c>
      <c r="C118" s="204">
        <v>45960</v>
      </c>
      <c r="D118" s="197" t="s">
        <v>1198</v>
      </c>
      <c r="E118" s="197" t="s">
        <v>38</v>
      </c>
      <c r="F118" s="197" t="s">
        <v>57</v>
      </c>
      <c r="G118" s="194">
        <v>100</v>
      </c>
      <c r="H118" s="194">
        <v>100</v>
      </c>
      <c r="I118" s="194">
        <v>10</v>
      </c>
      <c r="J118" s="35">
        <f t="shared" si="5"/>
        <v>6</v>
      </c>
      <c r="K118" s="195">
        <v>0.6</v>
      </c>
    </row>
    <row r="119" spans="1:11" x14ac:dyDescent="0.25">
      <c r="A119" s="197" t="s">
        <v>351</v>
      </c>
      <c r="B119" s="197">
        <v>612465824</v>
      </c>
      <c r="C119" s="204">
        <v>45961</v>
      </c>
      <c r="D119" s="197" t="s">
        <v>1199</v>
      </c>
      <c r="E119" s="197" t="s">
        <v>38</v>
      </c>
      <c r="F119" s="197" t="s">
        <v>351</v>
      </c>
      <c r="G119" s="194">
        <v>16316.85</v>
      </c>
      <c r="H119" s="194">
        <v>14870.04</v>
      </c>
      <c r="I119" s="194">
        <v>1487</v>
      </c>
      <c r="J119" s="35">
        <f t="shared" si="5"/>
        <v>892.19999999999993</v>
      </c>
      <c r="K119" s="195">
        <v>0.6</v>
      </c>
    </row>
    <row r="120" spans="1:11" x14ac:dyDescent="0.25">
      <c r="A120" s="197" t="s">
        <v>351</v>
      </c>
      <c r="B120" s="197">
        <v>612465824</v>
      </c>
      <c r="C120" s="204">
        <v>45961</v>
      </c>
      <c r="D120" s="197" t="s">
        <v>1199</v>
      </c>
      <c r="E120" s="197" t="s">
        <v>38</v>
      </c>
      <c r="F120" s="197" t="s">
        <v>351</v>
      </c>
      <c r="G120" s="194">
        <v>100</v>
      </c>
      <c r="H120" s="194">
        <v>100</v>
      </c>
      <c r="I120" s="194">
        <v>10</v>
      </c>
      <c r="J120" s="35">
        <f t="shared" si="5"/>
        <v>6</v>
      </c>
      <c r="K120" s="195">
        <v>0.6</v>
      </c>
    </row>
    <row r="121" spans="1:11" x14ac:dyDescent="0.25">
      <c r="A121" s="197" t="s">
        <v>351</v>
      </c>
      <c r="B121" s="197">
        <v>612466700</v>
      </c>
      <c r="C121" s="204">
        <v>45961</v>
      </c>
      <c r="D121" s="197" t="s">
        <v>1200</v>
      </c>
      <c r="E121" s="197" t="s">
        <v>38</v>
      </c>
      <c r="F121" s="37" t="s">
        <v>351</v>
      </c>
      <c r="G121" s="194">
        <v>16585.96</v>
      </c>
      <c r="H121" s="194">
        <v>24228.560000000001</v>
      </c>
      <c r="I121" s="194">
        <v>2422.8000000000002</v>
      </c>
      <c r="J121" s="35">
        <f t="shared" si="5"/>
        <v>1453.68</v>
      </c>
      <c r="K121" s="195">
        <v>0.6</v>
      </c>
    </row>
    <row r="122" spans="1:11" x14ac:dyDescent="0.25">
      <c r="A122" s="197" t="s">
        <v>351</v>
      </c>
      <c r="B122" s="197">
        <v>612466700</v>
      </c>
      <c r="C122" s="204">
        <v>45961</v>
      </c>
      <c r="D122" s="197" t="s">
        <v>1200</v>
      </c>
      <c r="E122" s="197" t="s">
        <v>38</v>
      </c>
      <c r="F122" s="37" t="s">
        <v>351</v>
      </c>
      <c r="G122" s="194">
        <v>100</v>
      </c>
      <c r="H122" s="194">
        <v>100</v>
      </c>
      <c r="I122" s="194">
        <v>10</v>
      </c>
      <c r="J122" s="35">
        <f t="shared" ref="J122:J124" si="6">I122*K122</f>
        <v>6</v>
      </c>
      <c r="K122" s="195">
        <v>0.6</v>
      </c>
    </row>
    <row r="123" spans="1:11" x14ac:dyDescent="0.25">
      <c r="A123" s="197" t="s">
        <v>351</v>
      </c>
      <c r="B123" s="197">
        <v>7849130</v>
      </c>
      <c r="C123" s="204">
        <v>45961</v>
      </c>
      <c r="D123" s="197" t="s">
        <v>1200</v>
      </c>
      <c r="E123" s="197" t="s">
        <v>38</v>
      </c>
      <c r="F123" s="37" t="s">
        <v>351</v>
      </c>
      <c r="G123" s="194">
        <v>314.29000000000002</v>
      </c>
      <c r="H123" s="194">
        <v>314.29000000000002</v>
      </c>
      <c r="I123" s="194">
        <v>31.4</v>
      </c>
      <c r="J123" s="35">
        <f t="shared" si="6"/>
        <v>18.84</v>
      </c>
      <c r="K123" s="195">
        <v>0.6</v>
      </c>
    </row>
    <row r="124" spans="1:11" x14ac:dyDescent="0.25">
      <c r="A124" s="197" t="s">
        <v>1210</v>
      </c>
      <c r="B124" s="197">
        <v>616117781</v>
      </c>
      <c r="C124" s="204">
        <v>45961</v>
      </c>
      <c r="D124" s="197" t="s">
        <v>1211</v>
      </c>
      <c r="E124" s="197" t="s">
        <v>38</v>
      </c>
      <c r="F124" s="37" t="s">
        <v>1212</v>
      </c>
      <c r="G124" s="194">
        <v>21773.94</v>
      </c>
      <c r="H124" s="194">
        <v>19777.060000000001</v>
      </c>
      <c r="I124" s="194">
        <v>1977.7</v>
      </c>
      <c r="J124" s="35">
        <f t="shared" si="6"/>
        <v>1186.6199999999999</v>
      </c>
      <c r="K124" s="195">
        <v>0.6</v>
      </c>
    </row>
    <row r="125" spans="1:11" x14ac:dyDescent="0.25">
      <c r="A125" s="197" t="s">
        <v>1210</v>
      </c>
      <c r="B125" s="197">
        <v>616117781</v>
      </c>
      <c r="C125" s="204">
        <v>45961</v>
      </c>
      <c r="D125" s="197" t="s">
        <v>1211</v>
      </c>
      <c r="E125" s="197" t="s">
        <v>38</v>
      </c>
      <c r="F125" s="37" t="s">
        <v>1212</v>
      </c>
      <c r="G125" s="194">
        <v>100</v>
      </c>
      <c r="H125" s="194">
        <v>100</v>
      </c>
      <c r="I125" s="194">
        <v>10</v>
      </c>
      <c r="J125" s="35">
        <f t="shared" si="5"/>
        <v>6</v>
      </c>
      <c r="K125" s="195">
        <v>0.6</v>
      </c>
    </row>
    <row r="126" spans="1:11" x14ac:dyDescent="0.25">
      <c r="A126" s="197" t="s">
        <v>1214</v>
      </c>
      <c r="B126" s="197">
        <v>611254896</v>
      </c>
      <c r="C126" s="204">
        <v>45953</v>
      </c>
      <c r="D126" s="197" t="s">
        <v>1215</v>
      </c>
      <c r="E126" s="197" t="s">
        <v>38</v>
      </c>
      <c r="F126" s="37" t="s">
        <v>57</v>
      </c>
      <c r="G126" s="194">
        <v>24752.43</v>
      </c>
      <c r="H126" s="194">
        <v>22482.36</v>
      </c>
      <c r="I126" s="194">
        <v>2248.1999999999998</v>
      </c>
      <c r="J126" s="35">
        <f t="shared" ref="J126:J127" si="7">I126*K126</f>
        <v>1348.9199999999998</v>
      </c>
      <c r="K126" s="195">
        <v>0.6</v>
      </c>
    </row>
    <row r="127" spans="1:11" x14ac:dyDescent="0.25">
      <c r="A127" s="197" t="s">
        <v>1214</v>
      </c>
      <c r="B127" s="197">
        <v>611254896</v>
      </c>
      <c r="C127" s="204">
        <v>45953</v>
      </c>
      <c r="D127" s="197" t="s">
        <v>1215</v>
      </c>
      <c r="E127" s="197" t="s">
        <v>38</v>
      </c>
      <c r="F127" s="37" t="s">
        <v>57</v>
      </c>
      <c r="G127" s="194">
        <v>100</v>
      </c>
      <c r="H127" s="194">
        <v>100</v>
      </c>
      <c r="I127" s="194">
        <v>10</v>
      </c>
      <c r="J127" s="35">
        <f t="shared" si="7"/>
        <v>6</v>
      </c>
      <c r="K127" s="195">
        <v>0.6</v>
      </c>
    </row>
    <row r="128" spans="1:11" x14ac:dyDescent="0.25">
      <c r="A128" s="197" t="s">
        <v>1216</v>
      </c>
      <c r="B128" s="197">
        <v>610981692</v>
      </c>
      <c r="C128" s="204">
        <v>45951</v>
      </c>
      <c r="D128" s="197" t="s">
        <v>1217</v>
      </c>
      <c r="E128" s="197" t="s">
        <v>38</v>
      </c>
      <c r="F128" s="37" t="s">
        <v>57</v>
      </c>
      <c r="G128" s="194">
        <v>22002.13</v>
      </c>
      <c r="H128" s="194">
        <v>19863.05</v>
      </c>
      <c r="I128" s="194">
        <v>1986.3</v>
      </c>
      <c r="J128" s="35">
        <f t="shared" ref="J128:J132" si="8">I128*K128</f>
        <v>1191.78</v>
      </c>
      <c r="K128" s="195">
        <v>0.6</v>
      </c>
    </row>
    <row r="129" spans="1:11" x14ac:dyDescent="0.25">
      <c r="A129" s="245" t="s">
        <v>1085</v>
      </c>
      <c r="B129" s="249">
        <v>608135262</v>
      </c>
      <c r="C129" s="250">
        <v>45954</v>
      </c>
      <c r="D129" s="249" t="s">
        <v>1086</v>
      </c>
      <c r="E129" s="197" t="s">
        <v>38</v>
      </c>
      <c r="F129" s="147" t="s">
        <v>112</v>
      </c>
      <c r="G129" s="248">
        <v>8155.87</v>
      </c>
      <c r="H129" s="248">
        <v>7432.68</v>
      </c>
      <c r="I129" s="159">
        <v>-378.36</v>
      </c>
      <c r="J129" s="146">
        <f t="shared" si="8"/>
        <v>-227.01599999999999</v>
      </c>
      <c r="K129" s="172">
        <v>0.6</v>
      </c>
    </row>
    <row r="130" spans="1:11" x14ac:dyDescent="0.25">
      <c r="A130" s="245" t="s">
        <v>670</v>
      </c>
      <c r="B130" s="249">
        <v>582876447</v>
      </c>
      <c r="C130" s="250">
        <v>45953</v>
      </c>
      <c r="D130" s="249" t="s">
        <v>671</v>
      </c>
      <c r="E130" s="197" t="s">
        <v>38</v>
      </c>
      <c r="F130" s="147" t="s">
        <v>112</v>
      </c>
      <c r="G130" s="248">
        <v>5731.52</v>
      </c>
      <c r="H130" s="248">
        <v>5117.43</v>
      </c>
      <c r="I130" s="159">
        <v>-330.14</v>
      </c>
      <c r="J130" s="146">
        <f t="shared" si="8"/>
        <v>-198.08399999999997</v>
      </c>
      <c r="K130" s="172">
        <v>0.6</v>
      </c>
    </row>
    <row r="131" spans="1:11" x14ac:dyDescent="0.25">
      <c r="A131" s="245" t="s">
        <v>401</v>
      </c>
      <c r="B131" s="249">
        <v>602015434</v>
      </c>
      <c r="C131" s="250">
        <v>45943</v>
      </c>
      <c r="D131" s="249" t="s">
        <v>992</v>
      </c>
      <c r="E131" s="197" t="s">
        <v>38</v>
      </c>
      <c r="F131" s="147" t="s">
        <v>112</v>
      </c>
      <c r="G131" s="248">
        <v>15662.45</v>
      </c>
      <c r="H131" s="248">
        <v>14273.64</v>
      </c>
      <c r="I131" s="159">
        <v>-1097.52</v>
      </c>
      <c r="J131" s="146">
        <f t="shared" si="8"/>
        <v>-658.51199999999994</v>
      </c>
      <c r="K131" s="172">
        <v>0.6</v>
      </c>
    </row>
    <row r="132" spans="1:11" x14ac:dyDescent="0.25">
      <c r="A132" s="245" t="s">
        <v>574</v>
      </c>
      <c r="B132" s="249">
        <v>574178522</v>
      </c>
      <c r="C132" s="250">
        <v>45931</v>
      </c>
      <c r="D132" s="249" t="s">
        <v>575</v>
      </c>
      <c r="E132" s="197" t="s">
        <v>38</v>
      </c>
      <c r="F132" s="147" t="s">
        <v>112</v>
      </c>
      <c r="G132" s="248">
        <v>5187.17</v>
      </c>
      <c r="H132" s="248">
        <v>4631.3999999999996</v>
      </c>
      <c r="I132" s="159">
        <v>-233.18</v>
      </c>
      <c r="J132" s="146">
        <f t="shared" si="8"/>
        <v>-139.90799999999999</v>
      </c>
      <c r="K132" s="172">
        <v>0.6</v>
      </c>
    </row>
    <row r="133" spans="1:11" x14ac:dyDescent="0.25">
      <c r="A133" s="37"/>
      <c r="B133" s="37"/>
      <c r="C133" s="193"/>
      <c r="D133" s="37"/>
      <c r="E133" s="37"/>
      <c r="F133" s="197"/>
      <c r="G133" s="192">
        <f>SUM(G33:G132)</f>
        <v>1016113.3000000002</v>
      </c>
      <c r="H133" s="192">
        <f>SUM(H33:H132)</f>
        <v>927545.11</v>
      </c>
      <c r="I133" s="192">
        <f>SUM(I33:I128)</f>
        <v>107605.95549999998</v>
      </c>
      <c r="J133" s="192">
        <f>SUM(J33:J125)</f>
        <v>62016.873299999992</v>
      </c>
      <c r="K133" s="190"/>
    </row>
    <row r="134" spans="1:11" x14ac:dyDescent="0.25">
      <c r="A134" s="37"/>
      <c r="B134" s="37"/>
      <c r="C134" s="193"/>
      <c r="D134" s="37"/>
      <c r="E134" s="37"/>
      <c r="F134" s="198" t="s">
        <v>14</v>
      </c>
      <c r="G134" s="199">
        <f>G35+G36+G39+G67+G72+G73+G82+G83+G87+G90+G100+G111</f>
        <v>135170.44999999998</v>
      </c>
      <c r="H134" s="35"/>
      <c r="I134" s="35"/>
      <c r="J134" s="35"/>
      <c r="K134" s="37"/>
    </row>
    <row r="135" spans="1:11" x14ac:dyDescent="0.2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</row>
    <row r="136" spans="1:11" x14ac:dyDescent="0.25">
      <c r="A136" s="37" t="s">
        <v>17</v>
      </c>
      <c r="B136" s="37"/>
      <c r="C136" s="193"/>
      <c r="D136" s="37"/>
      <c r="E136" s="37"/>
      <c r="F136" s="37"/>
      <c r="G136" s="35"/>
      <c r="H136" s="35"/>
      <c r="I136" s="35"/>
      <c r="J136" s="35"/>
      <c r="K136" s="37"/>
    </row>
    <row r="137" spans="1:11" x14ac:dyDescent="0.25">
      <c r="A137" s="37" t="s">
        <v>1113</v>
      </c>
      <c r="B137" s="37">
        <v>7821502</v>
      </c>
      <c r="C137" s="193">
        <v>45937</v>
      </c>
      <c r="D137" s="37" t="s">
        <v>12</v>
      </c>
      <c r="E137" s="37" t="s">
        <v>38</v>
      </c>
      <c r="F137" s="37" t="s">
        <v>1113</v>
      </c>
      <c r="G137" s="206">
        <v>30427.17</v>
      </c>
      <c r="H137" s="206">
        <v>30427.17</v>
      </c>
      <c r="I137" s="206">
        <v>4564.05</v>
      </c>
      <c r="J137" s="35">
        <f t="shared" ref="J137:J142" si="9">I137*K137</f>
        <v>2738.43</v>
      </c>
      <c r="K137" s="195">
        <v>0.6</v>
      </c>
    </row>
    <row r="138" spans="1:11" x14ac:dyDescent="0.25">
      <c r="A138" s="37" t="s">
        <v>1114</v>
      </c>
      <c r="B138" s="37">
        <v>5065994</v>
      </c>
      <c r="C138" s="193">
        <v>45937</v>
      </c>
      <c r="D138" s="37" t="s">
        <v>12</v>
      </c>
      <c r="E138" s="37" t="s">
        <v>38</v>
      </c>
      <c r="F138" s="37" t="s">
        <v>427</v>
      </c>
      <c r="G138" s="206">
        <v>58000.95</v>
      </c>
      <c r="H138" s="206">
        <v>58000.95</v>
      </c>
      <c r="I138" s="206">
        <v>8700</v>
      </c>
      <c r="J138" s="35">
        <f t="shared" si="9"/>
        <v>5220</v>
      </c>
      <c r="K138" s="195">
        <v>0.6</v>
      </c>
    </row>
    <row r="139" spans="1:11" x14ac:dyDescent="0.25">
      <c r="A139" s="37" t="s">
        <v>252</v>
      </c>
      <c r="B139" s="37">
        <v>7823138</v>
      </c>
      <c r="C139" s="193">
        <v>45951</v>
      </c>
      <c r="D139" s="37" t="s">
        <v>12</v>
      </c>
      <c r="E139" s="37" t="s">
        <v>38</v>
      </c>
      <c r="F139" s="37" t="s">
        <v>57</v>
      </c>
      <c r="G139" s="206">
        <v>20356.830000000002</v>
      </c>
      <c r="H139" s="206">
        <v>20356.830000000002</v>
      </c>
      <c r="I139" s="206">
        <v>3053.4</v>
      </c>
      <c r="J139" s="35">
        <f t="shared" si="9"/>
        <v>1832.04</v>
      </c>
      <c r="K139" s="195">
        <v>0.6</v>
      </c>
    </row>
    <row r="140" spans="1:11" x14ac:dyDescent="0.25">
      <c r="A140" s="37" t="s">
        <v>771</v>
      </c>
      <c r="B140" s="37">
        <v>609853888</v>
      </c>
      <c r="C140" s="193">
        <v>45961</v>
      </c>
      <c r="D140" s="37" t="s">
        <v>12</v>
      </c>
      <c r="E140" s="37" t="s">
        <v>41</v>
      </c>
      <c r="F140" s="37" t="s">
        <v>12</v>
      </c>
      <c r="G140" s="206">
        <v>5261.43</v>
      </c>
      <c r="H140" s="206">
        <v>4999.78</v>
      </c>
      <c r="I140" s="206">
        <v>749.85</v>
      </c>
      <c r="J140" s="35">
        <f t="shared" si="9"/>
        <v>449.91</v>
      </c>
      <c r="K140" s="195">
        <v>0.6</v>
      </c>
    </row>
    <row r="141" spans="1:11" x14ac:dyDescent="0.25">
      <c r="A141" s="37" t="s">
        <v>1185</v>
      </c>
      <c r="B141" s="37">
        <v>614159167</v>
      </c>
      <c r="C141" s="193">
        <v>45953</v>
      </c>
      <c r="D141" s="37" t="s">
        <v>12</v>
      </c>
      <c r="E141" s="37" t="s">
        <v>38</v>
      </c>
      <c r="F141" s="37" t="s">
        <v>337</v>
      </c>
      <c r="G141" s="206">
        <v>8125.26</v>
      </c>
      <c r="H141" s="206">
        <v>7726.46</v>
      </c>
      <c r="I141" s="206">
        <v>1158.9000000000001</v>
      </c>
      <c r="J141" s="35">
        <f t="shared" si="9"/>
        <v>695.34</v>
      </c>
      <c r="K141" s="195">
        <v>0.6</v>
      </c>
    </row>
    <row r="142" spans="1:11" x14ac:dyDescent="0.25">
      <c r="A142" s="37" t="s">
        <v>1213</v>
      </c>
      <c r="B142" s="37">
        <v>6188350</v>
      </c>
      <c r="C142" s="193">
        <v>45961</v>
      </c>
      <c r="D142" s="37" t="s">
        <v>12</v>
      </c>
      <c r="E142" s="37" t="s">
        <v>38</v>
      </c>
      <c r="F142" s="37" t="s">
        <v>1213</v>
      </c>
      <c r="G142" s="206">
        <v>33589.32</v>
      </c>
      <c r="H142" s="206">
        <v>33589.32</v>
      </c>
      <c r="I142" s="206">
        <v>5038.3500000000004</v>
      </c>
      <c r="J142" s="35">
        <f t="shared" si="9"/>
        <v>3023.01</v>
      </c>
      <c r="K142" s="195">
        <v>0.6</v>
      </c>
    </row>
    <row r="143" spans="1:11" x14ac:dyDescent="0.25">
      <c r="A143" s="37"/>
      <c r="B143" s="37"/>
      <c r="C143" s="193"/>
      <c r="D143" s="37"/>
      <c r="E143" s="37"/>
      <c r="F143" s="37"/>
      <c r="G143" s="206"/>
      <c r="H143" s="206"/>
      <c r="I143" s="206"/>
      <c r="J143" s="206"/>
      <c r="K143" s="195"/>
    </row>
    <row r="144" spans="1:11" x14ac:dyDescent="0.25">
      <c r="A144" s="37"/>
      <c r="B144" s="37"/>
      <c r="C144" s="193"/>
      <c r="D144" s="37"/>
      <c r="E144" s="37"/>
      <c r="F144" s="197"/>
      <c r="G144" s="207"/>
      <c r="H144" s="207"/>
      <c r="I144" s="206"/>
      <c r="J144" s="206"/>
      <c r="K144" s="195"/>
    </row>
    <row r="145" spans="1:11" x14ac:dyDescent="0.25">
      <c r="A145" s="37"/>
      <c r="B145" s="37"/>
      <c r="C145" s="193"/>
      <c r="D145" s="37"/>
      <c r="E145" s="37"/>
      <c r="F145" s="190" t="s">
        <v>13</v>
      </c>
      <c r="G145" s="192">
        <f>SUM(G137:G144)</f>
        <v>155760.95999999999</v>
      </c>
      <c r="H145" s="192">
        <f>SUM(H137:H144)</f>
        <v>155100.51</v>
      </c>
      <c r="I145" s="192">
        <f>SUM(I137:I144)</f>
        <v>23264.550000000003</v>
      </c>
      <c r="J145" s="192">
        <f>SUM(J137:J144)</f>
        <v>13958.730000000001</v>
      </c>
      <c r="K145" s="190"/>
    </row>
    <row r="146" spans="1:11" x14ac:dyDescent="0.25">
      <c r="A146" s="37"/>
      <c r="B146" s="37"/>
      <c r="C146" s="193"/>
      <c r="D146" s="37"/>
      <c r="E146" s="37"/>
      <c r="F146" s="198" t="s">
        <v>14</v>
      </c>
      <c r="G146" s="199">
        <f>G140</f>
        <v>5261.43</v>
      </c>
      <c r="H146" s="35"/>
      <c r="I146" s="35"/>
      <c r="J146" s="35"/>
      <c r="K146" s="37"/>
    </row>
    <row r="147" spans="1:11" x14ac:dyDescent="0.25">
      <c r="A147" s="37"/>
      <c r="B147" s="37"/>
      <c r="C147" s="193"/>
      <c r="D147" s="198"/>
      <c r="E147" s="198" t="s">
        <v>18</v>
      </c>
      <c r="F147" s="198"/>
      <c r="G147" s="199">
        <f>G146/6</f>
        <v>876.90500000000009</v>
      </c>
      <c r="H147" s="35"/>
      <c r="I147" s="35"/>
      <c r="J147" s="35"/>
      <c r="K147" s="37"/>
    </row>
    <row r="148" spans="1:11" x14ac:dyDescent="0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</row>
    <row r="149" spans="1:11" x14ac:dyDescent="0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</row>
    <row r="150" spans="1:11" x14ac:dyDescent="0.2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</row>
    <row r="151" spans="1:11" x14ac:dyDescent="0.25">
      <c r="A151" s="176" t="s">
        <v>19</v>
      </c>
      <c r="B151" s="208"/>
      <c r="C151" s="209">
        <f>G29</f>
        <v>0</v>
      </c>
      <c r="D151" s="37"/>
      <c r="E151" s="177" t="s">
        <v>20</v>
      </c>
      <c r="F151" s="176"/>
      <c r="G151" s="209">
        <f>G135</f>
        <v>0</v>
      </c>
      <c r="H151" s="176"/>
      <c r="I151" s="176" t="s">
        <v>21</v>
      </c>
      <c r="J151" s="176"/>
      <c r="K151" s="40">
        <f>G146</f>
        <v>5261.43</v>
      </c>
    </row>
    <row r="152" spans="1:11" x14ac:dyDescent="0.25">
      <c r="A152" s="208" t="s">
        <v>22</v>
      </c>
      <c r="B152" s="208"/>
      <c r="C152" s="209">
        <f>G30</f>
        <v>0</v>
      </c>
      <c r="D152" s="211"/>
      <c r="E152" s="212"/>
      <c r="F152" s="212"/>
      <c r="G152" s="208" t="s">
        <v>12</v>
      </c>
      <c r="H152" s="37"/>
      <c r="I152" s="208" t="s">
        <v>23</v>
      </c>
      <c r="J152" s="208"/>
      <c r="K152" s="209">
        <f>G147</f>
        <v>876.90500000000009</v>
      </c>
    </row>
    <row r="153" spans="1:11" x14ac:dyDescent="0.25">
      <c r="A153" s="208" t="s">
        <v>24</v>
      </c>
      <c r="B153" s="208"/>
      <c r="C153" s="209">
        <f>J28</f>
        <v>31179.551999999996</v>
      </c>
      <c r="D153" s="211"/>
      <c r="E153" s="212" t="s">
        <v>25</v>
      </c>
      <c r="F153" s="212"/>
      <c r="G153" s="209">
        <f>J133</f>
        <v>62016.873299999992</v>
      </c>
      <c r="H153" s="37"/>
      <c r="I153" s="208" t="s">
        <v>26</v>
      </c>
      <c r="J153" s="208"/>
      <c r="K153" s="209">
        <f>J145</f>
        <v>13958.730000000001</v>
      </c>
    </row>
    <row r="154" spans="1:11" x14ac:dyDescent="0.25">
      <c r="A154" s="208"/>
      <c r="B154" s="208"/>
      <c r="C154" s="209"/>
      <c r="D154" s="211"/>
      <c r="E154" s="212"/>
      <c r="F154" s="212"/>
      <c r="G154" s="209"/>
      <c r="H154" s="37"/>
      <c r="I154" s="208"/>
      <c r="J154" s="208"/>
      <c r="K154" s="208"/>
    </row>
    <row r="155" spans="1:11" x14ac:dyDescent="0.25">
      <c r="A155" s="208"/>
      <c r="B155" s="208"/>
      <c r="C155" s="208"/>
      <c r="D155" s="37"/>
      <c r="E155" s="208"/>
      <c r="F155" s="208"/>
      <c r="G155" s="208"/>
      <c r="H155" s="37"/>
      <c r="I155" s="208"/>
      <c r="J155" s="208"/>
      <c r="K155" s="208"/>
    </row>
    <row r="156" spans="1:11" x14ac:dyDescent="0.2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</row>
    <row r="157" spans="1:11" x14ac:dyDescent="0.25">
      <c r="A157" s="177" t="s">
        <v>27</v>
      </c>
      <c r="B157" s="176"/>
      <c r="C157" s="176"/>
      <c r="D157" s="37"/>
      <c r="E157" s="177" t="s">
        <v>28</v>
      </c>
      <c r="F157" s="176"/>
      <c r="G157" s="176"/>
      <c r="H157" s="37"/>
      <c r="I157" s="58" t="s">
        <v>104</v>
      </c>
      <c r="J157" s="58"/>
      <c r="K157" s="58"/>
    </row>
    <row r="158" spans="1:11" x14ac:dyDescent="0.25">
      <c r="A158" s="138"/>
      <c r="B158" s="138"/>
      <c r="C158" s="214"/>
      <c r="D158" s="37"/>
      <c r="E158" s="37"/>
      <c r="F158" s="37"/>
      <c r="G158" s="37"/>
      <c r="H158" s="35"/>
      <c r="I158" s="58" t="s">
        <v>1247</v>
      </c>
      <c r="J158" s="218">
        <v>11000</v>
      </c>
      <c r="K158" s="141">
        <v>45969</v>
      </c>
    </row>
    <row r="159" spans="1:11" x14ac:dyDescent="0.25">
      <c r="A159" s="56" t="s">
        <v>29</v>
      </c>
      <c r="B159" s="56"/>
      <c r="C159" s="261">
        <f>J2</f>
        <v>287725.34999999998</v>
      </c>
      <c r="D159" s="211"/>
      <c r="E159" s="212" t="s">
        <v>30</v>
      </c>
      <c r="F159" s="212"/>
      <c r="G159" s="212"/>
      <c r="H159" s="35"/>
      <c r="I159" s="58" t="s">
        <v>1167</v>
      </c>
      <c r="J159" s="218">
        <v>11811</v>
      </c>
      <c r="K159" s="141">
        <v>45967</v>
      </c>
    </row>
    <row r="160" spans="1:11" x14ac:dyDescent="0.25">
      <c r="A160" s="56" t="s">
        <v>31</v>
      </c>
      <c r="B160" s="56"/>
      <c r="C160" s="221">
        <f>C153+G153+K153</f>
        <v>107155.15529999998</v>
      </c>
      <c r="D160" s="211"/>
      <c r="E160" s="212" t="s">
        <v>32</v>
      </c>
      <c r="F160" s="212"/>
      <c r="G160" s="215">
        <f>G31</f>
        <v>0</v>
      </c>
      <c r="H160" s="35"/>
      <c r="I160" s="58" t="s">
        <v>975</v>
      </c>
      <c r="J160" s="218">
        <v>13200</v>
      </c>
      <c r="K160" s="141">
        <v>45964</v>
      </c>
    </row>
    <row r="161" spans="1:11" x14ac:dyDescent="0.25">
      <c r="A161" s="138" t="s">
        <v>109</v>
      </c>
      <c r="B161" s="139"/>
      <c r="C161" s="139">
        <f>J171</f>
        <v>109078</v>
      </c>
      <c r="D161" s="211"/>
      <c r="E161" s="212" t="s">
        <v>33</v>
      </c>
      <c r="F161" s="212"/>
      <c r="G161" s="215">
        <f>G134</f>
        <v>135170.44999999998</v>
      </c>
      <c r="H161" s="35"/>
      <c r="I161" s="58" t="s">
        <v>1271</v>
      </c>
      <c r="J161" s="218">
        <v>7300</v>
      </c>
      <c r="K161" s="141">
        <v>45988</v>
      </c>
    </row>
    <row r="162" spans="1:11" x14ac:dyDescent="0.25">
      <c r="A162" s="138" t="s">
        <v>472</v>
      </c>
      <c r="B162" s="138"/>
      <c r="C162" s="138"/>
      <c r="D162" s="211"/>
      <c r="E162" s="50" t="s">
        <v>1235</v>
      </c>
      <c r="F162" s="51"/>
      <c r="G162" s="242">
        <v>7964.08</v>
      </c>
      <c r="H162" s="35"/>
      <c r="I162" s="58" t="s">
        <v>1272</v>
      </c>
      <c r="J162" s="218">
        <v>14780</v>
      </c>
      <c r="K162" s="141">
        <v>45987</v>
      </c>
    </row>
    <row r="163" spans="1:11" x14ac:dyDescent="0.25">
      <c r="A163" s="138" t="s">
        <v>13</v>
      </c>
      <c r="B163" s="138"/>
      <c r="C163" s="139">
        <f>C159+C160+C161</f>
        <v>503958.50529999996</v>
      </c>
      <c r="D163" s="211"/>
      <c r="E163" s="50" t="s">
        <v>1236</v>
      </c>
      <c r="F163" s="56"/>
      <c r="G163" s="185">
        <v>13425.5</v>
      </c>
      <c r="H163" s="35"/>
      <c r="I163" s="58" t="s">
        <v>1273</v>
      </c>
      <c r="J163" s="218">
        <v>10150</v>
      </c>
      <c r="K163" s="141">
        <v>45986</v>
      </c>
    </row>
    <row r="164" spans="1:11" x14ac:dyDescent="0.25">
      <c r="A164" s="37"/>
      <c r="B164" s="37"/>
      <c r="C164" s="37"/>
      <c r="D164" s="211"/>
      <c r="E164" s="50" t="s">
        <v>1237</v>
      </c>
      <c r="F164" s="51"/>
      <c r="G164" s="185">
        <v>3527.65</v>
      </c>
      <c r="H164" s="35"/>
      <c r="I164" s="58" t="s">
        <v>822</v>
      </c>
      <c r="J164" s="218">
        <v>14911</v>
      </c>
      <c r="K164" s="141">
        <v>45979</v>
      </c>
    </row>
    <row r="165" spans="1:11" x14ac:dyDescent="0.25">
      <c r="A165" s="37"/>
      <c r="B165" s="37"/>
      <c r="C165" s="37"/>
      <c r="D165" s="211"/>
      <c r="E165" s="50" t="s">
        <v>1238</v>
      </c>
      <c r="F165" s="56"/>
      <c r="G165" s="185" t="s">
        <v>12</v>
      </c>
      <c r="H165" s="35"/>
      <c r="I165" s="58" t="s">
        <v>1220</v>
      </c>
      <c r="J165" s="218">
        <v>2650</v>
      </c>
      <c r="K165" s="141">
        <v>45979</v>
      </c>
    </row>
    <row r="166" spans="1:11" x14ac:dyDescent="0.25">
      <c r="A166" s="37"/>
      <c r="B166" s="37"/>
      <c r="C166" s="37"/>
      <c r="D166" s="211"/>
      <c r="E166" s="50" t="s">
        <v>1239</v>
      </c>
      <c r="F166" s="51"/>
      <c r="G166" s="241">
        <v>6450.58</v>
      </c>
      <c r="H166" s="35"/>
      <c r="I166" s="58" t="s">
        <v>226</v>
      </c>
      <c r="J166" s="218">
        <v>11580</v>
      </c>
      <c r="K166" s="141">
        <v>45982</v>
      </c>
    </row>
    <row r="167" spans="1:11" x14ac:dyDescent="0.25">
      <c r="A167" s="37"/>
      <c r="B167" s="37"/>
      <c r="C167" s="37"/>
      <c r="D167" s="211"/>
      <c r="E167" s="50" t="s">
        <v>1240</v>
      </c>
      <c r="F167" s="56"/>
      <c r="G167" s="241">
        <v>16311.96</v>
      </c>
      <c r="H167" s="35"/>
      <c r="I167" s="58" t="s">
        <v>592</v>
      </c>
      <c r="J167" s="218">
        <v>11696</v>
      </c>
      <c r="K167" s="141">
        <v>45990</v>
      </c>
    </row>
    <row r="168" spans="1:11" x14ac:dyDescent="0.25">
      <c r="A168" s="37"/>
      <c r="B168" s="37"/>
      <c r="C168" s="37"/>
      <c r="D168" s="211"/>
      <c r="E168" s="50" t="s">
        <v>1241</v>
      </c>
      <c r="F168" s="51"/>
      <c r="G168" s="241">
        <v>10437.73</v>
      </c>
      <c r="H168" s="35"/>
      <c r="I168" s="58"/>
      <c r="J168" s="218"/>
      <c r="K168" s="58"/>
    </row>
    <row r="169" spans="1:11" x14ac:dyDescent="0.25">
      <c r="A169" s="37"/>
      <c r="B169" s="37"/>
      <c r="C169" s="37"/>
      <c r="D169" s="211"/>
      <c r="E169" s="50" t="s">
        <v>1242</v>
      </c>
      <c r="F169" s="56"/>
      <c r="G169" s="241">
        <v>2715.13</v>
      </c>
      <c r="H169" s="35"/>
      <c r="I169" s="58"/>
      <c r="J169" s="218"/>
      <c r="K169" s="58"/>
    </row>
    <row r="170" spans="1:11" x14ac:dyDescent="0.25">
      <c r="A170" s="37"/>
      <c r="B170" s="37"/>
      <c r="C170" s="37"/>
      <c r="D170" s="211"/>
      <c r="E170" s="50" t="s">
        <v>1243</v>
      </c>
      <c r="F170" s="51"/>
      <c r="G170" s="241">
        <v>10053.719999999999</v>
      </c>
      <c r="H170" s="35"/>
      <c r="I170" s="58"/>
      <c r="J170" s="218"/>
      <c r="K170" s="58"/>
    </row>
    <row r="171" spans="1:11" x14ac:dyDescent="0.25">
      <c r="A171" s="37"/>
      <c r="B171" s="37"/>
      <c r="C171" s="37"/>
      <c r="D171" s="211"/>
      <c r="E171" s="50" t="s">
        <v>1244</v>
      </c>
      <c r="F171" s="56"/>
      <c r="G171" s="241">
        <v>4051.34</v>
      </c>
      <c r="H171" s="35"/>
      <c r="I171" s="58" t="s">
        <v>13</v>
      </c>
      <c r="J171" s="218">
        <f>J158+J159+J160+J161+J162+J163+J164+J165+J166+J167+J168+J169</f>
        <v>109078</v>
      </c>
      <c r="K171" s="58"/>
    </row>
    <row r="172" spans="1:11" x14ac:dyDescent="0.25">
      <c r="A172" s="37"/>
      <c r="B172" s="37"/>
      <c r="C172" s="37"/>
      <c r="D172" s="211"/>
      <c r="E172" s="50" t="s">
        <v>1245</v>
      </c>
      <c r="F172" s="51"/>
      <c r="G172" s="241">
        <f>G30</f>
        <v>0</v>
      </c>
      <c r="H172" s="35"/>
      <c r="I172" s="37"/>
      <c r="J172" s="260"/>
      <c r="K172" s="37"/>
    </row>
    <row r="173" spans="1:11" x14ac:dyDescent="0.25">
      <c r="A173" s="37"/>
      <c r="B173" s="37"/>
      <c r="C173" s="37"/>
      <c r="D173" s="211"/>
      <c r="E173" s="50" t="s">
        <v>1246</v>
      </c>
      <c r="F173" s="56"/>
      <c r="G173" s="241">
        <f>G147</f>
        <v>876.90500000000009</v>
      </c>
      <c r="H173" s="35"/>
      <c r="I173" s="37"/>
      <c r="J173" s="37"/>
      <c r="K173" s="37"/>
    </row>
    <row r="174" spans="1:11" x14ac:dyDescent="0.25">
      <c r="A174" s="37"/>
      <c r="B174" s="37"/>
      <c r="C174" s="37"/>
      <c r="D174" s="211"/>
      <c r="E174" s="57"/>
      <c r="F174" s="57"/>
      <c r="G174" s="57"/>
      <c r="H174" s="35"/>
      <c r="I174" s="37"/>
      <c r="J174" s="37"/>
      <c r="K174" s="37"/>
    </row>
    <row r="175" spans="1:11" x14ac:dyDescent="0.25">
      <c r="A175" s="37"/>
      <c r="B175" s="37"/>
      <c r="C175" s="37"/>
      <c r="D175" s="211"/>
      <c r="E175" s="56" t="s">
        <v>13</v>
      </c>
      <c r="F175" s="56"/>
      <c r="G175" s="57">
        <f>SUM(G161:G174)</f>
        <v>210985.04499999995</v>
      </c>
      <c r="H175" s="35"/>
      <c r="I175" s="37"/>
      <c r="J175" s="37"/>
      <c r="K175" s="37"/>
    </row>
    <row r="176" spans="1:11" x14ac:dyDescent="0.2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</row>
    <row r="177" spans="1:11" x14ac:dyDescent="0.2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</row>
    <row r="178" spans="1:11" x14ac:dyDescent="0.2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</row>
    <row r="179" spans="1:11" x14ac:dyDescent="0.2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</row>
    <row r="180" spans="1:11" x14ac:dyDescent="0.2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</row>
    <row r="181" spans="1:11" x14ac:dyDescent="0.2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</row>
    <row r="182" spans="1:11" x14ac:dyDescent="0.25">
      <c r="A182" s="37"/>
      <c r="B182" s="37"/>
      <c r="C182" s="39"/>
      <c r="D182" s="39" t="s">
        <v>239</v>
      </c>
      <c r="E182" s="40"/>
      <c r="F182" s="40">
        <f>C163-G175</f>
        <v>292973.46030000004</v>
      </c>
      <c r="G182" s="37"/>
      <c r="H182" s="37"/>
      <c r="I182" s="37"/>
      <c r="J182" s="37"/>
      <c r="K182" s="37"/>
    </row>
    <row r="183" spans="1:11" x14ac:dyDescent="0.25">
      <c r="A183" s="37"/>
      <c r="B183" s="37"/>
      <c r="C183" s="72"/>
      <c r="D183" s="72" t="s">
        <v>1275</v>
      </c>
      <c r="E183" s="72"/>
      <c r="F183" s="235">
        <v>100000</v>
      </c>
      <c r="G183" s="37"/>
      <c r="H183" s="37"/>
      <c r="I183" s="37"/>
      <c r="J183" s="37"/>
      <c r="K183" s="37"/>
    </row>
    <row r="184" spans="1:11" x14ac:dyDescent="0.25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</row>
    <row r="185" spans="1:11" x14ac:dyDescent="0.25">
      <c r="A185" s="72"/>
      <c r="B185" s="72"/>
      <c r="C185" s="72"/>
      <c r="D185" s="72" t="s">
        <v>35</v>
      </c>
      <c r="E185" s="72"/>
      <c r="F185" s="114">
        <f>F182-F183</f>
        <v>192973.46030000004</v>
      </c>
      <c r="G185" s="72"/>
      <c r="H185" s="72"/>
      <c r="I185" s="72"/>
      <c r="J185" s="72"/>
      <c r="K185" s="72"/>
    </row>
    <row r="186" spans="1:11" x14ac:dyDescent="0.25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</row>
    <row r="187" spans="1:11" x14ac:dyDescent="0.25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</row>
  </sheetData>
  <conditionalFormatting sqref="E1 E3:E134 E136:E147">
    <cfRule type="cellIs" dxfId="13" priority="11" operator="equal">
      <formula>"K.KART"</formula>
    </cfRule>
    <cfRule type="cellIs" dxfId="12" priority="12" operator="equal">
      <formula>"AÇIK"</formula>
    </cfRule>
  </conditionalFormatting>
  <conditionalFormatting sqref="F5">
    <cfRule type="cellIs" dxfId="11" priority="7" operator="equal">
      <formula>"K.KART"</formula>
    </cfRule>
    <cfRule type="cellIs" dxfId="10" priority="8" operator="equal">
      <formula>"AÇIK"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983D-E526-4D92-A868-8B3DCCFAE2FA}">
  <dimension ref="A1:K123"/>
  <sheetViews>
    <sheetView topLeftCell="A109" workbookViewId="0">
      <selection activeCell="G64" sqref="G64"/>
    </sheetView>
  </sheetViews>
  <sheetFormatPr defaultRowHeight="15" x14ac:dyDescent="0.25"/>
  <cols>
    <col min="1" max="1" width="25.7109375" customWidth="1"/>
    <col min="2" max="2" width="12.7109375" customWidth="1"/>
    <col min="3" max="3" width="12.42578125" customWidth="1"/>
    <col min="4" max="4" width="13" customWidth="1"/>
    <col min="5" max="5" width="16.28515625" customWidth="1"/>
    <col min="6" max="6" width="28.7109375" customWidth="1"/>
    <col min="7" max="7" width="19.28515625" customWidth="1"/>
    <col min="8" max="8" width="18.5703125" customWidth="1"/>
    <col min="9" max="9" width="22.140625" customWidth="1"/>
    <col min="10" max="10" width="20.42578125" customWidth="1"/>
    <col min="11" max="11" width="11.85546875" customWidth="1"/>
  </cols>
  <sheetData>
    <row r="1" spans="1:11" x14ac:dyDescent="0.25">
      <c r="A1" s="186" t="s">
        <v>1165</v>
      </c>
      <c r="B1" s="72"/>
      <c r="C1" s="187"/>
      <c r="D1" s="72"/>
      <c r="E1" s="188"/>
      <c r="F1" s="188"/>
      <c r="G1" s="114"/>
      <c r="H1" s="114"/>
      <c r="I1" s="114"/>
      <c r="J1" s="114"/>
      <c r="K1" s="72"/>
    </row>
    <row r="2" spans="1:11" x14ac:dyDescent="0.25">
      <c r="A2" s="189" t="s">
        <v>0</v>
      </c>
      <c r="B2" s="189"/>
      <c r="C2" s="189"/>
      <c r="D2" s="189"/>
      <c r="E2" s="189"/>
      <c r="F2" s="189"/>
      <c r="G2" s="189"/>
      <c r="H2" s="189"/>
      <c r="I2" s="189"/>
      <c r="J2" s="40">
        <v>192973.46</v>
      </c>
      <c r="K2" s="189"/>
    </row>
    <row r="3" spans="1:11" x14ac:dyDescent="0.25">
      <c r="A3" s="190" t="s">
        <v>1</v>
      </c>
      <c r="B3" s="190" t="s">
        <v>2</v>
      </c>
      <c r="C3" s="191" t="s">
        <v>3</v>
      </c>
      <c r="D3" s="190" t="s">
        <v>4</v>
      </c>
      <c r="E3" s="190" t="s">
        <v>5</v>
      </c>
      <c r="F3" s="190" t="s">
        <v>6</v>
      </c>
      <c r="G3" s="192" t="s">
        <v>7</v>
      </c>
      <c r="H3" s="192" t="s">
        <v>8</v>
      </c>
      <c r="I3" s="192" t="s">
        <v>9</v>
      </c>
      <c r="J3" s="192" t="s">
        <v>10</v>
      </c>
      <c r="K3" s="190" t="s">
        <v>11</v>
      </c>
    </row>
    <row r="4" spans="1:11" x14ac:dyDescent="0.25">
      <c r="A4" s="37" t="s">
        <v>1163</v>
      </c>
      <c r="B4" s="37">
        <v>612737663</v>
      </c>
      <c r="C4" s="193">
        <v>45966</v>
      </c>
      <c r="D4" s="37" t="s">
        <v>1164</v>
      </c>
      <c r="E4" s="37" t="s">
        <v>38</v>
      </c>
      <c r="F4" s="37" t="s">
        <v>57</v>
      </c>
      <c r="G4" s="35">
        <v>9845.23</v>
      </c>
      <c r="H4" s="35">
        <v>9376.41</v>
      </c>
      <c r="I4" s="35">
        <v>1406.47</v>
      </c>
      <c r="J4" s="35">
        <f t="shared" ref="J4:J15" si="0">I4*K4</f>
        <v>843.88199999999995</v>
      </c>
      <c r="K4" s="195">
        <v>0.6</v>
      </c>
    </row>
    <row r="5" spans="1:11" x14ac:dyDescent="0.25">
      <c r="A5" s="37" t="s">
        <v>263</v>
      </c>
      <c r="B5" s="37">
        <v>616002125</v>
      </c>
      <c r="C5" s="193">
        <v>45966</v>
      </c>
      <c r="D5" s="37" t="s">
        <v>264</v>
      </c>
      <c r="E5" s="37" t="s">
        <v>38</v>
      </c>
      <c r="F5" s="37" t="s">
        <v>263</v>
      </c>
      <c r="G5" s="35">
        <v>11230.58</v>
      </c>
      <c r="H5" s="35">
        <v>10695.78</v>
      </c>
      <c r="I5" s="35">
        <v>1604.37</v>
      </c>
      <c r="J5" s="35">
        <f t="shared" si="0"/>
        <v>962.62199999999984</v>
      </c>
      <c r="K5" s="195">
        <v>0.6</v>
      </c>
    </row>
    <row r="6" spans="1:11" x14ac:dyDescent="0.25">
      <c r="A6" s="37" t="s">
        <v>1203</v>
      </c>
      <c r="B6" s="37">
        <v>615585083</v>
      </c>
      <c r="C6" s="193">
        <v>45967</v>
      </c>
      <c r="D6" s="196" t="s">
        <v>1204</v>
      </c>
      <c r="E6" s="37" t="s">
        <v>38</v>
      </c>
      <c r="F6" s="37" t="s">
        <v>1203</v>
      </c>
      <c r="G6" s="35">
        <v>20780.53</v>
      </c>
      <c r="H6" s="35">
        <v>19790.97</v>
      </c>
      <c r="I6" s="35">
        <v>2968.66</v>
      </c>
      <c r="J6" s="35">
        <f t="shared" si="0"/>
        <v>1781.1959999999999</v>
      </c>
      <c r="K6" s="195">
        <v>0.6</v>
      </c>
    </row>
    <row r="7" spans="1:11" x14ac:dyDescent="0.25">
      <c r="A7" s="37" t="s">
        <v>1251</v>
      </c>
      <c r="B7" s="37">
        <v>619347308</v>
      </c>
      <c r="C7" s="193">
        <v>45972</v>
      </c>
      <c r="D7" s="37" t="s">
        <v>1252</v>
      </c>
      <c r="E7" s="37" t="s">
        <v>38</v>
      </c>
      <c r="F7" s="37" t="s">
        <v>1251</v>
      </c>
      <c r="G7" s="35">
        <v>19883.63</v>
      </c>
      <c r="H7" s="35">
        <v>18936.78</v>
      </c>
      <c r="I7" s="35">
        <v>2840.53</v>
      </c>
      <c r="J7" s="35">
        <f t="shared" si="0"/>
        <v>1704.318</v>
      </c>
      <c r="K7" s="195">
        <v>0.6</v>
      </c>
    </row>
    <row r="8" spans="1:11" x14ac:dyDescent="0.25">
      <c r="A8" s="197" t="s">
        <v>581</v>
      </c>
      <c r="B8" s="37">
        <v>619678675</v>
      </c>
      <c r="C8" s="193">
        <v>45973</v>
      </c>
      <c r="D8" s="37" t="s">
        <v>1253</v>
      </c>
      <c r="E8" s="37" t="s">
        <v>38</v>
      </c>
      <c r="F8" s="37" t="s">
        <v>581</v>
      </c>
      <c r="G8" s="35">
        <v>17745</v>
      </c>
      <c r="H8" s="35">
        <v>16900</v>
      </c>
      <c r="I8" s="35">
        <v>2535</v>
      </c>
      <c r="J8" s="35">
        <f t="shared" si="0"/>
        <v>1521</v>
      </c>
      <c r="K8" s="195">
        <v>0.6</v>
      </c>
    </row>
    <row r="9" spans="1:11" x14ac:dyDescent="0.25">
      <c r="A9" s="197" t="s">
        <v>1254</v>
      </c>
      <c r="B9" s="197">
        <v>619925100</v>
      </c>
      <c r="C9" s="204">
        <v>45979</v>
      </c>
      <c r="D9" s="197" t="s">
        <v>1255</v>
      </c>
      <c r="E9" s="197" t="s">
        <v>38</v>
      </c>
      <c r="F9" s="197" t="s">
        <v>1254</v>
      </c>
      <c r="G9" s="35">
        <v>10804.13</v>
      </c>
      <c r="H9" s="35">
        <v>10289.64</v>
      </c>
      <c r="I9" s="35">
        <v>1543.45</v>
      </c>
      <c r="J9" s="35">
        <f t="shared" si="0"/>
        <v>926.06999999999994</v>
      </c>
      <c r="K9" s="195">
        <v>0.6</v>
      </c>
    </row>
    <row r="10" spans="1:11" x14ac:dyDescent="0.25">
      <c r="A10" s="37" t="s">
        <v>1256</v>
      </c>
      <c r="B10" s="37">
        <v>619166783</v>
      </c>
      <c r="C10" s="193">
        <v>45977</v>
      </c>
      <c r="D10" s="37" t="s">
        <v>1257</v>
      </c>
      <c r="E10" s="37" t="s">
        <v>38</v>
      </c>
      <c r="F10" s="37" t="s">
        <v>1258</v>
      </c>
      <c r="G10" s="35">
        <v>14588.97</v>
      </c>
      <c r="H10" s="35">
        <v>13894.25</v>
      </c>
      <c r="I10" s="35">
        <v>2084.15</v>
      </c>
      <c r="J10" s="35">
        <f t="shared" si="0"/>
        <v>1250.49</v>
      </c>
      <c r="K10" s="195">
        <v>0.6</v>
      </c>
    </row>
    <row r="11" spans="1:11" x14ac:dyDescent="0.25">
      <c r="A11" s="37" t="s">
        <v>1259</v>
      </c>
      <c r="B11" s="37">
        <v>619318057</v>
      </c>
      <c r="C11" s="193">
        <v>45980</v>
      </c>
      <c r="D11" s="37" t="s">
        <v>1260</v>
      </c>
      <c r="E11" s="37" t="s">
        <v>38</v>
      </c>
      <c r="F11" s="37" t="s">
        <v>379</v>
      </c>
      <c r="G11" s="35">
        <v>13638.66</v>
      </c>
      <c r="H11" s="35">
        <v>12989.2</v>
      </c>
      <c r="I11" s="35">
        <v>1948.39</v>
      </c>
      <c r="J11" s="35">
        <f t="shared" si="0"/>
        <v>1169.0340000000001</v>
      </c>
      <c r="K11" s="195">
        <v>0.6</v>
      </c>
    </row>
    <row r="12" spans="1:11" x14ac:dyDescent="0.25">
      <c r="A12" s="37" t="s">
        <v>324</v>
      </c>
      <c r="B12" s="37">
        <v>621408184</v>
      </c>
      <c r="C12" s="193">
        <v>45982</v>
      </c>
      <c r="D12" s="37" t="s">
        <v>1262</v>
      </c>
      <c r="E12" s="37" t="s">
        <v>38</v>
      </c>
      <c r="F12" s="37" t="s">
        <v>324</v>
      </c>
      <c r="G12" s="35">
        <v>11319.29</v>
      </c>
      <c r="H12" s="35">
        <v>10780.27</v>
      </c>
      <c r="I12" s="35">
        <v>1617.05</v>
      </c>
      <c r="J12" s="35">
        <f t="shared" si="0"/>
        <v>970.2299999999999</v>
      </c>
      <c r="K12" s="195">
        <v>0.6</v>
      </c>
    </row>
    <row r="13" spans="1:11" x14ac:dyDescent="0.25">
      <c r="A13" s="37" t="s">
        <v>822</v>
      </c>
      <c r="B13" s="37">
        <v>621367075</v>
      </c>
      <c r="C13" s="193">
        <v>45979</v>
      </c>
      <c r="D13" s="37" t="s">
        <v>1263</v>
      </c>
      <c r="E13" s="37" t="s">
        <v>38</v>
      </c>
      <c r="F13" s="37" t="s">
        <v>822</v>
      </c>
      <c r="G13" s="35">
        <v>30997.56</v>
      </c>
      <c r="H13" s="35">
        <v>29521.48</v>
      </c>
      <c r="I13" s="35">
        <v>4428.2299999999996</v>
      </c>
      <c r="J13" s="35">
        <f t="shared" si="0"/>
        <v>2656.9379999999996</v>
      </c>
      <c r="K13" s="195">
        <v>0.6</v>
      </c>
    </row>
    <row r="14" spans="1:11" x14ac:dyDescent="0.25">
      <c r="A14" s="37" t="s">
        <v>1276</v>
      </c>
      <c r="B14" s="37">
        <v>624253366</v>
      </c>
      <c r="C14" s="193">
        <v>45988</v>
      </c>
      <c r="D14" s="37" t="s">
        <v>1277</v>
      </c>
      <c r="E14" s="37" t="s">
        <v>38</v>
      </c>
      <c r="F14" s="37" t="s">
        <v>57</v>
      </c>
      <c r="G14" s="35">
        <v>12813.14</v>
      </c>
      <c r="H14" s="35">
        <v>12202.98</v>
      </c>
      <c r="I14" s="35">
        <v>1830.46</v>
      </c>
      <c r="J14" s="35">
        <f t="shared" si="0"/>
        <v>1098.2760000000001</v>
      </c>
      <c r="K14" s="195">
        <v>0.6</v>
      </c>
    </row>
    <row r="15" spans="1:11" x14ac:dyDescent="0.25">
      <c r="A15" s="37" t="s">
        <v>1278</v>
      </c>
      <c r="B15" s="37">
        <v>621525123</v>
      </c>
      <c r="C15" s="193">
        <v>45991</v>
      </c>
      <c r="D15" s="37" t="s">
        <v>1279</v>
      </c>
      <c r="E15" s="37" t="s">
        <v>38</v>
      </c>
      <c r="F15" s="37" t="s">
        <v>57</v>
      </c>
      <c r="G15" s="35">
        <v>15498.88</v>
      </c>
      <c r="H15" s="35">
        <v>14760.83</v>
      </c>
      <c r="I15" s="35">
        <v>2214.13</v>
      </c>
      <c r="J15" s="35">
        <f t="shared" si="0"/>
        <v>1328.4780000000001</v>
      </c>
      <c r="K15" s="195">
        <v>0.6</v>
      </c>
    </row>
    <row r="16" spans="1:11" x14ac:dyDescent="0.25">
      <c r="A16" s="245" t="s">
        <v>151</v>
      </c>
      <c r="B16" s="249">
        <v>591949776</v>
      </c>
      <c r="C16" s="250">
        <v>45965</v>
      </c>
      <c r="D16" s="249" t="s">
        <v>753</v>
      </c>
      <c r="E16" s="197" t="s">
        <v>41</v>
      </c>
      <c r="F16" s="147" t="s">
        <v>112</v>
      </c>
      <c r="G16" s="248">
        <v>20052.86</v>
      </c>
      <c r="H16" s="248">
        <v>19097.97</v>
      </c>
      <c r="I16" s="159">
        <v>-2864.69</v>
      </c>
      <c r="J16" s="146">
        <f>I16*K16</f>
        <v>-1718.8140000000001</v>
      </c>
      <c r="K16" s="172">
        <v>0.6</v>
      </c>
    </row>
    <row r="17" spans="1:11" x14ac:dyDescent="0.25">
      <c r="A17" s="37"/>
      <c r="B17" s="37"/>
      <c r="C17" s="193"/>
      <c r="D17" s="37"/>
      <c r="E17" s="37"/>
      <c r="F17" s="197"/>
      <c r="G17" s="35"/>
      <c r="H17" s="35"/>
      <c r="I17" s="35"/>
      <c r="J17" s="35"/>
      <c r="K17" s="195"/>
    </row>
    <row r="18" spans="1:11" x14ac:dyDescent="0.25">
      <c r="A18" s="37"/>
      <c r="B18" s="37"/>
      <c r="C18" s="193"/>
      <c r="D18" s="37"/>
      <c r="E18" s="37"/>
      <c r="F18" s="190" t="s">
        <v>13</v>
      </c>
      <c r="G18" s="192">
        <f>SUM(G4:G17)</f>
        <v>209198.46000000002</v>
      </c>
      <c r="H18" s="192">
        <f>SUM(H4:H17)</f>
        <v>199236.56</v>
      </c>
      <c r="I18" s="192">
        <f>SUM(I4:I17)</f>
        <v>24156.2</v>
      </c>
      <c r="J18" s="192">
        <f>SUM(J4:J17)</f>
        <v>14493.72</v>
      </c>
      <c r="K18" s="190"/>
    </row>
    <row r="19" spans="1:11" x14ac:dyDescent="0.25">
      <c r="A19" s="37"/>
      <c r="B19" s="37"/>
      <c r="C19" s="193"/>
      <c r="D19" s="37"/>
      <c r="E19" s="37"/>
      <c r="F19" s="198" t="s">
        <v>14</v>
      </c>
      <c r="G19" s="199">
        <v>0</v>
      </c>
      <c r="H19" s="35"/>
      <c r="I19" s="35"/>
      <c r="J19" s="35"/>
      <c r="K19" s="37"/>
    </row>
    <row r="20" spans="1:11" x14ac:dyDescent="0.25">
      <c r="A20" s="37"/>
      <c r="B20" s="37"/>
      <c r="C20" s="193"/>
      <c r="D20" s="37"/>
      <c r="E20" s="200"/>
      <c r="F20" s="201" t="s">
        <v>15</v>
      </c>
      <c r="G20" s="202">
        <f>G19/6</f>
        <v>0</v>
      </c>
      <c r="H20" s="35"/>
      <c r="I20" s="35"/>
      <c r="J20" s="35"/>
      <c r="K20" s="37"/>
    </row>
    <row r="21" spans="1:11" x14ac:dyDescent="0.25">
      <c r="A21" s="37"/>
      <c r="B21" s="251" t="s">
        <v>847</v>
      </c>
      <c r="C21" s="252"/>
      <c r="D21" s="244"/>
      <c r="E21" s="244"/>
      <c r="F21" s="37"/>
      <c r="G21" s="35"/>
      <c r="H21" s="35"/>
      <c r="I21" s="35"/>
      <c r="J21" s="35"/>
      <c r="K21" s="37"/>
    </row>
    <row r="22" spans="1:11" x14ac:dyDescent="0.25">
      <c r="A22" s="37" t="s">
        <v>16</v>
      </c>
      <c r="B22" s="37"/>
      <c r="C22" s="193"/>
      <c r="D22" s="37"/>
      <c r="E22" s="37"/>
      <c r="F22" s="37"/>
      <c r="G22" s="35"/>
      <c r="H22" s="35"/>
      <c r="I22" s="35"/>
      <c r="J22" s="35"/>
      <c r="K22" s="37"/>
    </row>
    <row r="23" spans="1:11" x14ac:dyDescent="0.25">
      <c r="A23" s="37" t="s">
        <v>1203</v>
      </c>
      <c r="B23" s="37">
        <v>616114802</v>
      </c>
      <c r="C23" s="193">
        <v>45967</v>
      </c>
      <c r="D23" s="37" t="s">
        <v>1204</v>
      </c>
      <c r="E23" s="37" t="s">
        <v>38</v>
      </c>
      <c r="F23" s="37" t="s">
        <v>1203</v>
      </c>
      <c r="G23" s="194">
        <v>7455.96</v>
      </c>
      <c r="H23" s="35">
        <v>6657.1</v>
      </c>
      <c r="I23" s="35">
        <v>665.71</v>
      </c>
      <c r="J23" s="35">
        <f t="shared" ref="J23:J52" si="1">I23*K23</f>
        <v>399.42599999999999</v>
      </c>
      <c r="K23" s="195">
        <v>0.6</v>
      </c>
    </row>
    <row r="24" spans="1:11" x14ac:dyDescent="0.25">
      <c r="A24" s="197" t="s">
        <v>1205</v>
      </c>
      <c r="B24" s="197">
        <v>616873402</v>
      </c>
      <c r="C24" s="204">
        <v>45965</v>
      </c>
      <c r="D24" s="197" t="s">
        <v>1206</v>
      </c>
      <c r="E24" s="197" t="s">
        <v>41</v>
      </c>
      <c r="F24" s="197" t="s">
        <v>12</v>
      </c>
      <c r="G24" s="194">
        <v>17893.28</v>
      </c>
      <c r="H24" s="194">
        <v>16153.63</v>
      </c>
      <c r="I24" s="35">
        <v>1615.3</v>
      </c>
      <c r="J24" s="35">
        <f t="shared" si="1"/>
        <v>969.18</v>
      </c>
      <c r="K24" s="195">
        <v>0.6</v>
      </c>
    </row>
    <row r="25" spans="1:11" x14ac:dyDescent="0.25">
      <c r="A25" s="197" t="s">
        <v>1205</v>
      </c>
      <c r="B25" s="197">
        <v>616873402</v>
      </c>
      <c r="C25" s="204">
        <v>45965</v>
      </c>
      <c r="D25" s="197" t="s">
        <v>1206</v>
      </c>
      <c r="E25" s="197" t="s">
        <v>41</v>
      </c>
      <c r="F25" s="197" t="s">
        <v>12</v>
      </c>
      <c r="G25" s="35">
        <v>100</v>
      </c>
      <c r="H25" s="35">
        <v>100</v>
      </c>
      <c r="I25" s="35">
        <v>10</v>
      </c>
      <c r="J25" s="35">
        <f t="shared" si="1"/>
        <v>6</v>
      </c>
      <c r="K25" s="195">
        <v>0.6</v>
      </c>
    </row>
    <row r="26" spans="1:11" x14ac:dyDescent="0.25">
      <c r="A26" s="197" t="s">
        <v>1207</v>
      </c>
      <c r="B26" s="197">
        <v>614998051</v>
      </c>
      <c r="C26" s="204">
        <v>45965</v>
      </c>
      <c r="D26" s="197" t="s">
        <v>1208</v>
      </c>
      <c r="E26" s="197" t="s">
        <v>38</v>
      </c>
      <c r="F26" s="37" t="s">
        <v>1209</v>
      </c>
      <c r="G26" s="35">
        <v>20540.86</v>
      </c>
      <c r="H26" s="35">
        <v>18719.52</v>
      </c>
      <c r="I26" s="35">
        <v>1871.9</v>
      </c>
      <c r="J26" s="35">
        <f t="shared" si="1"/>
        <v>1123.1400000000001</v>
      </c>
      <c r="K26" s="195">
        <v>0.6</v>
      </c>
    </row>
    <row r="27" spans="1:11" x14ac:dyDescent="0.25">
      <c r="A27" s="37" t="s">
        <v>1218</v>
      </c>
      <c r="B27" s="37">
        <v>616957256</v>
      </c>
      <c r="C27" s="193">
        <v>45969</v>
      </c>
      <c r="D27" s="37" t="s">
        <v>1219</v>
      </c>
      <c r="E27" s="37" t="s">
        <v>41</v>
      </c>
      <c r="F27" s="37" t="s">
        <v>12</v>
      </c>
      <c r="G27" s="194">
        <v>17297.21</v>
      </c>
      <c r="H27" s="194">
        <v>15763.46</v>
      </c>
      <c r="I27" s="35">
        <v>1576.3</v>
      </c>
      <c r="J27" s="35">
        <f t="shared" si="1"/>
        <v>945.78</v>
      </c>
      <c r="K27" s="195">
        <v>0.6</v>
      </c>
    </row>
    <row r="28" spans="1:11" x14ac:dyDescent="0.25">
      <c r="A28" s="37" t="s">
        <v>1218</v>
      </c>
      <c r="B28" s="37">
        <v>616957256</v>
      </c>
      <c r="C28" s="193">
        <v>45969</v>
      </c>
      <c r="D28" s="37" t="s">
        <v>1219</v>
      </c>
      <c r="E28" s="37" t="s">
        <v>41</v>
      </c>
      <c r="F28" s="37" t="s">
        <v>12</v>
      </c>
      <c r="G28" s="194">
        <v>100</v>
      </c>
      <c r="H28" s="194">
        <v>100</v>
      </c>
      <c r="I28" s="35">
        <v>10</v>
      </c>
      <c r="J28" s="35">
        <f t="shared" si="1"/>
        <v>6</v>
      </c>
      <c r="K28" s="195">
        <v>0.6</v>
      </c>
    </row>
    <row r="29" spans="1:11" x14ac:dyDescent="0.25">
      <c r="A29" s="37" t="s">
        <v>1221</v>
      </c>
      <c r="B29" s="197">
        <v>616968086</v>
      </c>
      <c r="C29" s="204">
        <v>45970</v>
      </c>
      <c r="D29" s="197" t="s">
        <v>1222</v>
      </c>
      <c r="E29" s="197" t="s">
        <v>38</v>
      </c>
      <c r="F29" s="197" t="s">
        <v>1223</v>
      </c>
      <c r="G29" s="194">
        <v>12078.54</v>
      </c>
      <c r="H29" s="194">
        <v>10970.79</v>
      </c>
      <c r="I29" s="35">
        <v>1097</v>
      </c>
      <c r="J29" s="35">
        <f t="shared" si="1"/>
        <v>658.19999999999993</v>
      </c>
      <c r="K29" s="195">
        <v>0.6</v>
      </c>
    </row>
    <row r="30" spans="1:11" x14ac:dyDescent="0.25">
      <c r="A30" s="37" t="s">
        <v>1221</v>
      </c>
      <c r="B30" s="197">
        <v>616968086</v>
      </c>
      <c r="C30" s="204">
        <v>45970</v>
      </c>
      <c r="D30" s="197" t="s">
        <v>1222</v>
      </c>
      <c r="E30" s="197" t="s">
        <v>38</v>
      </c>
      <c r="F30" s="197" t="s">
        <v>1223</v>
      </c>
      <c r="G30" s="194">
        <v>100</v>
      </c>
      <c r="H30" s="194">
        <v>100</v>
      </c>
      <c r="I30" s="35">
        <v>10</v>
      </c>
      <c r="J30" s="35">
        <f t="shared" si="1"/>
        <v>6</v>
      </c>
      <c r="K30" s="195">
        <v>0.6</v>
      </c>
    </row>
    <row r="31" spans="1:11" x14ac:dyDescent="0.25">
      <c r="A31" s="37" t="s">
        <v>1224</v>
      </c>
      <c r="B31" s="197">
        <v>616975714</v>
      </c>
      <c r="C31" s="204">
        <v>45971</v>
      </c>
      <c r="D31" s="197" t="s">
        <v>1225</v>
      </c>
      <c r="E31" s="197" t="s">
        <v>38</v>
      </c>
      <c r="F31" s="37" t="s">
        <v>1224</v>
      </c>
      <c r="G31" s="194">
        <v>10736.51</v>
      </c>
      <c r="H31" s="194">
        <v>9692.65</v>
      </c>
      <c r="I31" s="35">
        <v>969.2</v>
      </c>
      <c r="J31" s="35">
        <f t="shared" si="1"/>
        <v>581.52</v>
      </c>
      <c r="K31" s="195">
        <v>0.6</v>
      </c>
    </row>
    <row r="32" spans="1:11" x14ac:dyDescent="0.25">
      <c r="A32" s="37" t="s">
        <v>1226</v>
      </c>
      <c r="B32" s="197">
        <v>618184096</v>
      </c>
      <c r="C32" s="204">
        <v>45968</v>
      </c>
      <c r="D32" s="197" t="s">
        <v>1227</v>
      </c>
      <c r="E32" s="197" t="s">
        <v>38</v>
      </c>
      <c r="F32" s="197" t="s">
        <v>1226</v>
      </c>
      <c r="G32" s="194">
        <v>24267.25</v>
      </c>
      <c r="H32" s="194">
        <v>22000.560000000001</v>
      </c>
      <c r="I32" s="35">
        <v>2200</v>
      </c>
      <c r="J32" s="35">
        <f t="shared" si="1"/>
        <v>1320</v>
      </c>
      <c r="K32" s="195">
        <v>0.6</v>
      </c>
    </row>
    <row r="33" spans="1:11" x14ac:dyDescent="0.25">
      <c r="A33" s="37" t="s">
        <v>1226</v>
      </c>
      <c r="B33" s="197">
        <v>618184096</v>
      </c>
      <c r="C33" s="204">
        <v>45968</v>
      </c>
      <c r="D33" s="197" t="s">
        <v>1227</v>
      </c>
      <c r="E33" s="197" t="s">
        <v>38</v>
      </c>
      <c r="F33" s="197" t="s">
        <v>1226</v>
      </c>
      <c r="G33" s="194">
        <v>100</v>
      </c>
      <c r="H33" s="194">
        <v>100</v>
      </c>
      <c r="I33" s="35">
        <v>10</v>
      </c>
      <c r="J33" s="35">
        <f t="shared" si="1"/>
        <v>6</v>
      </c>
      <c r="K33" s="195">
        <v>0.6</v>
      </c>
    </row>
    <row r="34" spans="1:11" x14ac:dyDescent="0.25">
      <c r="A34" s="37" t="s">
        <v>1228</v>
      </c>
      <c r="B34" s="37">
        <v>617023472</v>
      </c>
      <c r="C34" s="204">
        <v>45971</v>
      </c>
      <c r="D34" s="197" t="s">
        <v>1229</v>
      </c>
      <c r="E34" s="197" t="s">
        <v>41</v>
      </c>
      <c r="F34" s="197" t="s">
        <v>12</v>
      </c>
      <c r="G34" s="194">
        <v>12078.53</v>
      </c>
      <c r="H34" s="194">
        <v>10970.79</v>
      </c>
      <c r="I34" s="35">
        <v>1097</v>
      </c>
      <c r="J34" s="35">
        <f t="shared" si="1"/>
        <v>658.19999999999993</v>
      </c>
      <c r="K34" s="195">
        <v>0.6</v>
      </c>
    </row>
    <row r="35" spans="1:11" x14ac:dyDescent="0.25">
      <c r="A35" s="37" t="s">
        <v>1228</v>
      </c>
      <c r="B35" s="37">
        <v>617023472</v>
      </c>
      <c r="C35" s="204">
        <v>45971</v>
      </c>
      <c r="D35" s="197" t="s">
        <v>1229</v>
      </c>
      <c r="E35" s="197" t="s">
        <v>41</v>
      </c>
      <c r="F35" s="197" t="s">
        <v>12</v>
      </c>
      <c r="G35" s="16">
        <v>100</v>
      </c>
      <c r="H35" s="16">
        <v>100</v>
      </c>
      <c r="I35" s="35">
        <v>10</v>
      </c>
      <c r="J35" s="35">
        <f t="shared" si="1"/>
        <v>6</v>
      </c>
      <c r="K35" s="195">
        <v>0.6</v>
      </c>
    </row>
    <row r="36" spans="1:11" x14ac:dyDescent="0.25">
      <c r="A36" s="37" t="s">
        <v>1230</v>
      </c>
      <c r="B36" s="197">
        <v>618264359</v>
      </c>
      <c r="C36" s="204">
        <v>45973</v>
      </c>
      <c r="D36" s="197" t="s">
        <v>1231</v>
      </c>
      <c r="E36" s="197" t="s">
        <v>38</v>
      </c>
      <c r="F36" s="37" t="s">
        <v>1230</v>
      </c>
      <c r="G36" s="194">
        <v>10736.49</v>
      </c>
      <c r="H36" s="194">
        <v>9692.65</v>
      </c>
      <c r="I36" s="35">
        <v>969.2</v>
      </c>
      <c r="J36" s="35">
        <f t="shared" si="1"/>
        <v>581.52</v>
      </c>
      <c r="K36" s="195">
        <v>0.6</v>
      </c>
    </row>
    <row r="37" spans="1:11" x14ac:dyDescent="0.25">
      <c r="A37" s="37" t="s">
        <v>1230</v>
      </c>
      <c r="B37" s="197">
        <v>618264359</v>
      </c>
      <c r="C37" s="204">
        <v>45973</v>
      </c>
      <c r="D37" s="197" t="s">
        <v>1231</v>
      </c>
      <c r="E37" s="197" t="s">
        <v>38</v>
      </c>
      <c r="F37" s="37" t="s">
        <v>1230</v>
      </c>
      <c r="G37" s="194">
        <v>100</v>
      </c>
      <c r="H37" s="194">
        <v>100</v>
      </c>
      <c r="I37" s="35">
        <v>10</v>
      </c>
      <c r="J37" s="35">
        <f t="shared" si="1"/>
        <v>6</v>
      </c>
      <c r="K37" s="195">
        <v>0.6</v>
      </c>
    </row>
    <row r="38" spans="1:11" x14ac:dyDescent="0.25">
      <c r="A38" s="37" t="s">
        <v>1232</v>
      </c>
      <c r="B38" s="197">
        <v>618246937</v>
      </c>
      <c r="C38" s="204">
        <v>45972</v>
      </c>
      <c r="D38" s="197" t="s">
        <v>1233</v>
      </c>
      <c r="E38" s="197" t="s">
        <v>38</v>
      </c>
      <c r="F38" s="197" t="s">
        <v>1234</v>
      </c>
      <c r="G38" s="194">
        <v>12116.27</v>
      </c>
      <c r="H38" s="194">
        <v>11041.94</v>
      </c>
      <c r="I38" s="35">
        <v>1104.0999999999999</v>
      </c>
      <c r="J38" s="35">
        <f t="shared" si="1"/>
        <v>662.45999999999992</v>
      </c>
      <c r="K38" s="195">
        <v>0.6</v>
      </c>
    </row>
    <row r="39" spans="1:11" x14ac:dyDescent="0.25">
      <c r="A39" s="37" t="s">
        <v>1248</v>
      </c>
      <c r="B39" s="197">
        <v>618626627</v>
      </c>
      <c r="C39" s="204">
        <v>45971</v>
      </c>
      <c r="D39" s="197" t="s">
        <v>1249</v>
      </c>
      <c r="E39" s="197" t="s">
        <v>38</v>
      </c>
      <c r="F39" s="37" t="s">
        <v>1248</v>
      </c>
      <c r="G39" s="194">
        <v>16838.68</v>
      </c>
      <c r="H39" s="194">
        <v>15201.57</v>
      </c>
      <c r="I39" s="35">
        <v>1520.1</v>
      </c>
      <c r="J39" s="35">
        <f t="shared" si="1"/>
        <v>912.06</v>
      </c>
      <c r="K39" s="195">
        <v>0.6</v>
      </c>
    </row>
    <row r="40" spans="1:11" x14ac:dyDescent="0.25">
      <c r="A40" s="37" t="s">
        <v>1251</v>
      </c>
      <c r="B40" s="197">
        <v>619580497</v>
      </c>
      <c r="C40" s="204">
        <v>45973</v>
      </c>
      <c r="D40" s="197" t="s">
        <v>1252</v>
      </c>
      <c r="E40" s="197" t="s">
        <v>38</v>
      </c>
      <c r="F40" s="37" t="s">
        <v>1251</v>
      </c>
      <c r="G40" s="194">
        <v>14911.06</v>
      </c>
      <c r="H40" s="194">
        <v>13313.43</v>
      </c>
      <c r="I40" s="35">
        <v>1331.3</v>
      </c>
      <c r="J40" s="35">
        <f t="shared" si="1"/>
        <v>798.78</v>
      </c>
      <c r="K40" s="195">
        <v>0.6</v>
      </c>
    </row>
    <row r="41" spans="1:11" x14ac:dyDescent="0.25">
      <c r="A41" s="37" t="s">
        <v>581</v>
      </c>
      <c r="B41" s="197">
        <v>619747287</v>
      </c>
      <c r="C41" s="204">
        <v>45973</v>
      </c>
      <c r="D41" s="197" t="s">
        <v>1253</v>
      </c>
      <c r="E41" s="197" t="s">
        <v>38</v>
      </c>
      <c r="F41" s="37" t="s">
        <v>581</v>
      </c>
      <c r="G41" s="194">
        <v>18519.060000000001</v>
      </c>
      <c r="H41" s="194">
        <v>16534.88</v>
      </c>
      <c r="I41" s="35">
        <v>1653.4</v>
      </c>
      <c r="J41" s="35">
        <f t="shared" si="1"/>
        <v>992.04</v>
      </c>
      <c r="K41" s="195">
        <v>0.6</v>
      </c>
    </row>
    <row r="42" spans="1:11" x14ac:dyDescent="0.25">
      <c r="A42" s="37" t="s">
        <v>1254</v>
      </c>
      <c r="B42" s="197">
        <v>620060992</v>
      </c>
      <c r="C42" s="204">
        <v>45980</v>
      </c>
      <c r="D42" s="197" t="s">
        <v>1255</v>
      </c>
      <c r="E42" s="197" t="s">
        <v>38</v>
      </c>
      <c r="F42" s="37" t="s">
        <v>1254</v>
      </c>
      <c r="G42" s="194">
        <v>7455.96</v>
      </c>
      <c r="H42" s="194">
        <v>6657.1</v>
      </c>
      <c r="I42" s="35">
        <v>665.7</v>
      </c>
      <c r="J42" s="35">
        <f t="shared" si="1"/>
        <v>399.42</v>
      </c>
      <c r="K42" s="195">
        <v>0.6</v>
      </c>
    </row>
    <row r="43" spans="1:11" x14ac:dyDescent="0.25">
      <c r="A43" s="37" t="s">
        <v>1261</v>
      </c>
      <c r="B43" s="197">
        <v>619314805</v>
      </c>
      <c r="C43" s="204">
        <v>45980</v>
      </c>
      <c r="D43" s="197" t="s">
        <v>1260</v>
      </c>
      <c r="E43" s="197" t="s">
        <v>41</v>
      </c>
      <c r="F43" s="37" t="s">
        <v>12</v>
      </c>
      <c r="G43" s="194">
        <v>12865.61</v>
      </c>
      <c r="H43" s="194">
        <v>11556.78</v>
      </c>
      <c r="I43" s="35">
        <v>1155.5999999999999</v>
      </c>
      <c r="J43" s="35">
        <f t="shared" si="1"/>
        <v>693.3599999999999</v>
      </c>
      <c r="K43" s="195">
        <v>0.6</v>
      </c>
    </row>
    <row r="44" spans="1:11" x14ac:dyDescent="0.25">
      <c r="A44" s="37" t="s">
        <v>1256</v>
      </c>
      <c r="B44" s="197">
        <v>620308390</v>
      </c>
      <c r="C44" s="204">
        <v>45977</v>
      </c>
      <c r="D44" s="197" t="s">
        <v>1257</v>
      </c>
      <c r="E44" s="197" t="s">
        <v>38</v>
      </c>
      <c r="F44" s="197" t="s">
        <v>1258</v>
      </c>
      <c r="G44" s="194">
        <v>8947.0499999999993</v>
      </c>
      <c r="H44" s="194">
        <v>7988.44</v>
      </c>
      <c r="I44" s="35">
        <v>798.8</v>
      </c>
      <c r="J44" s="35">
        <f t="shared" si="1"/>
        <v>479.28</v>
      </c>
      <c r="K44" s="195">
        <v>0.6</v>
      </c>
    </row>
    <row r="45" spans="1:11" x14ac:dyDescent="0.25">
      <c r="A45" s="37" t="s">
        <v>822</v>
      </c>
      <c r="B45" s="197">
        <v>621375435</v>
      </c>
      <c r="C45" s="204">
        <v>45979</v>
      </c>
      <c r="D45" s="197" t="s">
        <v>1263</v>
      </c>
      <c r="E45" s="197" t="s">
        <v>38</v>
      </c>
      <c r="F45" s="37" t="s">
        <v>822</v>
      </c>
      <c r="G45" s="194">
        <v>14911.06</v>
      </c>
      <c r="H45" s="194">
        <v>13313.43</v>
      </c>
      <c r="I45" s="35">
        <v>1331.3</v>
      </c>
      <c r="J45" s="35">
        <f t="shared" si="1"/>
        <v>798.78</v>
      </c>
      <c r="K45" s="195">
        <v>0.6</v>
      </c>
    </row>
    <row r="46" spans="1:11" x14ac:dyDescent="0.25">
      <c r="A46" s="37" t="s">
        <v>1264</v>
      </c>
      <c r="B46" s="197">
        <v>623232367</v>
      </c>
      <c r="C46" s="204">
        <v>45985</v>
      </c>
      <c r="D46" s="197" t="s">
        <v>1265</v>
      </c>
      <c r="E46" s="197" t="s">
        <v>38</v>
      </c>
      <c r="F46" s="37" t="s">
        <v>1264</v>
      </c>
      <c r="G46" s="194">
        <v>20129.939999999999</v>
      </c>
      <c r="H46" s="194">
        <v>18283.78</v>
      </c>
      <c r="I46" s="35">
        <v>1828.3</v>
      </c>
      <c r="J46" s="35">
        <f t="shared" si="1"/>
        <v>1096.98</v>
      </c>
      <c r="K46" s="195">
        <v>0.6</v>
      </c>
    </row>
    <row r="47" spans="1:11" x14ac:dyDescent="0.25">
      <c r="A47" s="37" t="s">
        <v>1267</v>
      </c>
      <c r="B47" s="197">
        <v>623499725</v>
      </c>
      <c r="C47" s="204">
        <v>45987</v>
      </c>
      <c r="D47" s="197" t="s">
        <v>1268</v>
      </c>
      <c r="E47" s="197" t="s">
        <v>38</v>
      </c>
      <c r="F47" s="197" t="s">
        <v>1269</v>
      </c>
      <c r="G47" s="194">
        <v>22222.86</v>
      </c>
      <c r="H47" s="194">
        <v>20062.3</v>
      </c>
      <c r="I47" s="35">
        <v>2006.2</v>
      </c>
      <c r="J47" s="35">
        <f t="shared" si="1"/>
        <v>1203.72</v>
      </c>
      <c r="K47" s="195">
        <v>0.6</v>
      </c>
    </row>
    <row r="48" spans="1:11" x14ac:dyDescent="0.25">
      <c r="A48" s="37" t="s">
        <v>1267</v>
      </c>
      <c r="B48" s="197">
        <v>623499725</v>
      </c>
      <c r="C48" s="204">
        <v>45987</v>
      </c>
      <c r="D48" s="197" t="s">
        <v>1268</v>
      </c>
      <c r="E48" s="197" t="s">
        <v>38</v>
      </c>
      <c r="F48" s="197" t="s">
        <v>1269</v>
      </c>
      <c r="G48" s="194">
        <v>100</v>
      </c>
      <c r="H48" s="194">
        <v>100</v>
      </c>
      <c r="I48" s="35">
        <v>10</v>
      </c>
      <c r="J48" s="35">
        <f t="shared" si="1"/>
        <v>6</v>
      </c>
      <c r="K48" s="195">
        <v>0.6</v>
      </c>
    </row>
    <row r="49" spans="1:11" x14ac:dyDescent="0.25">
      <c r="A49" s="245" t="s">
        <v>151</v>
      </c>
      <c r="B49" s="249">
        <v>590578765</v>
      </c>
      <c r="C49" s="250">
        <v>45965</v>
      </c>
      <c r="D49" s="249" t="s">
        <v>753</v>
      </c>
      <c r="E49" s="197" t="s">
        <v>38</v>
      </c>
      <c r="F49" s="147" t="s">
        <v>112</v>
      </c>
      <c r="G49" s="248">
        <v>7479.62</v>
      </c>
      <c r="H49" s="248">
        <v>6736.27</v>
      </c>
      <c r="I49" s="159">
        <v>-480.36</v>
      </c>
      <c r="J49" s="146">
        <f t="shared" si="1"/>
        <v>-288.21600000000001</v>
      </c>
      <c r="K49" s="172">
        <v>0.6</v>
      </c>
    </row>
    <row r="50" spans="1:11" x14ac:dyDescent="0.25">
      <c r="A50" s="245" t="s">
        <v>1128</v>
      </c>
      <c r="B50" s="249">
        <v>608579671</v>
      </c>
      <c r="C50" s="250">
        <v>45986</v>
      </c>
      <c r="D50" s="249" t="s">
        <v>1129</v>
      </c>
      <c r="E50" s="197" t="s">
        <v>38</v>
      </c>
      <c r="F50" s="147" t="s">
        <v>112</v>
      </c>
      <c r="G50" s="248">
        <v>10158.85</v>
      </c>
      <c r="H50" s="248">
        <v>9209.9599999999991</v>
      </c>
      <c r="I50" s="159">
        <v>-626.99</v>
      </c>
      <c r="J50" s="146">
        <f t="shared" si="1"/>
        <v>-376.19400000000002</v>
      </c>
      <c r="K50" s="172">
        <v>0.6</v>
      </c>
    </row>
    <row r="51" spans="1:11" x14ac:dyDescent="0.25">
      <c r="A51" s="245" t="s">
        <v>808</v>
      </c>
      <c r="B51" s="249">
        <v>596754175</v>
      </c>
      <c r="C51" s="250">
        <v>45987</v>
      </c>
      <c r="D51" s="249" t="s">
        <v>809</v>
      </c>
      <c r="E51" s="197" t="s">
        <v>38</v>
      </c>
      <c r="F51" s="147" t="s">
        <v>112</v>
      </c>
      <c r="G51" s="248">
        <v>5362.77</v>
      </c>
      <c r="H51" s="248">
        <v>4852.04</v>
      </c>
      <c r="I51" s="159">
        <v>-248.79</v>
      </c>
      <c r="J51" s="146">
        <f t="shared" si="1"/>
        <v>-149.274</v>
      </c>
      <c r="K51" s="172">
        <v>0.6</v>
      </c>
    </row>
    <row r="52" spans="1:11" x14ac:dyDescent="0.25">
      <c r="A52" s="245" t="s">
        <v>1216</v>
      </c>
      <c r="B52" s="249">
        <v>610981692</v>
      </c>
      <c r="C52" s="250">
        <v>45966</v>
      </c>
      <c r="D52" s="249" t="s">
        <v>1217</v>
      </c>
      <c r="E52" s="197" t="s">
        <v>38</v>
      </c>
      <c r="F52" s="147" t="s">
        <v>112</v>
      </c>
      <c r="G52" s="248">
        <v>21097.96</v>
      </c>
      <c r="H52" s="248">
        <v>19046.77</v>
      </c>
      <c r="I52" s="159">
        <v>-1569.31</v>
      </c>
      <c r="J52" s="146">
        <f t="shared" si="1"/>
        <v>-941.5859999999999</v>
      </c>
      <c r="K52" s="172">
        <v>0.6</v>
      </c>
    </row>
    <row r="53" spans="1:11" x14ac:dyDescent="0.25">
      <c r="A53" s="197"/>
      <c r="B53" s="205"/>
      <c r="C53" s="204"/>
      <c r="D53" s="197"/>
      <c r="E53" s="197"/>
      <c r="F53" s="37"/>
      <c r="G53" s="194"/>
      <c r="H53" s="194"/>
      <c r="I53" s="194"/>
      <c r="J53" s="35"/>
      <c r="K53" s="195"/>
    </row>
    <row r="54" spans="1:11" x14ac:dyDescent="0.25">
      <c r="A54" s="37"/>
      <c r="B54" s="37"/>
      <c r="C54" s="193"/>
      <c r="D54" s="37"/>
      <c r="E54" s="37"/>
      <c r="F54" s="197" t="s">
        <v>57</v>
      </c>
      <c r="G54" s="192">
        <f>SUM(G23:G53)</f>
        <v>326801.37999999995</v>
      </c>
      <c r="H54" s="192">
        <f>SUM(H23:H53)</f>
        <v>295119.83999999997</v>
      </c>
      <c r="I54" s="192">
        <f>SUM(I23:I53)</f>
        <v>22600.959999999995</v>
      </c>
      <c r="J54" s="192">
        <f>SUM(J23:J53)</f>
        <v>13560.576000000003</v>
      </c>
      <c r="K54" s="190"/>
    </row>
    <row r="55" spans="1:11" x14ac:dyDescent="0.25">
      <c r="A55" s="37"/>
      <c r="B55" s="37"/>
      <c r="C55" s="193"/>
      <c r="D55" s="37"/>
      <c r="E55" s="37"/>
      <c r="F55" s="198" t="s">
        <v>14</v>
      </c>
      <c r="G55" s="199">
        <f>G24+G25+G27+G28+G34+G35+G43</f>
        <v>60434.63</v>
      </c>
      <c r="H55" s="35"/>
      <c r="I55" s="35"/>
      <c r="J55" s="35"/>
      <c r="K55" s="37"/>
    </row>
    <row r="56" spans="1:11" x14ac:dyDescent="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x14ac:dyDescent="0.25">
      <c r="A57" s="37" t="s">
        <v>17</v>
      </c>
      <c r="B57" s="37"/>
      <c r="C57" s="193"/>
      <c r="D57" s="37"/>
      <c r="E57" s="37"/>
      <c r="F57" s="37"/>
      <c r="G57" s="35"/>
      <c r="H57" s="35"/>
      <c r="I57" s="35"/>
      <c r="J57" s="35"/>
      <c r="K57" s="37"/>
    </row>
    <row r="58" spans="1:11" x14ac:dyDescent="0.25">
      <c r="A58" s="37" t="s">
        <v>57</v>
      </c>
      <c r="B58" s="37">
        <v>616323720</v>
      </c>
      <c r="C58" s="193">
        <v>45963</v>
      </c>
      <c r="D58" s="37" t="s">
        <v>12</v>
      </c>
      <c r="E58" s="37" t="s">
        <v>41</v>
      </c>
      <c r="F58" s="37" t="s">
        <v>12</v>
      </c>
      <c r="G58" s="206">
        <v>4191.88</v>
      </c>
      <c r="H58" s="206">
        <v>3978.2</v>
      </c>
      <c r="I58" s="206">
        <v>596.70000000000005</v>
      </c>
      <c r="J58" s="35">
        <f t="shared" ref="J58:J66" si="2">I58*K58</f>
        <v>358.02000000000004</v>
      </c>
      <c r="K58" s="195">
        <v>0.6</v>
      </c>
    </row>
    <row r="59" spans="1:11" x14ac:dyDescent="0.25">
      <c r="A59" s="37" t="s">
        <v>324</v>
      </c>
      <c r="B59" s="37">
        <v>617596601</v>
      </c>
      <c r="C59" s="193">
        <v>45967</v>
      </c>
      <c r="D59" s="37" t="s">
        <v>12</v>
      </c>
      <c r="E59" s="37" t="s">
        <v>38</v>
      </c>
      <c r="F59" s="37" t="s">
        <v>324</v>
      </c>
      <c r="G59" s="206">
        <v>2753.63</v>
      </c>
      <c r="H59" s="206">
        <v>2540.2600000000002</v>
      </c>
      <c r="I59" s="206">
        <v>381</v>
      </c>
      <c r="J59" s="35">
        <f t="shared" si="2"/>
        <v>228.6</v>
      </c>
      <c r="K59" s="195">
        <v>0.6</v>
      </c>
    </row>
    <row r="60" spans="1:11" x14ac:dyDescent="0.25">
      <c r="A60" s="37" t="s">
        <v>324</v>
      </c>
      <c r="B60" s="37">
        <v>617599987</v>
      </c>
      <c r="C60" s="193">
        <v>45967</v>
      </c>
      <c r="D60" s="37" t="s">
        <v>12</v>
      </c>
      <c r="E60" s="37" t="s">
        <v>38</v>
      </c>
      <c r="F60" s="37" t="s">
        <v>324</v>
      </c>
      <c r="G60" s="206">
        <v>2534.3000000000002</v>
      </c>
      <c r="H60" s="206">
        <v>2332</v>
      </c>
      <c r="I60" s="206">
        <v>349.8</v>
      </c>
      <c r="J60" s="35">
        <f t="shared" si="2"/>
        <v>209.88</v>
      </c>
      <c r="K60" s="195">
        <v>0.6</v>
      </c>
    </row>
    <row r="61" spans="1:11" x14ac:dyDescent="0.25">
      <c r="A61" s="37" t="s">
        <v>1220</v>
      </c>
      <c r="B61" s="37">
        <v>613264899</v>
      </c>
      <c r="C61" s="193">
        <v>45968</v>
      </c>
      <c r="D61" s="37" t="s">
        <v>12</v>
      </c>
      <c r="E61" s="37" t="s">
        <v>38</v>
      </c>
      <c r="F61" s="37" t="s">
        <v>1220</v>
      </c>
      <c r="G61" s="206">
        <v>56451.63</v>
      </c>
      <c r="H61" s="206">
        <v>53707.49</v>
      </c>
      <c r="I61" s="206">
        <v>8056.05</v>
      </c>
      <c r="J61" s="35">
        <f t="shared" si="2"/>
        <v>4833.63</v>
      </c>
      <c r="K61" s="195">
        <v>0.6</v>
      </c>
    </row>
    <row r="62" spans="1:11" x14ac:dyDescent="0.25">
      <c r="A62" s="37" t="s">
        <v>1250</v>
      </c>
      <c r="B62" s="37">
        <v>613262880</v>
      </c>
      <c r="C62" s="193">
        <v>45977</v>
      </c>
      <c r="D62" s="37" t="s">
        <v>12</v>
      </c>
      <c r="E62" s="37" t="s">
        <v>38</v>
      </c>
      <c r="F62" s="37" t="s">
        <v>1285</v>
      </c>
      <c r="G62" s="206">
        <v>68574.19</v>
      </c>
      <c r="H62" s="206">
        <v>65274.51</v>
      </c>
      <c r="I62" s="206">
        <v>9791.1</v>
      </c>
      <c r="J62" s="35">
        <f t="shared" si="2"/>
        <v>5874.66</v>
      </c>
      <c r="K62" s="195">
        <v>0.6</v>
      </c>
    </row>
    <row r="63" spans="1:11" x14ac:dyDescent="0.25">
      <c r="A63" s="37" t="s">
        <v>103</v>
      </c>
      <c r="B63" s="37">
        <v>613268898</v>
      </c>
      <c r="C63" s="193">
        <v>45979</v>
      </c>
      <c r="D63" s="37" t="s">
        <v>12</v>
      </c>
      <c r="E63" s="37" t="s">
        <v>38</v>
      </c>
      <c r="F63" s="37" t="s">
        <v>103</v>
      </c>
      <c r="G63" s="206">
        <v>9451.84</v>
      </c>
      <c r="H63" s="206">
        <v>8982.9</v>
      </c>
      <c r="I63" s="206">
        <v>1347.3</v>
      </c>
      <c r="J63" s="35">
        <f t="shared" si="2"/>
        <v>808.38</v>
      </c>
      <c r="K63" s="195">
        <v>0.6</v>
      </c>
    </row>
    <row r="64" spans="1:11" x14ac:dyDescent="0.25">
      <c r="A64" s="37" t="s">
        <v>1163</v>
      </c>
      <c r="B64" s="37">
        <v>613260042</v>
      </c>
      <c r="C64" s="193">
        <v>45986</v>
      </c>
      <c r="D64" s="37" t="s">
        <v>12</v>
      </c>
      <c r="E64" s="37" t="s">
        <v>38</v>
      </c>
      <c r="F64" s="37" t="s">
        <v>822</v>
      </c>
      <c r="G64" s="206">
        <v>21267.73</v>
      </c>
      <c r="H64" s="206">
        <v>20237</v>
      </c>
      <c r="I64" s="206">
        <v>3035.55</v>
      </c>
      <c r="J64" s="35">
        <f t="shared" si="2"/>
        <v>1821.3300000000002</v>
      </c>
      <c r="K64" s="195">
        <v>0.6</v>
      </c>
    </row>
    <row r="65" spans="1:11" x14ac:dyDescent="0.25">
      <c r="A65" s="37" t="s">
        <v>1266</v>
      </c>
      <c r="B65" s="37">
        <v>5478234</v>
      </c>
      <c r="C65" s="193">
        <v>45984</v>
      </c>
      <c r="D65" s="37" t="s">
        <v>12</v>
      </c>
      <c r="E65" s="37" t="s">
        <v>38</v>
      </c>
      <c r="F65" s="37" t="s">
        <v>1266</v>
      </c>
      <c r="G65" s="206">
        <v>61200.29</v>
      </c>
      <c r="H65" s="206">
        <v>61200.29</v>
      </c>
      <c r="I65" s="206">
        <v>9180</v>
      </c>
      <c r="J65" s="35">
        <f t="shared" si="2"/>
        <v>5508</v>
      </c>
      <c r="K65" s="195">
        <v>0.6</v>
      </c>
    </row>
    <row r="66" spans="1:11" x14ac:dyDescent="0.25">
      <c r="A66" s="37"/>
      <c r="B66" s="37"/>
      <c r="C66" s="193"/>
      <c r="D66" s="37"/>
      <c r="E66" s="37"/>
      <c r="F66" s="37"/>
      <c r="G66" s="206"/>
      <c r="H66" s="206"/>
      <c r="I66" s="206"/>
      <c r="J66" s="35">
        <f t="shared" si="2"/>
        <v>0</v>
      </c>
      <c r="K66" s="195">
        <v>0.6</v>
      </c>
    </row>
    <row r="67" spans="1:11" x14ac:dyDescent="0.25">
      <c r="A67" s="37"/>
      <c r="B67" s="37"/>
      <c r="C67" s="193"/>
      <c r="D67" s="37"/>
      <c r="E67" s="37"/>
      <c r="F67" s="197"/>
      <c r="G67" s="207"/>
      <c r="H67" s="207"/>
      <c r="I67" s="206"/>
      <c r="J67" s="206"/>
      <c r="K67" s="195"/>
    </row>
    <row r="68" spans="1:11" x14ac:dyDescent="0.25">
      <c r="A68" s="37"/>
      <c r="B68" s="37"/>
      <c r="C68" s="193"/>
      <c r="D68" s="37"/>
      <c r="E68" s="37"/>
      <c r="F68" s="190" t="s">
        <v>13</v>
      </c>
      <c r="G68" s="192">
        <f>SUM(G58:G67)</f>
        <v>226425.49000000002</v>
      </c>
      <c r="H68" s="192">
        <f>SUM(H58:H67)</f>
        <v>218252.65</v>
      </c>
      <c r="I68" s="192">
        <f>SUM(I58:I67)</f>
        <v>32737.5</v>
      </c>
      <c r="J68" s="192">
        <f>SUM(J58:J67)</f>
        <v>19642.5</v>
      </c>
      <c r="K68" s="190"/>
    </row>
    <row r="69" spans="1:11" x14ac:dyDescent="0.25">
      <c r="A69" s="37"/>
      <c r="B69" s="37"/>
      <c r="C69" s="193"/>
      <c r="D69" s="37"/>
      <c r="E69" s="37"/>
      <c r="F69" s="198" t="s">
        <v>14</v>
      </c>
      <c r="G69" s="199">
        <f>G58/6</f>
        <v>698.64666666666665</v>
      </c>
      <c r="H69" s="35"/>
      <c r="I69" s="35"/>
      <c r="J69" s="35"/>
      <c r="K69" s="37"/>
    </row>
    <row r="70" spans="1:11" x14ac:dyDescent="0.25">
      <c r="A70" s="37"/>
      <c r="B70" s="37"/>
      <c r="C70" s="193"/>
      <c r="D70" s="198"/>
      <c r="E70" s="198" t="s">
        <v>18</v>
      </c>
      <c r="F70" s="198"/>
      <c r="G70" s="199">
        <f>G69/6</f>
        <v>116.44111111111111</v>
      </c>
      <c r="H70" s="35"/>
      <c r="I70" s="35"/>
      <c r="J70" s="35"/>
      <c r="K70" s="37"/>
    </row>
    <row r="71" spans="1:11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x14ac:dyDescent="0.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x14ac:dyDescent="0.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x14ac:dyDescent="0.25">
      <c r="A74" s="176" t="s">
        <v>19</v>
      </c>
      <c r="B74" s="208"/>
      <c r="C74" s="209">
        <f>G19</f>
        <v>0</v>
      </c>
      <c r="D74" s="37"/>
      <c r="E74" s="177" t="s">
        <v>20</v>
      </c>
      <c r="F74" s="176"/>
      <c r="G74" s="209">
        <f>G56</f>
        <v>0</v>
      </c>
      <c r="H74" s="176"/>
      <c r="I74" s="176" t="s">
        <v>21</v>
      </c>
      <c r="J74" s="176"/>
      <c r="K74" s="40">
        <f>G69</f>
        <v>698.64666666666665</v>
      </c>
    </row>
    <row r="75" spans="1:11" x14ac:dyDescent="0.25">
      <c r="A75" s="208" t="s">
        <v>22</v>
      </c>
      <c r="B75" s="208"/>
      <c r="C75" s="209">
        <f>G20</f>
        <v>0</v>
      </c>
      <c r="D75" s="211"/>
      <c r="E75" s="212"/>
      <c r="F75" s="212"/>
      <c r="G75" s="208" t="s">
        <v>12</v>
      </c>
      <c r="H75" s="37"/>
      <c r="I75" s="208" t="s">
        <v>23</v>
      </c>
      <c r="J75" s="208"/>
      <c r="K75" s="209">
        <f>G70</f>
        <v>116.44111111111111</v>
      </c>
    </row>
    <row r="76" spans="1:11" x14ac:dyDescent="0.25">
      <c r="A76" s="208" t="s">
        <v>24</v>
      </c>
      <c r="B76" s="208"/>
      <c r="C76" s="209">
        <f>J18</f>
        <v>14493.72</v>
      </c>
      <c r="D76" s="211"/>
      <c r="E76" s="212" t="s">
        <v>25</v>
      </c>
      <c r="F76" s="212"/>
      <c r="G76" s="209">
        <f>J54</f>
        <v>13560.576000000003</v>
      </c>
      <c r="H76" s="37"/>
      <c r="I76" s="208" t="s">
        <v>26</v>
      </c>
      <c r="J76" s="208"/>
      <c r="K76" s="209">
        <f>J68</f>
        <v>19642.5</v>
      </c>
    </row>
    <row r="77" spans="1:11" x14ac:dyDescent="0.25">
      <c r="A77" s="208"/>
      <c r="B77" s="208"/>
      <c r="C77" s="209"/>
      <c r="D77" s="211"/>
      <c r="E77" s="212"/>
      <c r="F77" s="212"/>
      <c r="G77" s="209"/>
      <c r="H77" s="37"/>
      <c r="I77" s="208"/>
      <c r="J77" s="208"/>
      <c r="K77" s="208"/>
    </row>
    <row r="78" spans="1:11" x14ac:dyDescent="0.25">
      <c r="A78" s="208"/>
      <c r="B78" s="208"/>
      <c r="C78" s="208"/>
      <c r="D78" s="37"/>
      <c r="E78" s="208"/>
      <c r="F78" s="208"/>
      <c r="G78" s="208"/>
      <c r="H78" s="37"/>
      <c r="I78" s="208"/>
      <c r="J78" s="208"/>
      <c r="K78" s="208"/>
    </row>
    <row r="79" spans="1:11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x14ac:dyDescent="0.25">
      <c r="A80" s="177" t="s">
        <v>27</v>
      </c>
      <c r="B80" s="176"/>
      <c r="C80" s="176"/>
      <c r="D80" s="37"/>
      <c r="E80" s="177" t="s">
        <v>28</v>
      </c>
      <c r="F80" s="176"/>
      <c r="G80" s="176"/>
      <c r="H80" s="37"/>
      <c r="I80" s="58" t="s">
        <v>104</v>
      </c>
      <c r="J80" s="58"/>
      <c r="K80" s="58"/>
    </row>
    <row r="81" spans="1:11" x14ac:dyDescent="0.25">
      <c r="A81" s="138"/>
      <c r="B81" s="138"/>
      <c r="C81" s="214"/>
      <c r="D81" s="37"/>
      <c r="E81" s="37"/>
      <c r="F81" s="37"/>
      <c r="G81" s="37"/>
      <c r="H81" s="35"/>
      <c r="I81" s="58" t="s">
        <v>660</v>
      </c>
      <c r="J81" s="218">
        <v>1700</v>
      </c>
      <c r="K81" s="141">
        <v>45992</v>
      </c>
    </row>
    <row r="82" spans="1:11" x14ac:dyDescent="0.25">
      <c r="A82" s="56" t="s">
        <v>29</v>
      </c>
      <c r="B82" s="56"/>
      <c r="C82" s="243">
        <f>J2</f>
        <v>192973.46</v>
      </c>
      <c r="D82" s="211"/>
      <c r="E82" s="212" t="s">
        <v>30</v>
      </c>
      <c r="F82" s="212"/>
      <c r="G82" s="212"/>
      <c r="H82" s="35"/>
      <c r="I82" s="58" t="s">
        <v>1313</v>
      </c>
      <c r="J82" s="218">
        <v>10000</v>
      </c>
      <c r="K82" s="141">
        <v>45993</v>
      </c>
    </row>
    <row r="83" spans="1:11" x14ac:dyDescent="0.25">
      <c r="A83" s="56" t="s">
        <v>31</v>
      </c>
      <c r="B83" s="56"/>
      <c r="C83" s="139">
        <f>C76+G76+K76</f>
        <v>47696.796000000002</v>
      </c>
      <c r="D83" s="211"/>
      <c r="E83" s="212" t="s">
        <v>32</v>
      </c>
      <c r="F83" s="212"/>
      <c r="G83" s="215">
        <f>G21</f>
        <v>0</v>
      </c>
      <c r="H83" s="35"/>
      <c r="I83" s="58" t="s">
        <v>1313</v>
      </c>
      <c r="J83" s="218">
        <v>3000</v>
      </c>
      <c r="K83" s="141">
        <v>45993</v>
      </c>
    </row>
    <row r="84" spans="1:11" x14ac:dyDescent="0.25">
      <c r="A84" s="138" t="s">
        <v>109</v>
      </c>
      <c r="B84" s="139"/>
      <c r="C84" s="139">
        <f>J118</f>
        <v>394615</v>
      </c>
      <c r="D84" s="211"/>
      <c r="E84" s="212" t="s">
        <v>33</v>
      </c>
      <c r="F84" s="212"/>
      <c r="G84" s="215">
        <f>G55</f>
        <v>60434.63</v>
      </c>
      <c r="H84" s="35"/>
      <c r="I84" s="58" t="s">
        <v>1314</v>
      </c>
      <c r="J84" s="218">
        <v>26540</v>
      </c>
      <c r="K84" s="141">
        <v>45995</v>
      </c>
    </row>
    <row r="85" spans="1:11" x14ac:dyDescent="0.25">
      <c r="A85" s="138" t="s">
        <v>472</v>
      </c>
      <c r="B85" s="138"/>
      <c r="C85" s="139">
        <f>G16</f>
        <v>20052.86</v>
      </c>
      <c r="D85" s="211"/>
      <c r="E85" s="50" t="s">
        <v>1301</v>
      </c>
      <c r="F85" s="51"/>
      <c r="G85" s="185">
        <v>3527.65</v>
      </c>
      <c r="H85" s="35"/>
      <c r="I85" s="58" t="s">
        <v>1315</v>
      </c>
      <c r="J85" s="218">
        <v>12700</v>
      </c>
      <c r="K85" s="141">
        <v>45997</v>
      </c>
    </row>
    <row r="86" spans="1:11" x14ac:dyDescent="0.25">
      <c r="A86" s="138" t="s">
        <v>13</v>
      </c>
      <c r="B86" s="138"/>
      <c r="C86" s="139">
        <f>C82+C83+C84+C85</f>
        <v>655338.11600000004</v>
      </c>
      <c r="D86" s="211"/>
      <c r="E86" s="50" t="s">
        <v>1302</v>
      </c>
      <c r="F86" s="56"/>
      <c r="G86" s="185" t="s">
        <v>12</v>
      </c>
      <c r="H86" s="35"/>
      <c r="I86" s="58" t="s">
        <v>1316</v>
      </c>
      <c r="J86" s="218">
        <v>12240</v>
      </c>
      <c r="K86" s="141">
        <v>46000</v>
      </c>
    </row>
    <row r="87" spans="1:11" x14ac:dyDescent="0.25">
      <c r="A87" s="37"/>
      <c r="B87" s="37"/>
      <c r="C87" s="37"/>
      <c r="D87" s="211"/>
      <c r="E87" s="50" t="s">
        <v>1303</v>
      </c>
      <c r="F87" s="51"/>
      <c r="G87" s="241">
        <v>6450.58</v>
      </c>
      <c r="H87" s="35"/>
      <c r="I87" s="58" t="s">
        <v>1317</v>
      </c>
      <c r="J87" s="218">
        <v>12880</v>
      </c>
      <c r="K87" s="141">
        <v>46000</v>
      </c>
    </row>
    <row r="88" spans="1:11" x14ac:dyDescent="0.25">
      <c r="A88" s="37"/>
      <c r="B88" s="37"/>
      <c r="C88" s="37"/>
      <c r="D88" s="211"/>
      <c r="E88" s="50" t="s">
        <v>1304</v>
      </c>
      <c r="F88" s="56"/>
      <c r="G88" s="241">
        <v>16311.96</v>
      </c>
      <c r="H88" s="35"/>
      <c r="I88" s="58" t="s">
        <v>1318</v>
      </c>
      <c r="J88" s="218">
        <v>8048</v>
      </c>
      <c r="K88" s="141">
        <v>46001</v>
      </c>
    </row>
    <row r="89" spans="1:11" x14ac:dyDescent="0.25">
      <c r="A89" s="37"/>
      <c r="B89" s="37"/>
      <c r="C89" s="37"/>
      <c r="D89" s="211"/>
      <c r="E89" s="50" t="s">
        <v>1305</v>
      </c>
      <c r="F89" s="51"/>
      <c r="G89" s="241">
        <v>10437.73</v>
      </c>
      <c r="H89" s="35"/>
      <c r="I89" s="58" t="s">
        <v>157</v>
      </c>
      <c r="J89" s="218">
        <v>32250</v>
      </c>
      <c r="K89" s="141">
        <v>46002</v>
      </c>
    </row>
    <row r="90" spans="1:11" x14ac:dyDescent="0.25">
      <c r="A90" s="37"/>
      <c r="B90" s="37"/>
      <c r="C90" s="37"/>
      <c r="D90" s="211"/>
      <c r="E90" s="50" t="s">
        <v>1306</v>
      </c>
      <c r="F90" s="56"/>
      <c r="G90" s="241">
        <v>2715.13</v>
      </c>
      <c r="H90" s="35"/>
      <c r="I90" s="58" t="s">
        <v>263</v>
      </c>
      <c r="J90" s="218">
        <v>2890</v>
      </c>
      <c r="K90" s="141">
        <v>46021</v>
      </c>
    </row>
    <row r="91" spans="1:11" x14ac:dyDescent="0.25">
      <c r="A91" s="37"/>
      <c r="B91" s="37"/>
      <c r="C91" s="37"/>
      <c r="D91" s="211"/>
      <c r="E91" s="50" t="s">
        <v>1307</v>
      </c>
      <c r="F91" s="51"/>
      <c r="G91" s="241">
        <v>10053.719999999999</v>
      </c>
      <c r="H91" s="35"/>
      <c r="I91" s="58" t="s">
        <v>526</v>
      </c>
      <c r="J91" s="218">
        <v>12500</v>
      </c>
      <c r="K91" s="141">
        <v>46021</v>
      </c>
    </row>
    <row r="92" spans="1:11" x14ac:dyDescent="0.25">
      <c r="A92" s="37"/>
      <c r="B92" s="37"/>
      <c r="C92" s="37"/>
      <c r="D92" s="211"/>
      <c r="E92" s="50" t="s">
        <v>1308</v>
      </c>
      <c r="F92" s="56"/>
      <c r="G92" s="241">
        <v>4051.34</v>
      </c>
      <c r="H92" s="35"/>
      <c r="I92" s="58" t="s">
        <v>1367</v>
      </c>
      <c r="J92" s="218">
        <v>16700</v>
      </c>
      <c r="K92" s="141">
        <v>46021</v>
      </c>
    </row>
    <row r="93" spans="1:11" x14ac:dyDescent="0.25">
      <c r="A93" s="37"/>
      <c r="B93" s="37"/>
      <c r="C93" s="37"/>
      <c r="D93" s="211"/>
      <c r="E93" s="50" t="s">
        <v>1309</v>
      </c>
      <c r="F93" s="51"/>
      <c r="G93" s="241" t="s">
        <v>12</v>
      </c>
      <c r="H93" s="35"/>
      <c r="I93" s="58" t="s">
        <v>1368</v>
      </c>
      <c r="J93" s="218">
        <v>11300</v>
      </c>
      <c r="K93" s="141">
        <v>46021</v>
      </c>
    </row>
    <row r="94" spans="1:11" x14ac:dyDescent="0.25">
      <c r="A94" s="37"/>
      <c r="B94" s="37"/>
      <c r="C94" s="37"/>
      <c r="D94" s="211"/>
      <c r="E94" s="50" t="s">
        <v>1310</v>
      </c>
      <c r="F94" s="56"/>
      <c r="G94" s="241">
        <v>876.91</v>
      </c>
      <c r="H94" s="35"/>
      <c r="I94" s="58" t="s">
        <v>197</v>
      </c>
      <c r="J94" s="218">
        <v>10825</v>
      </c>
      <c r="K94" s="141">
        <v>46020</v>
      </c>
    </row>
    <row r="95" spans="1:11" x14ac:dyDescent="0.25">
      <c r="A95" s="37"/>
      <c r="B95" s="37"/>
      <c r="C95" s="37"/>
      <c r="D95" s="211"/>
      <c r="E95" s="50" t="s">
        <v>1311</v>
      </c>
      <c r="F95" s="51"/>
      <c r="G95" s="241">
        <f>G20</f>
        <v>0</v>
      </c>
      <c r="H95" s="35"/>
      <c r="I95" s="58" t="s">
        <v>962</v>
      </c>
      <c r="J95" s="218">
        <v>7530</v>
      </c>
      <c r="K95" s="141">
        <v>46018</v>
      </c>
    </row>
    <row r="96" spans="1:11" x14ac:dyDescent="0.25">
      <c r="A96" s="37"/>
      <c r="B96" s="37"/>
      <c r="C96" s="37"/>
      <c r="D96" s="211"/>
      <c r="E96" s="50" t="s">
        <v>1312</v>
      </c>
      <c r="F96" s="56"/>
      <c r="G96" s="241">
        <f>G70</f>
        <v>116.44111111111111</v>
      </c>
      <c r="H96" s="35"/>
      <c r="I96" s="58" t="s">
        <v>1369</v>
      </c>
      <c r="J96" s="218">
        <v>7530</v>
      </c>
      <c r="K96" s="141">
        <v>46018</v>
      </c>
    </row>
    <row r="97" spans="1:11" x14ac:dyDescent="0.25">
      <c r="A97" s="37"/>
      <c r="B97" s="37"/>
      <c r="C97" s="37"/>
      <c r="D97" s="211"/>
      <c r="E97" s="57"/>
      <c r="F97" s="57"/>
      <c r="G97" s="57"/>
      <c r="H97" s="35"/>
      <c r="I97" s="58" t="s">
        <v>1292</v>
      </c>
      <c r="J97" s="218">
        <v>4345</v>
      </c>
      <c r="K97" s="141">
        <v>46018</v>
      </c>
    </row>
    <row r="98" spans="1:11" x14ac:dyDescent="0.25">
      <c r="A98" s="37"/>
      <c r="B98" s="37"/>
      <c r="C98" s="37"/>
      <c r="D98" s="211"/>
      <c r="E98" s="56" t="s">
        <v>13</v>
      </c>
      <c r="F98" s="56"/>
      <c r="G98" s="57">
        <f>SUM(G84:G96)</f>
        <v>114976.09111111112</v>
      </c>
      <c r="H98" s="35"/>
      <c r="I98" s="58" t="s">
        <v>1370</v>
      </c>
      <c r="J98" s="218">
        <v>9920</v>
      </c>
      <c r="K98" s="141">
        <v>46017</v>
      </c>
    </row>
    <row r="99" spans="1:11" x14ac:dyDescent="0.25">
      <c r="A99" s="37"/>
      <c r="B99" s="37"/>
      <c r="C99" s="37"/>
      <c r="D99" s="37"/>
      <c r="E99" s="37"/>
      <c r="F99" s="37"/>
      <c r="G99" s="37"/>
      <c r="H99" s="37"/>
      <c r="I99" s="58" t="s">
        <v>1313</v>
      </c>
      <c r="J99" s="218">
        <v>9500</v>
      </c>
      <c r="K99" s="141">
        <v>46017</v>
      </c>
    </row>
    <row r="100" spans="1:11" x14ac:dyDescent="0.25">
      <c r="A100" s="37"/>
      <c r="B100" s="37"/>
      <c r="C100" s="37"/>
      <c r="D100" s="37"/>
      <c r="E100" s="37"/>
      <c r="F100" s="37"/>
      <c r="G100" s="37"/>
      <c r="H100" s="37"/>
      <c r="I100" s="58" t="s">
        <v>1371</v>
      </c>
      <c r="J100" s="218">
        <v>16140</v>
      </c>
      <c r="K100" s="141">
        <v>46017</v>
      </c>
    </row>
    <row r="101" spans="1:11" x14ac:dyDescent="0.25">
      <c r="A101" s="37"/>
      <c r="B101" s="37"/>
      <c r="C101" s="37"/>
      <c r="D101" s="37"/>
      <c r="E101" s="37"/>
      <c r="F101" s="37"/>
      <c r="G101" s="37"/>
      <c r="H101" s="37"/>
      <c r="I101" s="58" t="s">
        <v>1372</v>
      </c>
      <c r="J101" s="218">
        <v>10920</v>
      </c>
      <c r="K101" s="141">
        <v>46016</v>
      </c>
    </row>
    <row r="102" spans="1:11" x14ac:dyDescent="0.25">
      <c r="A102" s="37"/>
      <c r="B102" s="37"/>
      <c r="C102" s="37"/>
      <c r="D102" s="37"/>
      <c r="E102" s="37"/>
      <c r="F102" s="37"/>
      <c r="G102" s="37"/>
      <c r="H102" s="37"/>
      <c r="I102" s="58" t="s">
        <v>1373</v>
      </c>
      <c r="J102" s="218">
        <v>14400</v>
      </c>
      <c r="K102" s="141">
        <v>46016</v>
      </c>
    </row>
    <row r="103" spans="1:11" x14ac:dyDescent="0.25">
      <c r="A103" s="37"/>
      <c r="B103" s="37"/>
      <c r="C103" s="37"/>
      <c r="D103" s="37"/>
      <c r="E103" s="37"/>
      <c r="F103" s="37"/>
      <c r="G103" s="37"/>
      <c r="H103" s="37"/>
      <c r="I103" s="58" t="s">
        <v>153</v>
      </c>
      <c r="J103" s="218">
        <v>1280</v>
      </c>
      <c r="K103" s="141">
        <v>46015</v>
      </c>
    </row>
    <row r="104" spans="1:11" x14ac:dyDescent="0.25">
      <c r="A104" s="37"/>
      <c r="B104" s="37"/>
      <c r="C104" s="37"/>
      <c r="D104" s="37"/>
      <c r="E104" s="37"/>
      <c r="F104" s="37"/>
      <c r="G104" s="37"/>
      <c r="H104" s="37"/>
      <c r="I104" s="58" t="s">
        <v>1374</v>
      </c>
      <c r="J104" s="218">
        <v>21268</v>
      </c>
      <c r="K104" s="141">
        <v>46015</v>
      </c>
    </row>
    <row r="105" spans="1:11" x14ac:dyDescent="0.25">
      <c r="A105" s="37"/>
      <c r="B105" s="262"/>
      <c r="C105" s="263"/>
      <c r="D105" s="263"/>
      <c r="E105" s="264"/>
      <c r="F105" s="264"/>
      <c r="G105" s="37"/>
      <c r="H105" s="37"/>
      <c r="I105" s="58" t="s">
        <v>1374</v>
      </c>
      <c r="J105" s="218">
        <v>9845</v>
      </c>
      <c r="K105" s="141">
        <v>46015</v>
      </c>
    </row>
    <row r="106" spans="1:11" x14ac:dyDescent="0.25">
      <c r="A106" s="37"/>
      <c r="B106" s="37"/>
      <c r="C106" s="72"/>
      <c r="D106" s="72"/>
      <c r="E106" s="72"/>
      <c r="F106" s="37"/>
      <c r="G106" s="37"/>
      <c r="H106" s="37"/>
      <c r="I106" s="58" t="s">
        <v>1374</v>
      </c>
      <c r="J106" s="218">
        <v>12738</v>
      </c>
      <c r="K106" s="141">
        <v>46015</v>
      </c>
    </row>
    <row r="107" spans="1:11" x14ac:dyDescent="0.25">
      <c r="A107" s="72"/>
      <c r="B107" s="72"/>
      <c r="C107" s="72"/>
      <c r="D107" s="72"/>
      <c r="E107" s="72"/>
      <c r="F107" s="72"/>
      <c r="G107" s="72"/>
      <c r="H107" s="72"/>
      <c r="I107" s="58" t="s">
        <v>1375</v>
      </c>
      <c r="J107" s="218">
        <v>10225</v>
      </c>
      <c r="K107" s="141">
        <v>46013</v>
      </c>
    </row>
    <row r="108" spans="1:11" x14ac:dyDescent="0.25">
      <c r="A108" s="72"/>
      <c r="B108" s="72"/>
      <c r="C108" s="72"/>
      <c r="D108" s="72"/>
      <c r="E108" s="72"/>
      <c r="F108" s="114"/>
      <c r="G108" s="72"/>
      <c r="H108" s="72"/>
      <c r="I108" s="58" t="s">
        <v>818</v>
      </c>
      <c r="J108" s="218">
        <v>3036</v>
      </c>
      <c r="K108" s="141">
        <v>46011</v>
      </c>
    </row>
    <row r="109" spans="1:11" x14ac:dyDescent="0.25">
      <c r="A109" s="72"/>
      <c r="B109" s="72"/>
      <c r="C109" s="72"/>
      <c r="D109" s="72"/>
      <c r="E109" s="72"/>
      <c r="F109" s="72"/>
      <c r="G109" s="72"/>
      <c r="H109" s="72"/>
      <c r="I109" s="58" t="s">
        <v>379</v>
      </c>
      <c r="J109" s="218">
        <v>12865</v>
      </c>
      <c r="K109" s="141">
        <v>46010</v>
      </c>
    </row>
    <row r="110" spans="1:11" x14ac:dyDescent="0.25">
      <c r="A110" s="72"/>
      <c r="B110" s="72"/>
      <c r="C110" s="72"/>
      <c r="D110" s="72"/>
      <c r="E110" s="72"/>
      <c r="F110" s="72"/>
      <c r="G110" s="72"/>
      <c r="H110" s="72"/>
      <c r="I110" s="58" t="s">
        <v>1349</v>
      </c>
      <c r="J110" s="218">
        <v>2520</v>
      </c>
      <c r="K110" s="141">
        <v>46010</v>
      </c>
    </row>
    <row r="111" spans="1:11" x14ac:dyDescent="0.25">
      <c r="A111" s="88"/>
      <c r="B111" s="88"/>
      <c r="C111" s="88"/>
      <c r="D111" s="88"/>
      <c r="E111" s="88"/>
      <c r="F111" s="88"/>
      <c r="G111" s="88"/>
      <c r="H111" s="88"/>
      <c r="I111" s="58" t="s">
        <v>1376</v>
      </c>
      <c r="J111" s="218">
        <v>14200</v>
      </c>
      <c r="K111" s="141">
        <v>46008</v>
      </c>
    </row>
    <row r="112" spans="1:11" x14ac:dyDescent="0.25">
      <c r="A112" s="88"/>
      <c r="B112" s="88"/>
      <c r="C112" s="88"/>
      <c r="D112" s="88"/>
      <c r="E112" s="88"/>
      <c r="F112" s="88"/>
      <c r="G112" s="88"/>
      <c r="H112" s="88"/>
      <c r="I112" s="58" t="s">
        <v>1377</v>
      </c>
      <c r="J112" s="218">
        <v>21830</v>
      </c>
      <c r="K112" s="141">
        <v>46006</v>
      </c>
    </row>
    <row r="113" spans="1:11" x14ac:dyDescent="0.25">
      <c r="A113" s="88"/>
      <c r="B113" s="88"/>
      <c r="C113" s="88"/>
      <c r="D113" s="88"/>
      <c r="E113" s="88"/>
      <c r="F113" s="88"/>
      <c r="G113" s="88"/>
      <c r="H113" s="88"/>
      <c r="I113" s="58" t="s">
        <v>1378</v>
      </c>
      <c r="J113" s="218">
        <v>8900</v>
      </c>
      <c r="K113" s="141">
        <v>46006</v>
      </c>
    </row>
    <row r="114" spans="1:11" x14ac:dyDescent="0.25">
      <c r="A114" s="88"/>
      <c r="B114" s="88"/>
      <c r="C114" s="88"/>
      <c r="D114" s="88"/>
      <c r="E114" s="88"/>
      <c r="F114" s="88"/>
      <c r="G114" s="88"/>
      <c r="H114" s="88"/>
      <c r="I114" s="58" t="s">
        <v>1379</v>
      </c>
      <c r="J114" s="218">
        <v>22050</v>
      </c>
      <c r="K114" s="141">
        <v>46002</v>
      </c>
    </row>
    <row r="115" spans="1:11" x14ac:dyDescent="0.25">
      <c r="A115" s="88"/>
      <c r="B115" s="88"/>
      <c r="C115" s="88"/>
      <c r="D115" s="88"/>
      <c r="E115" s="88"/>
      <c r="F115" s="88"/>
      <c r="G115" s="88"/>
      <c r="H115" s="88"/>
      <c r="I115" s="58"/>
      <c r="J115" s="218"/>
      <c r="K115" s="58"/>
    </row>
    <row r="116" spans="1:11" x14ac:dyDescent="0.25">
      <c r="A116" s="88"/>
      <c r="B116" s="88"/>
      <c r="C116" s="88"/>
      <c r="D116" s="88"/>
      <c r="E116" s="88"/>
      <c r="F116" s="88"/>
      <c r="G116" s="88"/>
      <c r="H116" s="88"/>
      <c r="I116" s="58"/>
      <c r="J116" s="218"/>
      <c r="K116" s="58"/>
    </row>
    <row r="117" spans="1:11" x14ac:dyDescent="0.25">
      <c r="A117" s="37"/>
      <c r="B117" s="37"/>
      <c r="C117" s="37"/>
      <c r="D117" s="37"/>
      <c r="E117" s="37"/>
      <c r="F117" s="37"/>
      <c r="G117" s="37"/>
      <c r="H117" s="37"/>
      <c r="I117" s="58"/>
      <c r="J117" s="218"/>
      <c r="K117" s="58"/>
    </row>
    <row r="118" spans="1:11" x14ac:dyDescent="0.25">
      <c r="A118" s="37"/>
      <c r="B118" s="37"/>
      <c r="C118" s="39" t="s">
        <v>239</v>
      </c>
      <c r="D118" s="39"/>
      <c r="E118" s="40"/>
      <c r="F118" s="40">
        <f>C86-G98</f>
        <v>540362.02488888893</v>
      </c>
      <c r="G118" s="37"/>
      <c r="H118" s="37"/>
      <c r="I118" s="58" t="s">
        <v>13</v>
      </c>
      <c r="J118" s="218">
        <f>SUM(J81:J117)</f>
        <v>394615</v>
      </c>
      <c r="K118" s="58"/>
    </row>
    <row r="119" spans="1:11" x14ac:dyDescent="0.25">
      <c r="A119" s="37"/>
      <c r="B119" s="37"/>
      <c r="C119" s="72"/>
      <c r="D119" s="72"/>
      <c r="E119" s="72"/>
      <c r="F119" s="37"/>
      <c r="G119" s="37"/>
      <c r="H119" s="37"/>
      <c r="I119" s="37"/>
      <c r="J119" s="37"/>
      <c r="K119" s="37"/>
    </row>
    <row r="120" spans="1:11" x14ac:dyDescent="0.25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</row>
    <row r="121" spans="1:11" x14ac:dyDescent="0.25">
      <c r="A121" s="72"/>
      <c r="B121" s="72"/>
      <c r="C121" s="72"/>
      <c r="D121" s="72" t="s">
        <v>35</v>
      </c>
      <c r="E121" s="72"/>
      <c r="F121" s="114">
        <f>F118-F119</f>
        <v>540362.02488888893</v>
      </c>
      <c r="G121" s="72"/>
      <c r="H121" s="72"/>
      <c r="I121" s="72"/>
      <c r="J121" s="72"/>
      <c r="K121" s="72"/>
    </row>
    <row r="122" spans="1:11" x14ac:dyDescent="0.25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</row>
    <row r="123" spans="1:11" x14ac:dyDescent="0.25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</row>
  </sheetData>
  <conditionalFormatting sqref="E1 E3:E55 E57:E70">
    <cfRule type="cellIs" dxfId="9" priority="13" operator="equal">
      <formula>"K.KART"</formula>
    </cfRule>
    <cfRule type="cellIs" dxfId="8" priority="14" operator="equal">
      <formula>"AÇIK"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91F1-3C02-4696-BB5D-5325577E987E}">
  <dimension ref="A1:K189"/>
  <sheetViews>
    <sheetView tabSelected="1" topLeftCell="A172" workbookViewId="0">
      <selection activeCell="F188" sqref="F188"/>
    </sheetView>
  </sheetViews>
  <sheetFormatPr defaultRowHeight="15" x14ac:dyDescent="0.25"/>
  <cols>
    <col min="1" max="1" width="25.7109375" customWidth="1"/>
    <col min="2" max="2" width="12.7109375" customWidth="1"/>
    <col min="3" max="3" width="12.42578125" customWidth="1"/>
    <col min="4" max="4" width="13" customWidth="1"/>
    <col min="5" max="5" width="16.28515625" customWidth="1"/>
    <col min="6" max="6" width="28.7109375" customWidth="1"/>
    <col min="7" max="7" width="19.28515625" customWidth="1"/>
    <col min="8" max="8" width="18.5703125" customWidth="1"/>
    <col min="9" max="9" width="20" customWidth="1"/>
    <col min="10" max="10" width="20.42578125" customWidth="1"/>
    <col min="11" max="11" width="11.85546875" customWidth="1"/>
  </cols>
  <sheetData>
    <row r="1" spans="1:11" x14ac:dyDescent="0.25">
      <c r="A1" s="186" t="s">
        <v>1280</v>
      </c>
      <c r="B1" s="72"/>
      <c r="C1" s="187"/>
      <c r="D1" s="72"/>
      <c r="E1" s="188"/>
      <c r="F1" s="188"/>
      <c r="G1" s="114"/>
      <c r="H1" s="114"/>
      <c r="I1" s="114"/>
      <c r="J1" s="114"/>
      <c r="K1" s="72"/>
    </row>
    <row r="2" spans="1:11" x14ac:dyDescent="0.25">
      <c r="A2" s="189" t="s">
        <v>0</v>
      </c>
      <c r="B2" s="189"/>
      <c r="C2" s="189"/>
      <c r="D2" s="189"/>
      <c r="E2" s="189"/>
      <c r="F2" s="189"/>
      <c r="G2" s="189"/>
      <c r="H2" s="189"/>
      <c r="I2" s="189"/>
      <c r="J2" s="40">
        <v>540362.02</v>
      </c>
      <c r="K2" s="189"/>
    </row>
    <row r="3" spans="1:11" x14ac:dyDescent="0.25">
      <c r="A3" s="190" t="s">
        <v>1</v>
      </c>
      <c r="B3" s="190" t="s">
        <v>2</v>
      </c>
      <c r="C3" s="191" t="s">
        <v>3</v>
      </c>
      <c r="D3" s="190" t="s">
        <v>4</v>
      </c>
      <c r="E3" s="190" t="s">
        <v>5</v>
      </c>
      <c r="F3" s="190" t="s">
        <v>6</v>
      </c>
      <c r="G3" s="192" t="s">
        <v>7</v>
      </c>
      <c r="H3" s="192" t="s">
        <v>8</v>
      </c>
      <c r="I3" s="192" t="s">
        <v>9</v>
      </c>
      <c r="J3" s="192" t="s">
        <v>10</v>
      </c>
      <c r="K3" s="190" t="s">
        <v>11</v>
      </c>
    </row>
    <row r="4" spans="1:11" x14ac:dyDescent="0.25">
      <c r="A4" s="37" t="s">
        <v>1283</v>
      </c>
      <c r="B4" s="37">
        <v>625280612</v>
      </c>
      <c r="C4" s="193">
        <v>45993</v>
      </c>
      <c r="D4" s="37" t="s">
        <v>1284</v>
      </c>
      <c r="E4" s="37" t="s">
        <v>41</v>
      </c>
      <c r="F4" s="37" t="s">
        <v>12</v>
      </c>
      <c r="G4" s="35">
        <v>32250.51</v>
      </c>
      <c r="H4" s="35">
        <v>30714.76</v>
      </c>
      <c r="I4" s="35">
        <v>4607.1000000000004</v>
      </c>
      <c r="J4" s="35">
        <f t="shared" ref="J4:J28" si="0">I4*K4</f>
        <v>2764.26</v>
      </c>
      <c r="K4" s="195">
        <v>0.6</v>
      </c>
    </row>
    <row r="5" spans="1:11" x14ac:dyDescent="0.25">
      <c r="A5" s="37" t="s">
        <v>1286</v>
      </c>
      <c r="B5" s="37">
        <v>626388117</v>
      </c>
      <c r="C5" s="193">
        <v>45994</v>
      </c>
      <c r="D5" s="37" t="s">
        <v>1287</v>
      </c>
      <c r="E5" s="37" t="s">
        <v>41</v>
      </c>
      <c r="F5" s="37" t="s">
        <v>12</v>
      </c>
      <c r="G5" s="35">
        <v>22582.66</v>
      </c>
      <c r="H5" s="35">
        <v>21507.279999999999</v>
      </c>
      <c r="I5" s="35">
        <v>3226.05</v>
      </c>
      <c r="J5" s="35">
        <f t="shared" si="0"/>
        <v>1935.63</v>
      </c>
      <c r="K5" s="195">
        <v>0.6</v>
      </c>
    </row>
    <row r="6" spans="1:11" x14ac:dyDescent="0.25">
      <c r="A6" s="197" t="s">
        <v>1288</v>
      </c>
      <c r="B6" s="37">
        <v>626446668</v>
      </c>
      <c r="C6" s="193">
        <v>45995</v>
      </c>
      <c r="D6" s="196" t="s">
        <v>1289</v>
      </c>
      <c r="E6" s="37" t="s">
        <v>41</v>
      </c>
      <c r="F6" s="37" t="s">
        <v>12</v>
      </c>
      <c r="G6" s="35">
        <v>18962.63</v>
      </c>
      <c r="H6" s="35">
        <v>18059.64</v>
      </c>
      <c r="I6" s="35">
        <v>2708.85</v>
      </c>
      <c r="J6" s="35">
        <f t="shared" si="0"/>
        <v>1625.31</v>
      </c>
      <c r="K6" s="195">
        <v>0.6</v>
      </c>
    </row>
    <row r="7" spans="1:11" x14ac:dyDescent="0.25">
      <c r="A7" s="37" t="s">
        <v>141</v>
      </c>
      <c r="B7" s="37">
        <v>623266395</v>
      </c>
      <c r="C7" s="193">
        <v>45998</v>
      </c>
      <c r="D7" s="196" t="s">
        <v>142</v>
      </c>
      <c r="E7" s="37" t="s">
        <v>41</v>
      </c>
      <c r="F7" s="37" t="s">
        <v>12</v>
      </c>
      <c r="G7" s="35">
        <v>11931.41</v>
      </c>
      <c r="H7" s="35">
        <v>11363.24</v>
      </c>
      <c r="I7" s="35">
        <v>1704.45</v>
      </c>
      <c r="J7" s="35">
        <f t="shared" si="0"/>
        <v>1022.67</v>
      </c>
      <c r="K7" s="195">
        <v>0.6</v>
      </c>
    </row>
    <row r="8" spans="1:11" x14ac:dyDescent="0.25">
      <c r="A8" s="37" t="s">
        <v>137</v>
      </c>
      <c r="B8" s="37">
        <v>626915968</v>
      </c>
      <c r="C8" s="193">
        <v>45996</v>
      </c>
      <c r="D8" s="37" t="s">
        <v>138</v>
      </c>
      <c r="E8" s="37" t="s">
        <v>41</v>
      </c>
      <c r="F8" s="37" t="s">
        <v>12</v>
      </c>
      <c r="G8" s="35">
        <v>20699.57</v>
      </c>
      <c r="H8" s="35">
        <v>19713.86</v>
      </c>
      <c r="I8" s="35">
        <v>2956.95</v>
      </c>
      <c r="J8" s="35">
        <f t="shared" si="0"/>
        <v>1774.1699999999998</v>
      </c>
      <c r="K8" s="195">
        <v>0.6</v>
      </c>
    </row>
    <row r="9" spans="1:11" x14ac:dyDescent="0.25">
      <c r="A9" s="197" t="s">
        <v>145</v>
      </c>
      <c r="B9" s="37">
        <v>627067846</v>
      </c>
      <c r="C9" s="193">
        <v>45996</v>
      </c>
      <c r="D9" s="37" t="s">
        <v>146</v>
      </c>
      <c r="E9" s="37" t="s">
        <v>41</v>
      </c>
      <c r="F9" s="37" t="s">
        <v>12</v>
      </c>
      <c r="G9" s="35">
        <v>9501.01</v>
      </c>
      <c r="H9" s="35">
        <v>9048.57</v>
      </c>
      <c r="I9" s="35">
        <v>1357.2</v>
      </c>
      <c r="J9" s="35">
        <f t="shared" si="0"/>
        <v>814.32</v>
      </c>
      <c r="K9" s="195">
        <v>0.6</v>
      </c>
    </row>
    <row r="10" spans="1:11" x14ac:dyDescent="0.25">
      <c r="A10" s="197" t="s">
        <v>1290</v>
      </c>
      <c r="B10" s="197">
        <v>624251914</v>
      </c>
      <c r="C10" s="204">
        <v>45998</v>
      </c>
      <c r="D10" s="197" t="s">
        <v>1291</v>
      </c>
      <c r="E10" s="197" t="s">
        <v>41</v>
      </c>
      <c r="F10" s="37" t="s">
        <v>12</v>
      </c>
      <c r="G10" s="35">
        <v>20188.009999999998</v>
      </c>
      <c r="H10" s="35">
        <v>19226.669999999998</v>
      </c>
      <c r="I10" s="35">
        <v>2883.9</v>
      </c>
      <c r="J10" s="35">
        <f t="shared" si="0"/>
        <v>1730.34</v>
      </c>
      <c r="K10" s="195">
        <v>0.6</v>
      </c>
    </row>
    <row r="11" spans="1:11" x14ac:dyDescent="0.25">
      <c r="A11" s="37" t="s">
        <v>1292</v>
      </c>
      <c r="B11" s="37">
        <v>627190230</v>
      </c>
      <c r="C11" s="193">
        <v>45997</v>
      </c>
      <c r="D11" s="37" t="s">
        <v>1293</v>
      </c>
      <c r="E11" s="37" t="s">
        <v>38</v>
      </c>
      <c r="F11" s="37" t="s">
        <v>1292</v>
      </c>
      <c r="G11" s="35">
        <v>16773.59</v>
      </c>
      <c r="H11" s="35">
        <v>15974.83</v>
      </c>
      <c r="I11" s="35">
        <v>2396.1</v>
      </c>
      <c r="J11" s="35">
        <f t="shared" si="0"/>
        <v>1437.6599999999999</v>
      </c>
      <c r="K11" s="195">
        <v>0.6</v>
      </c>
    </row>
    <row r="12" spans="1:11" x14ac:dyDescent="0.25">
      <c r="A12" s="37" t="s">
        <v>131</v>
      </c>
      <c r="B12" s="37">
        <v>628282718</v>
      </c>
      <c r="C12" s="193">
        <v>46001</v>
      </c>
      <c r="D12" s="37" t="s">
        <v>132</v>
      </c>
      <c r="E12" s="37" t="s">
        <v>38</v>
      </c>
      <c r="F12" s="37" t="s">
        <v>131</v>
      </c>
      <c r="G12" s="35">
        <v>19606.43</v>
      </c>
      <c r="H12" s="35">
        <v>18672.78</v>
      </c>
      <c r="I12" s="35">
        <v>2800.8</v>
      </c>
      <c r="J12" s="35">
        <f t="shared" si="0"/>
        <v>1680.48</v>
      </c>
      <c r="K12" s="195">
        <v>0.6</v>
      </c>
    </row>
    <row r="13" spans="1:11" x14ac:dyDescent="0.25">
      <c r="A13" s="37" t="s">
        <v>526</v>
      </c>
      <c r="B13" s="37">
        <v>628251577</v>
      </c>
      <c r="C13" s="193">
        <v>46001</v>
      </c>
      <c r="D13" s="37" t="s">
        <v>1294</v>
      </c>
      <c r="E13" s="37" t="s">
        <v>38</v>
      </c>
      <c r="F13" s="37" t="s">
        <v>526</v>
      </c>
      <c r="G13" s="35">
        <v>15303.4</v>
      </c>
      <c r="H13" s="35">
        <v>14574.65</v>
      </c>
      <c r="I13" s="35">
        <v>2186.1</v>
      </c>
      <c r="J13" s="35">
        <f t="shared" si="0"/>
        <v>1311.6599999999999</v>
      </c>
      <c r="K13" s="195">
        <v>0.6</v>
      </c>
    </row>
    <row r="14" spans="1:11" x14ac:dyDescent="0.25">
      <c r="A14" s="37" t="s">
        <v>113</v>
      </c>
      <c r="B14" s="37">
        <v>623667698</v>
      </c>
      <c r="C14" s="193">
        <v>45996</v>
      </c>
      <c r="D14" s="37" t="s">
        <v>124</v>
      </c>
      <c r="E14" s="37" t="s">
        <v>38</v>
      </c>
      <c r="F14" s="37" t="s">
        <v>113</v>
      </c>
      <c r="G14" s="35">
        <v>16117.29</v>
      </c>
      <c r="H14" s="35">
        <v>15349.79</v>
      </c>
      <c r="I14" s="35">
        <v>2302.35</v>
      </c>
      <c r="J14" s="35">
        <f t="shared" si="0"/>
        <v>1381.4099999999999</v>
      </c>
      <c r="K14" s="195">
        <v>0.6</v>
      </c>
    </row>
    <row r="15" spans="1:11" x14ac:dyDescent="0.25">
      <c r="A15" s="197" t="s">
        <v>1322</v>
      </c>
      <c r="B15" s="197">
        <v>629124157</v>
      </c>
      <c r="C15" s="204">
        <v>46002</v>
      </c>
      <c r="D15" s="197" t="s">
        <v>1323</v>
      </c>
      <c r="E15" s="197" t="s">
        <v>38</v>
      </c>
      <c r="F15" s="197" t="s">
        <v>1324</v>
      </c>
      <c r="G15" s="194">
        <v>12608.15</v>
      </c>
      <c r="H15" s="194">
        <v>12007.75</v>
      </c>
      <c r="I15" s="35">
        <v>1801.05</v>
      </c>
      <c r="J15" s="35">
        <f t="shared" si="0"/>
        <v>1080.6299999999999</v>
      </c>
      <c r="K15" s="195">
        <v>0.6</v>
      </c>
    </row>
    <row r="16" spans="1:11" x14ac:dyDescent="0.25">
      <c r="A16" s="37" t="s">
        <v>133</v>
      </c>
      <c r="B16" s="37">
        <v>626899695</v>
      </c>
      <c r="C16" s="193">
        <v>46005</v>
      </c>
      <c r="D16" s="37" t="s">
        <v>134</v>
      </c>
      <c r="E16" s="37" t="s">
        <v>38</v>
      </c>
      <c r="F16" s="37" t="s">
        <v>133</v>
      </c>
      <c r="G16" s="35">
        <v>13950.87</v>
      </c>
      <c r="H16" s="35">
        <v>13286.53</v>
      </c>
      <c r="I16" s="35">
        <v>1992.9</v>
      </c>
      <c r="J16" s="35">
        <f t="shared" si="0"/>
        <v>1195.74</v>
      </c>
      <c r="K16" s="195">
        <v>0.6</v>
      </c>
    </row>
    <row r="17" spans="1:11" x14ac:dyDescent="0.25">
      <c r="A17" s="37" t="s">
        <v>1325</v>
      </c>
      <c r="B17" s="37">
        <v>631279679</v>
      </c>
      <c r="C17" s="193">
        <v>46008</v>
      </c>
      <c r="D17" s="37" t="s">
        <v>1326</v>
      </c>
      <c r="E17" s="37" t="s">
        <v>38</v>
      </c>
      <c r="F17" s="37" t="s">
        <v>1325</v>
      </c>
      <c r="G17" s="35">
        <v>24285.47</v>
      </c>
      <c r="H17" s="35">
        <v>23129.01</v>
      </c>
      <c r="I17" s="35">
        <v>3469.35</v>
      </c>
      <c r="J17" s="35">
        <f t="shared" si="0"/>
        <v>2081.6099999999997</v>
      </c>
      <c r="K17" s="195">
        <v>0.6</v>
      </c>
    </row>
    <row r="18" spans="1:11" x14ac:dyDescent="0.25">
      <c r="A18" s="197" t="s">
        <v>147</v>
      </c>
      <c r="B18" s="197">
        <v>630280545</v>
      </c>
      <c r="C18" s="204">
        <v>46016</v>
      </c>
      <c r="D18" s="197" t="s">
        <v>148</v>
      </c>
      <c r="E18" s="197" t="s">
        <v>38</v>
      </c>
      <c r="F18" s="197" t="s">
        <v>147</v>
      </c>
      <c r="G18" s="194">
        <v>21435.21</v>
      </c>
      <c r="H18" s="194">
        <v>20414.47</v>
      </c>
      <c r="I18" s="35">
        <v>3062.1</v>
      </c>
      <c r="J18" s="35">
        <f t="shared" si="0"/>
        <v>1837.26</v>
      </c>
      <c r="K18" s="195">
        <v>0.6</v>
      </c>
    </row>
    <row r="19" spans="1:11" x14ac:dyDescent="0.25">
      <c r="A19" s="197" t="s">
        <v>149</v>
      </c>
      <c r="B19" s="197">
        <v>630266123</v>
      </c>
      <c r="C19" s="204">
        <v>46010</v>
      </c>
      <c r="D19" s="197" t="s">
        <v>150</v>
      </c>
      <c r="E19" s="197" t="s">
        <v>38</v>
      </c>
      <c r="F19" s="197" t="s">
        <v>149</v>
      </c>
      <c r="G19" s="194">
        <v>11817.28</v>
      </c>
      <c r="H19" s="194">
        <v>11254.54</v>
      </c>
      <c r="I19" s="35">
        <v>1688.1</v>
      </c>
      <c r="J19" s="35">
        <f t="shared" si="0"/>
        <v>1012.8599999999999</v>
      </c>
      <c r="K19" s="195">
        <v>0.6</v>
      </c>
    </row>
    <row r="20" spans="1:11" x14ac:dyDescent="0.25">
      <c r="A20" s="197" t="s">
        <v>1327</v>
      </c>
      <c r="B20" s="197">
        <v>630972865</v>
      </c>
      <c r="C20" s="204">
        <v>46016</v>
      </c>
      <c r="D20" s="197" t="s">
        <v>1328</v>
      </c>
      <c r="E20" s="197" t="s">
        <v>38</v>
      </c>
      <c r="F20" s="197" t="s">
        <v>1329</v>
      </c>
      <c r="G20" s="194">
        <v>14081.86</v>
      </c>
      <c r="H20" s="194">
        <v>13411.28</v>
      </c>
      <c r="I20" s="35">
        <v>2011.65</v>
      </c>
      <c r="J20" s="35">
        <f t="shared" si="0"/>
        <v>1206.99</v>
      </c>
      <c r="K20" s="195">
        <v>0.6</v>
      </c>
    </row>
    <row r="21" spans="1:11" x14ac:dyDescent="0.25">
      <c r="A21" s="37" t="s">
        <v>155</v>
      </c>
      <c r="B21" s="37">
        <v>632510763</v>
      </c>
      <c r="C21" s="193">
        <v>46015</v>
      </c>
      <c r="D21" s="37" t="s">
        <v>156</v>
      </c>
      <c r="E21" s="37" t="s">
        <v>38</v>
      </c>
      <c r="F21" s="37" t="s">
        <v>155</v>
      </c>
      <c r="G21" s="35">
        <v>11202.37</v>
      </c>
      <c r="H21" s="35">
        <v>10668.91</v>
      </c>
      <c r="I21" s="35">
        <v>1600.2</v>
      </c>
      <c r="J21" s="35">
        <f t="shared" si="0"/>
        <v>960.12</v>
      </c>
      <c r="K21" s="195">
        <v>0.6</v>
      </c>
    </row>
    <row r="22" spans="1:11" x14ac:dyDescent="0.25">
      <c r="A22" s="37" t="s">
        <v>143</v>
      </c>
      <c r="B22" s="37">
        <v>630303919</v>
      </c>
      <c r="C22" s="193">
        <v>46013</v>
      </c>
      <c r="D22" s="37" t="s">
        <v>1330</v>
      </c>
      <c r="E22" s="37" t="s">
        <v>41</v>
      </c>
      <c r="F22" s="197" t="s">
        <v>12</v>
      </c>
      <c r="G22" s="35">
        <v>23665.11</v>
      </c>
      <c r="H22" s="35">
        <v>22538.19</v>
      </c>
      <c r="I22" s="35">
        <v>3380.7</v>
      </c>
      <c r="J22" s="35">
        <f t="shared" si="0"/>
        <v>2028.4199999999998</v>
      </c>
      <c r="K22" s="195">
        <v>0.6</v>
      </c>
    </row>
    <row r="23" spans="1:11" x14ac:dyDescent="0.25">
      <c r="A23" s="37" t="s">
        <v>1320</v>
      </c>
      <c r="B23" s="37">
        <v>632167824</v>
      </c>
      <c r="C23" s="193">
        <v>46010</v>
      </c>
      <c r="D23" s="37" t="s">
        <v>205</v>
      </c>
      <c r="E23" s="37" t="s">
        <v>41</v>
      </c>
      <c r="F23" s="197" t="s">
        <v>12</v>
      </c>
      <c r="G23" s="35">
        <v>38549.910000000003</v>
      </c>
      <c r="H23" s="35">
        <v>36714.19</v>
      </c>
      <c r="I23" s="35">
        <v>5507.1</v>
      </c>
      <c r="J23" s="35">
        <f t="shared" si="0"/>
        <v>3304.26</v>
      </c>
      <c r="K23" s="195">
        <v>0.6</v>
      </c>
    </row>
    <row r="24" spans="1:11" x14ac:dyDescent="0.25">
      <c r="A24" s="37" t="s">
        <v>129</v>
      </c>
      <c r="B24" s="37">
        <v>626906502</v>
      </c>
      <c r="C24" s="193">
        <v>46006</v>
      </c>
      <c r="D24" s="37" t="s">
        <v>130</v>
      </c>
      <c r="E24" s="37" t="s">
        <v>41</v>
      </c>
      <c r="F24" s="197" t="s">
        <v>12</v>
      </c>
      <c r="G24" s="35">
        <v>18120</v>
      </c>
      <c r="H24" s="35">
        <v>17257.32</v>
      </c>
      <c r="I24" s="35">
        <v>2588.5500000000002</v>
      </c>
      <c r="J24" s="35">
        <f t="shared" si="0"/>
        <v>1553.13</v>
      </c>
      <c r="K24" s="195">
        <v>0.6</v>
      </c>
    </row>
    <row r="25" spans="1:11" x14ac:dyDescent="0.25">
      <c r="A25" s="37" t="s">
        <v>171</v>
      </c>
      <c r="B25" s="37">
        <v>627040883</v>
      </c>
      <c r="C25" s="193">
        <v>46009</v>
      </c>
      <c r="D25" s="37" t="s">
        <v>172</v>
      </c>
      <c r="E25" s="37" t="s">
        <v>41</v>
      </c>
      <c r="F25" s="197" t="s">
        <v>12</v>
      </c>
      <c r="G25" s="35">
        <v>23608.11</v>
      </c>
      <c r="H25" s="35">
        <v>22483.9</v>
      </c>
      <c r="I25" s="35">
        <v>3372.45</v>
      </c>
      <c r="J25" s="35">
        <f t="shared" si="0"/>
        <v>2023.4699999999998</v>
      </c>
      <c r="K25" s="195">
        <v>0.6</v>
      </c>
    </row>
    <row r="26" spans="1:11" x14ac:dyDescent="0.25">
      <c r="A26" s="37" t="s">
        <v>1036</v>
      </c>
      <c r="B26" s="37">
        <v>633757326</v>
      </c>
      <c r="C26" s="193">
        <v>46015</v>
      </c>
      <c r="D26" s="37" t="s">
        <v>168</v>
      </c>
      <c r="E26" s="37" t="s">
        <v>41</v>
      </c>
      <c r="F26" s="197" t="s">
        <v>12</v>
      </c>
      <c r="G26" s="35">
        <v>23063.85</v>
      </c>
      <c r="H26" s="35">
        <v>21965.56</v>
      </c>
      <c r="I26" s="35">
        <v>3294.75</v>
      </c>
      <c r="J26" s="35">
        <f t="shared" si="0"/>
        <v>1976.85</v>
      </c>
      <c r="K26" s="195">
        <v>0.6</v>
      </c>
    </row>
    <row r="27" spans="1:11" x14ac:dyDescent="0.25">
      <c r="A27" s="37" t="s">
        <v>153</v>
      </c>
      <c r="B27" s="37">
        <v>632881621</v>
      </c>
      <c r="C27" s="193">
        <v>46017</v>
      </c>
      <c r="D27" s="37" t="s">
        <v>154</v>
      </c>
      <c r="E27" s="37" t="s">
        <v>38</v>
      </c>
      <c r="F27" s="37" t="s">
        <v>153</v>
      </c>
      <c r="G27" s="35">
        <v>17653.03</v>
      </c>
      <c r="H27" s="35">
        <v>16812.400000000001</v>
      </c>
      <c r="I27" s="35">
        <v>2521.8000000000002</v>
      </c>
      <c r="J27" s="35">
        <f t="shared" si="0"/>
        <v>1513.0800000000002</v>
      </c>
      <c r="K27" s="195">
        <v>0.6</v>
      </c>
    </row>
    <row r="28" spans="1:11" x14ac:dyDescent="0.25">
      <c r="A28" s="37" t="s">
        <v>1359</v>
      </c>
      <c r="B28" s="37">
        <v>634777287</v>
      </c>
      <c r="C28" s="193">
        <v>46020</v>
      </c>
      <c r="D28" s="37" t="s">
        <v>1360</v>
      </c>
      <c r="E28" s="37" t="s">
        <v>41</v>
      </c>
      <c r="F28" s="197" t="s">
        <v>12</v>
      </c>
      <c r="G28" s="35">
        <v>16713.05</v>
      </c>
      <c r="H28" s="35">
        <v>15917.18</v>
      </c>
      <c r="I28" s="35">
        <v>2387.5500000000002</v>
      </c>
      <c r="J28" s="35">
        <f t="shared" si="0"/>
        <v>1432.53</v>
      </c>
      <c r="K28" s="195">
        <v>0.6</v>
      </c>
    </row>
    <row r="29" spans="1:11" x14ac:dyDescent="0.25">
      <c r="A29" s="37" t="s">
        <v>157</v>
      </c>
      <c r="B29" s="37">
        <v>633111004</v>
      </c>
      <c r="C29" s="193">
        <v>46021</v>
      </c>
      <c r="D29" s="37" t="s">
        <v>158</v>
      </c>
      <c r="E29" s="37" t="s">
        <v>41</v>
      </c>
      <c r="F29" s="197" t="s">
        <v>12</v>
      </c>
      <c r="G29" s="35">
        <v>8782.24</v>
      </c>
      <c r="H29" s="35">
        <v>8364.0300000000007</v>
      </c>
      <c r="I29" s="35">
        <v>1254.5999999999999</v>
      </c>
      <c r="J29" s="35">
        <f t="shared" ref="J29:J33" si="1">I29*K29</f>
        <v>752.75999999999988</v>
      </c>
      <c r="K29" s="195">
        <v>0.6</v>
      </c>
    </row>
    <row r="30" spans="1:11" x14ac:dyDescent="0.25">
      <c r="A30" s="37" t="s">
        <v>165</v>
      </c>
      <c r="B30" s="37">
        <v>633349137</v>
      </c>
      <c r="C30" s="193">
        <v>46022</v>
      </c>
      <c r="D30" s="37" t="s">
        <v>166</v>
      </c>
      <c r="E30" s="37" t="s">
        <v>41</v>
      </c>
      <c r="F30" s="197" t="s">
        <v>12</v>
      </c>
      <c r="G30" s="35">
        <v>21277.33</v>
      </c>
      <c r="H30" s="35">
        <v>20264.11</v>
      </c>
      <c r="I30" s="35">
        <v>3039.6</v>
      </c>
      <c r="J30" s="35">
        <f t="shared" si="1"/>
        <v>1823.76</v>
      </c>
      <c r="K30" s="195">
        <v>0.6</v>
      </c>
    </row>
    <row r="31" spans="1:11" x14ac:dyDescent="0.25">
      <c r="A31" s="37" t="s">
        <v>143</v>
      </c>
      <c r="B31" s="37">
        <v>630303919</v>
      </c>
      <c r="C31" s="193">
        <v>46013</v>
      </c>
      <c r="D31" s="37" t="s">
        <v>1330</v>
      </c>
      <c r="E31" s="37" t="s">
        <v>41</v>
      </c>
      <c r="F31" s="197" t="s">
        <v>12</v>
      </c>
      <c r="G31" s="35">
        <v>23665.11</v>
      </c>
      <c r="H31" s="35">
        <v>22538.19</v>
      </c>
      <c r="I31" s="35">
        <v>3380.7</v>
      </c>
      <c r="J31" s="35">
        <f t="shared" si="1"/>
        <v>2028.4199999999998</v>
      </c>
      <c r="K31" s="195">
        <v>0.6</v>
      </c>
    </row>
    <row r="32" spans="1:11" x14ac:dyDescent="0.25">
      <c r="A32" s="37" t="s">
        <v>159</v>
      </c>
      <c r="B32" s="37">
        <v>633076117</v>
      </c>
      <c r="C32" s="193">
        <v>46020</v>
      </c>
      <c r="D32" s="37" t="s">
        <v>160</v>
      </c>
      <c r="E32" s="37" t="s">
        <v>41</v>
      </c>
      <c r="F32" s="197" t="s">
        <v>12</v>
      </c>
      <c r="G32" s="35">
        <v>11299.65</v>
      </c>
      <c r="H32" s="35">
        <v>10761.56</v>
      </c>
      <c r="I32" s="35">
        <v>1614.15</v>
      </c>
      <c r="J32" s="35">
        <f t="shared" si="1"/>
        <v>968.49</v>
      </c>
      <c r="K32" s="195">
        <v>0.6</v>
      </c>
    </row>
    <row r="33" spans="1:11" x14ac:dyDescent="0.25">
      <c r="A33" s="37" t="s">
        <v>1363</v>
      </c>
      <c r="B33" s="37">
        <v>635224343</v>
      </c>
      <c r="C33" s="193">
        <v>46018</v>
      </c>
      <c r="D33" s="37" t="s">
        <v>1364</v>
      </c>
      <c r="E33" s="37" t="s">
        <v>41</v>
      </c>
      <c r="F33" s="197" t="s">
        <v>12</v>
      </c>
      <c r="G33" s="35">
        <v>21291.39</v>
      </c>
      <c r="H33" s="35">
        <v>20277.5</v>
      </c>
      <c r="I33" s="35">
        <v>3041.55</v>
      </c>
      <c r="J33" s="35">
        <f t="shared" si="1"/>
        <v>1824.93</v>
      </c>
      <c r="K33" s="195">
        <v>0.6</v>
      </c>
    </row>
    <row r="34" spans="1:11" x14ac:dyDescent="0.25">
      <c r="A34" s="37"/>
      <c r="B34" s="37"/>
      <c r="C34" s="193"/>
      <c r="D34" s="37"/>
      <c r="E34" s="37"/>
      <c r="F34" s="197"/>
      <c r="G34" s="35"/>
      <c r="H34" s="35"/>
      <c r="I34" s="35"/>
      <c r="J34" s="35"/>
      <c r="K34" s="195"/>
    </row>
    <row r="35" spans="1:11" x14ac:dyDescent="0.25">
      <c r="A35" s="37"/>
      <c r="B35" s="37"/>
      <c r="C35" s="193"/>
      <c r="D35" s="37"/>
      <c r="E35" s="37"/>
      <c r="F35" s="190" t="s">
        <v>13</v>
      </c>
      <c r="G35" s="192">
        <f>SUM(G4:G33)</f>
        <v>560986.5</v>
      </c>
      <c r="H35" s="192">
        <f>SUM(H4:H33)</f>
        <v>534272.69000000006</v>
      </c>
      <c r="I35" s="192">
        <f>SUM(I4:I33)</f>
        <v>80138.7</v>
      </c>
      <c r="J35" s="192">
        <f>SUM(J4:J33)</f>
        <v>48083.22</v>
      </c>
      <c r="K35" s="190"/>
    </row>
    <row r="36" spans="1:11" x14ac:dyDescent="0.25">
      <c r="A36" s="37"/>
      <c r="B36" s="37"/>
      <c r="C36" s="193"/>
      <c r="D36" s="37"/>
      <c r="E36" s="37"/>
      <c r="F36" s="198" t="s">
        <v>14</v>
      </c>
      <c r="G36" s="199">
        <f>G4+G5+G6+G7+G8+G9+G10+G22+G23+G24+G25+G26+G28+G29+G30+G31+G32+G33</f>
        <v>366151.55</v>
      </c>
      <c r="H36" s="35"/>
      <c r="I36" s="35"/>
      <c r="J36" s="35"/>
      <c r="K36" s="37"/>
    </row>
    <row r="37" spans="1:11" x14ac:dyDescent="0.25">
      <c r="A37" s="37"/>
      <c r="B37" s="37"/>
      <c r="C37" s="193"/>
      <c r="D37" s="37"/>
      <c r="E37" s="200"/>
      <c r="F37" s="201" t="s">
        <v>15</v>
      </c>
      <c r="G37" s="202">
        <f>G36/6</f>
        <v>61025.258333333331</v>
      </c>
      <c r="H37" s="35"/>
      <c r="I37" s="35"/>
      <c r="J37" s="35"/>
      <c r="K37" s="37"/>
    </row>
    <row r="38" spans="1:11" x14ac:dyDescent="0.25">
      <c r="A38" s="37"/>
      <c r="B38" s="251" t="s">
        <v>847</v>
      </c>
      <c r="C38" s="252"/>
      <c r="D38" s="244"/>
      <c r="E38" s="244"/>
      <c r="F38" s="37"/>
      <c r="G38" s="35"/>
      <c r="H38" s="35"/>
      <c r="I38" s="35"/>
      <c r="J38" s="35"/>
      <c r="K38" s="37"/>
    </row>
    <row r="39" spans="1:11" x14ac:dyDescent="0.25">
      <c r="A39" s="37" t="s">
        <v>16</v>
      </c>
      <c r="B39" s="37"/>
      <c r="C39" s="193"/>
      <c r="D39" s="37"/>
      <c r="E39" s="37"/>
      <c r="F39" s="37"/>
      <c r="G39" s="35"/>
      <c r="H39" s="35"/>
      <c r="I39" s="35"/>
      <c r="J39" s="35"/>
      <c r="K39" s="37"/>
    </row>
    <row r="40" spans="1:11" x14ac:dyDescent="0.25">
      <c r="A40" s="37" t="s">
        <v>1281</v>
      </c>
      <c r="B40" s="37">
        <v>624256314</v>
      </c>
      <c r="C40" s="193">
        <v>45993</v>
      </c>
      <c r="D40" s="37" t="s">
        <v>1282</v>
      </c>
      <c r="E40" s="37" t="s">
        <v>38</v>
      </c>
      <c r="F40" s="37" t="s">
        <v>1281</v>
      </c>
      <c r="G40" s="194">
        <v>22444.94</v>
      </c>
      <c r="H40" s="35">
        <v>20262.77</v>
      </c>
      <c r="I40" s="35">
        <v>2026.2</v>
      </c>
      <c r="J40" s="35">
        <f t="shared" ref="J40:J103" si="2">I40*K40</f>
        <v>1215.72</v>
      </c>
      <c r="K40" s="195">
        <v>0.6</v>
      </c>
    </row>
    <row r="41" spans="1:11" x14ac:dyDescent="0.25">
      <c r="A41" s="37" t="s">
        <v>1281</v>
      </c>
      <c r="B41" s="37">
        <v>624256314</v>
      </c>
      <c r="C41" s="193">
        <v>45993</v>
      </c>
      <c r="D41" s="37" t="s">
        <v>1282</v>
      </c>
      <c r="E41" s="37" t="s">
        <v>38</v>
      </c>
      <c r="F41" s="37" t="s">
        <v>1281</v>
      </c>
      <c r="G41" s="194">
        <v>100</v>
      </c>
      <c r="H41" s="194">
        <v>100</v>
      </c>
      <c r="I41" s="35">
        <v>10</v>
      </c>
      <c r="J41" s="35">
        <f t="shared" si="2"/>
        <v>6</v>
      </c>
      <c r="K41" s="195">
        <v>0.6</v>
      </c>
    </row>
    <row r="42" spans="1:11" x14ac:dyDescent="0.25">
      <c r="A42" s="197" t="s">
        <v>141</v>
      </c>
      <c r="B42" s="197">
        <v>626915358</v>
      </c>
      <c r="C42" s="204">
        <v>45995</v>
      </c>
      <c r="D42" s="197" t="s">
        <v>142</v>
      </c>
      <c r="E42" s="197" t="s">
        <v>41</v>
      </c>
      <c r="F42" s="197" t="s">
        <v>12</v>
      </c>
      <c r="G42" s="35">
        <v>7530.01</v>
      </c>
      <c r="H42" s="35">
        <v>6723.22</v>
      </c>
      <c r="I42" s="35">
        <v>672.3</v>
      </c>
      <c r="J42" s="35">
        <f t="shared" si="2"/>
        <v>403.37999999999994</v>
      </c>
      <c r="K42" s="195">
        <v>0.6</v>
      </c>
    </row>
    <row r="43" spans="1:11" x14ac:dyDescent="0.25">
      <c r="A43" s="197" t="s">
        <v>1295</v>
      </c>
      <c r="B43" s="197">
        <v>626701323</v>
      </c>
      <c r="C43" s="204">
        <v>45995</v>
      </c>
      <c r="D43" s="197" t="s">
        <v>43</v>
      </c>
      <c r="E43" s="197" t="s">
        <v>38</v>
      </c>
      <c r="F43" s="197" t="s">
        <v>1295</v>
      </c>
      <c r="G43" s="35">
        <v>9036.02</v>
      </c>
      <c r="H43" s="35">
        <v>8067.88</v>
      </c>
      <c r="I43" s="35">
        <v>806.7</v>
      </c>
      <c r="J43" s="35">
        <f t="shared" si="2"/>
        <v>484.02</v>
      </c>
      <c r="K43" s="195">
        <v>0.6</v>
      </c>
    </row>
    <row r="44" spans="1:11" x14ac:dyDescent="0.25">
      <c r="A44" s="37" t="s">
        <v>137</v>
      </c>
      <c r="B44" s="37">
        <v>626916268</v>
      </c>
      <c r="C44" s="193">
        <v>45996</v>
      </c>
      <c r="D44" s="37" t="s">
        <v>138</v>
      </c>
      <c r="E44" s="37" t="s">
        <v>41</v>
      </c>
      <c r="F44" s="37" t="s">
        <v>12</v>
      </c>
      <c r="G44" s="194">
        <v>12048.09</v>
      </c>
      <c r="H44" s="194">
        <v>10757.21</v>
      </c>
      <c r="I44" s="35">
        <v>1075.7</v>
      </c>
      <c r="J44" s="35">
        <f t="shared" si="2"/>
        <v>645.41999999999996</v>
      </c>
      <c r="K44" s="195">
        <v>0.6</v>
      </c>
    </row>
    <row r="45" spans="1:11" x14ac:dyDescent="0.25">
      <c r="A45" s="37" t="s">
        <v>145</v>
      </c>
      <c r="B45" s="37">
        <v>627069384</v>
      </c>
      <c r="C45" s="193">
        <v>45996</v>
      </c>
      <c r="D45" s="37" t="s">
        <v>146</v>
      </c>
      <c r="E45" s="37" t="s">
        <v>38</v>
      </c>
      <c r="F45" s="37" t="s">
        <v>294</v>
      </c>
      <c r="G45" s="194">
        <v>7530.03</v>
      </c>
      <c r="H45" s="194">
        <v>6723.22</v>
      </c>
      <c r="I45" s="35">
        <v>672.3</v>
      </c>
      <c r="J45" s="35">
        <f t="shared" si="2"/>
        <v>403.37999999999994</v>
      </c>
      <c r="K45" s="195">
        <v>0.6</v>
      </c>
    </row>
    <row r="46" spans="1:11" x14ac:dyDescent="0.25">
      <c r="A46" s="37" t="s">
        <v>1292</v>
      </c>
      <c r="B46" s="197">
        <v>627180137</v>
      </c>
      <c r="C46" s="204">
        <v>45996</v>
      </c>
      <c r="D46" s="197" t="s">
        <v>1293</v>
      </c>
      <c r="E46" s="197" t="s">
        <v>41</v>
      </c>
      <c r="F46" s="197" t="s">
        <v>12</v>
      </c>
      <c r="G46" s="194">
        <v>13902.05</v>
      </c>
      <c r="H46" s="194">
        <v>12412.54</v>
      </c>
      <c r="I46" s="35">
        <v>1241.2</v>
      </c>
      <c r="J46" s="35">
        <f t="shared" si="2"/>
        <v>744.72</v>
      </c>
      <c r="K46" s="195">
        <v>0.6</v>
      </c>
    </row>
    <row r="47" spans="1:11" x14ac:dyDescent="0.25">
      <c r="A47" s="37" t="s">
        <v>701</v>
      </c>
      <c r="B47" s="197">
        <v>627893390</v>
      </c>
      <c r="C47" s="204">
        <v>45999</v>
      </c>
      <c r="D47" s="197" t="s">
        <v>1296</v>
      </c>
      <c r="E47" s="197" t="s">
        <v>41</v>
      </c>
      <c r="F47" s="197" t="s">
        <v>12</v>
      </c>
      <c r="G47" s="194">
        <v>9036.02</v>
      </c>
      <c r="H47" s="194">
        <v>8067.88</v>
      </c>
      <c r="I47" s="35">
        <v>806.7</v>
      </c>
      <c r="J47" s="35">
        <f t="shared" si="2"/>
        <v>484.02</v>
      </c>
      <c r="K47" s="195">
        <v>0.6</v>
      </c>
    </row>
    <row r="48" spans="1:11" x14ac:dyDescent="0.25">
      <c r="A48" s="37" t="s">
        <v>1278</v>
      </c>
      <c r="B48" s="197">
        <v>626855934</v>
      </c>
      <c r="C48" s="204">
        <v>46002</v>
      </c>
      <c r="D48" s="197" t="s">
        <v>1279</v>
      </c>
      <c r="E48" s="197" t="s">
        <v>41</v>
      </c>
      <c r="F48" s="37" t="s">
        <v>12</v>
      </c>
      <c r="G48" s="194">
        <v>7530.01</v>
      </c>
      <c r="H48" s="194">
        <v>6723.22</v>
      </c>
      <c r="I48" s="35">
        <v>672.3</v>
      </c>
      <c r="J48" s="35">
        <f t="shared" si="2"/>
        <v>403.37999999999994</v>
      </c>
      <c r="K48" s="195">
        <v>0.6</v>
      </c>
    </row>
    <row r="49" spans="1:11" x14ac:dyDescent="0.25">
      <c r="A49" s="37" t="s">
        <v>526</v>
      </c>
      <c r="B49" s="197">
        <v>627726454</v>
      </c>
      <c r="C49" s="204">
        <v>46001</v>
      </c>
      <c r="D49" s="197" t="s">
        <v>1294</v>
      </c>
      <c r="E49" s="197" t="s">
        <v>38</v>
      </c>
      <c r="F49" s="37" t="s">
        <v>526</v>
      </c>
      <c r="G49" s="194">
        <v>9036.0300000000007</v>
      </c>
      <c r="H49" s="194">
        <v>8067.88</v>
      </c>
      <c r="I49" s="35">
        <v>806.7</v>
      </c>
      <c r="J49" s="35">
        <f t="shared" si="2"/>
        <v>484.02</v>
      </c>
      <c r="K49" s="195">
        <v>0.6</v>
      </c>
    </row>
    <row r="50" spans="1:11" x14ac:dyDescent="0.25">
      <c r="A50" s="37" t="s">
        <v>1297</v>
      </c>
      <c r="B50" s="197">
        <v>627867164</v>
      </c>
      <c r="C50" s="204">
        <v>45999</v>
      </c>
      <c r="D50" s="197" t="s">
        <v>1298</v>
      </c>
      <c r="E50" s="197" t="s">
        <v>41</v>
      </c>
      <c r="F50" s="197" t="s">
        <v>12</v>
      </c>
      <c r="G50" s="194">
        <v>14176.09</v>
      </c>
      <c r="H50" s="194">
        <v>12657.21</v>
      </c>
      <c r="I50" s="35">
        <v>1265.7</v>
      </c>
      <c r="J50" s="35">
        <f t="shared" si="2"/>
        <v>759.42</v>
      </c>
      <c r="K50" s="195">
        <v>0.6</v>
      </c>
    </row>
    <row r="51" spans="1:11" x14ac:dyDescent="0.25">
      <c r="A51" s="37" t="s">
        <v>1299</v>
      </c>
      <c r="B51" s="37">
        <v>627638596</v>
      </c>
      <c r="C51" s="204">
        <v>45999</v>
      </c>
      <c r="D51" s="197" t="s">
        <v>1300</v>
      </c>
      <c r="E51" s="197" t="s">
        <v>38</v>
      </c>
      <c r="F51" s="197" t="s">
        <v>57</v>
      </c>
      <c r="G51" s="194">
        <v>15060.11</v>
      </c>
      <c r="H51" s="194">
        <v>13446.54</v>
      </c>
      <c r="I51" s="35">
        <v>1344.6</v>
      </c>
      <c r="J51" s="35">
        <f t="shared" si="2"/>
        <v>806.75999999999988</v>
      </c>
      <c r="K51" s="195">
        <v>0.6</v>
      </c>
    </row>
    <row r="52" spans="1:11" x14ac:dyDescent="0.25">
      <c r="A52" s="37" t="s">
        <v>131</v>
      </c>
      <c r="B52" s="37">
        <v>626813864</v>
      </c>
      <c r="C52" s="204">
        <v>46001</v>
      </c>
      <c r="D52" s="197" t="s">
        <v>132</v>
      </c>
      <c r="E52" s="197" t="s">
        <v>38</v>
      </c>
      <c r="F52" s="37" t="s">
        <v>131</v>
      </c>
      <c r="G52" s="16">
        <v>8269.09</v>
      </c>
      <c r="H52" s="16">
        <v>7383.1</v>
      </c>
      <c r="I52" s="35">
        <v>738.3</v>
      </c>
      <c r="J52" s="35">
        <f t="shared" si="2"/>
        <v>442.97999999999996</v>
      </c>
      <c r="K52" s="195">
        <v>0.6</v>
      </c>
    </row>
    <row r="53" spans="1:11" x14ac:dyDescent="0.25">
      <c r="A53" s="37" t="s">
        <v>153</v>
      </c>
      <c r="B53" s="197">
        <v>634008740</v>
      </c>
      <c r="C53" s="204">
        <v>46015</v>
      </c>
      <c r="D53" s="197" t="s">
        <v>154</v>
      </c>
      <c r="E53" s="197" t="s">
        <v>38</v>
      </c>
      <c r="F53" s="37" t="s">
        <v>153</v>
      </c>
      <c r="G53" s="194">
        <v>9487.8700000000008</v>
      </c>
      <c r="H53" s="194">
        <v>8471.32</v>
      </c>
      <c r="I53" s="35">
        <v>847.1</v>
      </c>
      <c r="J53" s="35">
        <f t="shared" si="2"/>
        <v>508.26</v>
      </c>
      <c r="K53" s="195">
        <v>0.6</v>
      </c>
    </row>
    <row r="54" spans="1:11" x14ac:dyDescent="0.25">
      <c r="A54" s="37" t="s">
        <v>1331</v>
      </c>
      <c r="B54" s="197">
        <v>632861342</v>
      </c>
      <c r="C54" s="204">
        <v>46016</v>
      </c>
      <c r="D54" s="197" t="s">
        <v>1332</v>
      </c>
      <c r="E54" s="197" t="s">
        <v>41</v>
      </c>
      <c r="F54" s="37" t="s">
        <v>12</v>
      </c>
      <c r="G54" s="194">
        <v>11813</v>
      </c>
      <c r="H54" s="194">
        <v>10547.32</v>
      </c>
      <c r="I54" s="35">
        <v>1054.7</v>
      </c>
      <c r="J54" s="35">
        <f t="shared" si="2"/>
        <v>632.82000000000005</v>
      </c>
      <c r="K54" s="195">
        <v>0.6</v>
      </c>
    </row>
    <row r="55" spans="1:11" x14ac:dyDescent="0.25">
      <c r="A55" s="37" t="s">
        <v>1333</v>
      </c>
      <c r="B55" s="197">
        <v>629112282</v>
      </c>
      <c r="C55" s="204">
        <v>46002</v>
      </c>
      <c r="D55" s="197" t="s">
        <v>1334</v>
      </c>
      <c r="E55" s="197" t="s">
        <v>38</v>
      </c>
      <c r="F55" s="37" t="s">
        <v>1333</v>
      </c>
      <c r="G55" s="194">
        <v>15060.11</v>
      </c>
      <c r="H55" s="194">
        <v>13446.54</v>
      </c>
      <c r="I55" s="35">
        <v>1344.6</v>
      </c>
      <c r="J55" s="35">
        <f t="shared" si="2"/>
        <v>806.75999999999988</v>
      </c>
      <c r="K55" s="195">
        <v>0.6</v>
      </c>
    </row>
    <row r="56" spans="1:11" x14ac:dyDescent="0.25">
      <c r="A56" s="37" t="s">
        <v>1322</v>
      </c>
      <c r="B56" s="197">
        <v>629121796</v>
      </c>
      <c r="C56" s="204">
        <v>46002</v>
      </c>
      <c r="D56" s="197" t="s">
        <v>1323</v>
      </c>
      <c r="E56" s="197" t="s">
        <v>38</v>
      </c>
      <c r="F56" s="37" t="s">
        <v>57</v>
      </c>
      <c r="G56" s="194">
        <v>10912.02</v>
      </c>
      <c r="H56" s="194">
        <v>9742.8799999999992</v>
      </c>
      <c r="I56" s="35">
        <v>974.2</v>
      </c>
      <c r="J56" s="35">
        <f t="shared" si="2"/>
        <v>584.52</v>
      </c>
      <c r="K56" s="195">
        <v>0.6</v>
      </c>
    </row>
    <row r="57" spans="1:11" x14ac:dyDescent="0.25">
      <c r="A57" s="37" t="s">
        <v>1335</v>
      </c>
      <c r="B57" s="197">
        <v>629221609</v>
      </c>
      <c r="C57" s="204">
        <v>46002</v>
      </c>
      <c r="D57" s="197" t="s">
        <v>1336</v>
      </c>
      <c r="E57" s="197" t="s">
        <v>41</v>
      </c>
      <c r="F57" s="37" t="s">
        <v>12</v>
      </c>
      <c r="G57" s="194">
        <v>15022.41</v>
      </c>
      <c r="H57" s="194">
        <v>13412.88</v>
      </c>
      <c r="I57" s="35">
        <v>1341.2</v>
      </c>
      <c r="J57" s="35">
        <f t="shared" si="2"/>
        <v>804.72</v>
      </c>
      <c r="K57" s="195">
        <v>0.6</v>
      </c>
    </row>
    <row r="58" spans="1:11" x14ac:dyDescent="0.25">
      <c r="A58" s="37" t="s">
        <v>198</v>
      </c>
      <c r="B58" s="197">
        <v>632466683</v>
      </c>
      <c r="C58" s="204">
        <v>46013</v>
      </c>
      <c r="D58" s="197" t="s">
        <v>199</v>
      </c>
      <c r="E58" s="197" t="s">
        <v>41</v>
      </c>
      <c r="F58" s="37" t="s">
        <v>12</v>
      </c>
      <c r="G58" s="194">
        <v>15751.03</v>
      </c>
      <c r="H58" s="194">
        <v>14063.42</v>
      </c>
      <c r="I58" s="35">
        <v>1406.3</v>
      </c>
      <c r="J58" s="35">
        <f t="shared" si="2"/>
        <v>843.78</v>
      </c>
      <c r="K58" s="195">
        <v>0.6</v>
      </c>
    </row>
    <row r="59" spans="1:11" x14ac:dyDescent="0.25">
      <c r="A59" s="37" t="s">
        <v>175</v>
      </c>
      <c r="B59" s="197">
        <v>630193307</v>
      </c>
      <c r="C59" s="204">
        <v>46008</v>
      </c>
      <c r="D59" s="197" t="s">
        <v>176</v>
      </c>
      <c r="E59" s="197" t="s">
        <v>41</v>
      </c>
      <c r="F59" s="37" t="s">
        <v>12</v>
      </c>
      <c r="G59" s="194">
        <v>9036.01</v>
      </c>
      <c r="H59" s="194">
        <v>8067.87</v>
      </c>
      <c r="I59" s="35">
        <v>806.7</v>
      </c>
      <c r="J59" s="35">
        <f t="shared" si="2"/>
        <v>484.02</v>
      </c>
      <c r="K59" s="195">
        <v>0.6</v>
      </c>
    </row>
    <row r="60" spans="1:11" x14ac:dyDescent="0.25">
      <c r="A60" s="37" t="s">
        <v>171</v>
      </c>
      <c r="B60" s="197">
        <v>630461331</v>
      </c>
      <c r="C60" s="204">
        <v>46007</v>
      </c>
      <c r="D60" s="197" t="s">
        <v>172</v>
      </c>
      <c r="E60" s="197" t="s">
        <v>41</v>
      </c>
      <c r="F60" s="37" t="s">
        <v>12</v>
      </c>
      <c r="G60" s="194">
        <v>9036.0400000000009</v>
      </c>
      <c r="H60" s="194">
        <v>8067.88</v>
      </c>
      <c r="I60" s="35">
        <v>806.7</v>
      </c>
      <c r="J60" s="35">
        <f t="shared" si="2"/>
        <v>484.02</v>
      </c>
      <c r="K60" s="195">
        <v>0.6</v>
      </c>
    </row>
    <row r="61" spans="1:11" x14ac:dyDescent="0.25">
      <c r="A61" s="37" t="s">
        <v>273</v>
      </c>
      <c r="B61" s="197">
        <v>626898403</v>
      </c>
      <c r="C61" s="204">
        <v>46004</v>
      </c>
      <c r="D61" s="197" t="s">
        <v>617</v>
      </c>
      <c r="E61" s="197" t="s">
        <v>41</v>
      </c>
      <c r="F61" s="197" t="s">
        <v>12</v>
      </c>
      <c r="G61" s="194">
        <v>9036.0499999999993</v>
      </c>
      <c r="H61" s="194">
        <v>8067.88</v>
      </c>
      <c r="I61" s="35">
        <v>806.7</v>
      </c>
      <c r="J61" s="35">
        <f t="shared" si="2"/>
        <v>484.02</v>
      </c>
      <c r="K61" s="195">
        <v>0.6</v>
      </c>
    </row>
    <row r="62" spans="1:11" x14ac:dyDescent="0.25">
      <c r="A62" s="37" t="s">
        <v>361</v>
      </c>
      <c r="B62" s="197">
        <v>629681403</v>
      </c>
      <c r="C62" s="204">
        <v>46008</v>
      </c>
      <c r="D62" s="197" t="s">
        <v>1337</v>
      </c>
      <c r="E62" s="197" t="s">
        <v>41</v>
      </c>
      <c r="F62" s="37" t="s">
        <v>12</v>
      </c>
      <c r="G62" s="194">
        <v>7530.01</v>
      </c>
      <c r="H62" s="194">
        <v>6723.22</v>
      </c>
      <c r="I62" s="35">
        <v>672.3</v>
      </c>
      <c r="J62" s="35">
        <f t="shared" si="2"/>
        <v>403.37999999999994</v>
      </c>
      <c r="K62" s="195">
        <v>0.6</v>
      </c>
    </row>
    <row r="63" spans="1:11" x14ac:dyDescent="0.25">
      <c r="A63" s="37" t="s">
        <v>155</v>
      </c>
      <c r="B63" s="197">
        <v>633752361</v>
      </c>
      <c r="C63" s="204">
        <v>46016</v>
      </c>
      <c r="D63" s="197" t="s">
        <v>156</v>
      </c>
      <c r="E63" s="197" t="s">
        <v>38</v>
      </c>
      <c r="F63" s="37" t="s">
        <v>155</v>
      </c>
      <c r="G63" s="194">
        <v>7530</v>
      </c>
      <c r="H63" s="194">
        <v>6723.22</v>
      </c>
      <c r="I63" s="35">
        <v>672.3</v>
      </c>
      <c r="J63" s="35">
        <f t="shared" si="2"/>
        <v>403.37999999999994</v>
      </c>
      <c r="K63" s="195">
        <v>0.6</v>
      </c>
    </row>
    <row r="64" spans="1:11" x14ac:dyDescent="0.25">
      <c r="A64" s="37" t="s">
        <v>1338</v>
      </c>
      <c r="B64" s="197">
        <v>630311861</v>
      </c>
      <c r="C64" s="204">
        <v>46014</v>
      </c>
      <c r="D64" s="197" t="s">
        <v>1339</v>
      </c>
      <c r="E64" s="197" t="s">
        <v>38</v>
      </c>
      <c r="F64" s="37" t="s">
        <v>1338</v>
      </c>
      <c r="G64" s="194">
        <v>9036.0499999999993</v>
      </c>
      <c r="H64" s="194">
        <v>8067.89</v>
      </c>
      <c r="I64" s="35">
        <v>806.7</v>
      </c>
      <c r="J64" s="35">
        <f t="shared" si="2"/>
        <v>484.02</v>
      </c>
      <c r="K64" s="195">
        <v>0.6</v>
      </c>
    </row>
    <row r="65" spans="1:11" x14ac:dyDescent="0.25">
      <c r="A65" s="37" t="s">
        <v>1340</v>
      </c>
      <c r="B65" s="197">
        <v>633180753</v>
      </c>
      <c r="C65" s="204">
        <v>46014</v>
      </c>
      <c r="D65" s="197" t="s">
        <v>1341</v>
      </c>
      <c r="E65" s="197" t="s">
        <v>38</v>
      </c>
      <c r="F65" s="197" t="s">
        <v>1342</v>
      </c>
      <c r="G65" s="194">
        <v>13554.11</v>
      </c>
      <c r="H65" s="194">
        <v>12101.87</v>
      </c>
      <c r="I65" s="35">
        <v>1210.0999999999999</v>
      </c>
      <c r="J65" s="35">
        <f t="shared" si="2"/>
        <v>726.06</v>
      </c>
      <c r="K65" s="195">
        <v>0.6</v>
      </c>
    </row>
    <row r="66" spans="1:11" x14ac:dyDescent="0.25">
      <c r="A66" s="197" t="s">
        <v>1327</v>
      </c>
      <c r="B66" s="197">
        <v>633153068</v>
      </c>
      <c r="C66" s="204">
        <v>46016</v>
      </c>
      <c r="D66" s="197" t="s">
        <v>1328</v>
      </c>
      <c r="E66" s="197" t="s">
        <v>38</v>
      </c>
      <c r="F66" s="197" t="s">
        <v>1329</v>
      </c>
      <c r="G66" s="194">
        <v>12823.13</v>
      </c>
      <c r="H66" s="194">
        <v>11449.21</v>
      </c>
      <c r="I66" s="194">
        <v>1144.9000000000001</v>
      </c>
      <c r="J66" s="35">
        <f t="shared" si="2"/>
        <v>686.94</v>
      </c>
      <c r="K66" s="195">
        <v>0.6</v>
      </c>
    </row>
    <row r="67" spans="1:11" x14ac:dyDescent="0.25">
      <c r="A67" s="197" t="s">
        <v>1343</v>
      </c>
      <c r="B67" s="197">
        <v>633095593</v>
      </c>
      <c r="C67" s="204">
        <v>46018</v>
      </c>
      <c r="D67" s="197" t="s">
        <v>1344</v>
      </c>
      <c r="E67" s="197" t="s">
        <v>38</v>
      </c>
      <c r="F67" s="197" t="s">
        <v>1345</v>
      </c>
      <c r="G67" s="194">
        <v>14307.1</v>
      </c>
      <c r="H67" s="194">
        <v>12774.2</v>
      </c>
      <c r="I67" s="194">
        <v>1277.4000000000001</v>
      </c>
      <c r="J67" s="35">
        <f t="shared" si="2"/>
        <v>766.44</v>
      </c>
      <c r="K67" s="195">
        <v>0.6</v>
      </c>
    </row>
    <row r="68" spans="1:11" x14ac:dyDescent="0.25">
      <c r="A68" s="197" t="s">
        <v>149</v>
      </c>
      <c r="B68" s="197">
        <v>632289510</v>
      </c>
      <c r="C68" s="204">
        <v>46010</v>
      </c>
      <c r="D68" s="197" t="s">
        <v>150</v>
      </c>
      <c r="E68" s="197" t="s">
        <v>38</v>
      </c>
      <c r="F68" s="197" t="s">
        <v>149</v>
      </c>
      <c r="G68" s="194">
        <v>9036.02</v>
      </c>
      <c r="H68" s="194">
        <v>8067.88</v>
      </c>
      <c r="I68" s="194">
        <v>806.7</v>
      </c>
      <c r="J68" s="35">
        <f t="shared" si="2"/>
        <v>484.02</v>
      </c>
      <c r="K68" s="195">
        <v>0.6</v>
      </c>
    </row>
    <row r="69" spans="1:11" x14ac:dyDescent="0.25">
      <c r="A69" s="197" t="s">
        <v>147</v>
      </c>
      <c r="B69" s="197">
        <v>632296596</v>
      </c>
      <c r="C69" s="204">
        <v>46011</v>
      </c>
      <c r="D69" s="197" t="s">
        <v>148</v>
      </c>
      <c r="E69" s="197" t="s">
        <v>38</v>
      </c>
      <c r="F69" s="197" t="s">
        <v>147</v>
      </c>
      <c r="G69" s="194">
        <v>7530.03</v>
      </c>
      <c r="H69" s="194">
        <v>6723.23</v>
      </c>
      <c r="I69" s="194">
        <v>672.3</v>
      </c>
      <c r="J69" s="35">
        <f t="shared" si="2"/>
        <v>403.37999999999994</v>
      </c>
      <c r="K69" s="195">
        <v>0.6</v>
      </c>
    </row>
    <row r="70" spans="1:11" x14ac:dyDescent="0.25">
      <c r="A70" s="197" t="s">
        <v>1320</v>
      </c>
      <c r="B70" s="197">
        <v>632170453</v>
      </c>
      <c r="C70" s="204">
        <v>46010</v>
      </c>
      <c r="D70" s="197" t="s">
        <v>205</v>
      </c>
      <c r="E70" s="197" t="s">
        <v>38</v>
      </c>
      <c r="F70" s="37" t="s">
        <v>1321</v>
      </c>
      <c r="G70" s="194">
        <v>13070.9</v>
      </c>
      <c r="H70" s="194">
        <v>11771.93</v>
      </c>
      <c r="I70" s="194">
        <v>1177.0999999999999</v>
      </c>
      <c r="J70" s="35">
        <f t="shared" si="2"/>
        <v>706.25999999999988</v>
      </c>
      <c r="K70" s="195">
        <v>0.6</v>
      </c>
    </row>
    <row r="71" spans="1:11" x14ac:dyDescent="0.25">
      <c r="A71" s="197" t="s">
        <v>1346</v>
      </c>
      <c r="B71" s="197">
        <v>630252740</v>
      </c>
      <c r="C71" s="204">
        <v>46010</v>
      </c>
      <c r="D71" s="197" t="s">
        <v>1347</v>
      </c>
      <c r="E71" s="197" t="s">
        <v>38</v>
      </c>
      <c r="F71" s="37" t="s">
        <v>1346</v>
      </c>
      <c r="G71" s="194">
        <v>9036.0499999999993</v>
      </c>
      <c r="H71" s="194">
        <v>8067.89</v>
      </c>
      <c r="I71" s="194">
        <v>806.7</v>
      </c>
      <c r="J71" s="35">
        <f t="shared" si="2"/>
        <v>484.02</v>
      </c>
      <c r="K71" s="195">
        <v>0.6</v>
      </c>
    </row>
    <row r="72" spans="1:11" x14ac:dyDescent="0.25">
      <c r="A72" s="197" t="s">
        <v>1066</v>
      </c>
      <c r="B72" s="197">
        <v>632196483</v>
      </c>
      <c r="C72" s="204">
        <v>46010</v>
      </c>
      <c r="D72" s="197" t="s">
        <v>1348</v>
      </c>
      <c r="E72" s="197" t="s">
        <v>38</v>
      </c>
      <c r="F72" s="197" t="s">
        <v>1349</v>
      </c>
      <c r="G72" s="194">
        <v>9036.0400000000009</v>
      </c>
      <c r="H72" s="194">
        <v>8067.88</v>
      </c>
      <c r="I72" s="194">
        <v>806.7</v>
      </c>
      <c r="J72" s="35">
        <f t="shared" si="2"/>
        <v>484.02</v>
      </c>
      <c r="K72" s="195">
        <v>0.6</v>
      </c>
    </row>
    <row r="73" spans="1:11" x14ac:dyDescent="0.25">
      <c r="A73" s="197" t="s">
        <v>1350</v>
      </c>
      <c r="B73" s="197">
        <v>631456534</v>
      </c>
      <c r="C73" s="204">
        <v>46008</v>
      </c>
      <c r="D73" s="197" t="s">
        <v>1351</v>
      </c>
      <c r="E73" s="197" t="s">
        <v>38</v>
      </c>
      <c r="F73" s="197" t="s">
        <v>57</v>
      </c>
      <c r="G73" s="194">
        <v>14307.12</v>
      </c>
      <c r="H73" s="194">
        <v>12774.21</v>
      </c>
      <c r="I73" s="194">
        <v>1277.4000000000001</v>
      </c>
      <c r="J73" s="35">
        <f t="shared" si="2"/>
        <v>766.44</v>
      </c>
      <c r="K73" s="195">
        <v>0.6</v>
      </c>
    </row>
    <row r="74" spans="1:11" x14ac:dyDescent="0.25">
      <c r="A74" s="197" t="s">
        <v>1325</v>
      </c>
      <c r="B74" s="197">
        <v>631277551</v>
      </c>
      <c r="C74" s="204">
        <v>46008</v>
      </c>
      <c r="D74" s="197" t="s">
        <v>1326</v>
      </c>
      <c r="E74" s="197" t="s">
        <v>38</v>
      </c>
      <c r="F74" s="197" t="s">
        <v>1325</v>
      </c>
      <c r="G74" s="194">
        <v>18017.04</v>
      </c>
      <c r="H74" s="194">
        <v>16086.65</v>
      </c>
      <c r="I74" s="194">
        <v>1608.6</v>
      </c>
      <c r="J74" s="35">
        <f t="shared" si="2"/>
        <v>965.15999999999985</v>
      </c>
      <c r="K74" s="195">
        <v>0.6</v>
      </c>
    </row>
    <row r="75" spans="1:11" x14ac:dyDescent="0.25">
      <c r="A75" s="197" t="s">
        <v>173</v>
      </c>
      <c r="B75" s="197">
        <v>630200843</v>
      </c>
      <c r="C75" s="204">
        <v>46009</v>
      </c>
      <c r="D75" s="197" t="s">
        <v>174</v>
      </c>
      <c r="E75" s="197" t="s">
        <v>38</v>
      </c>
      <c r="F75" s="197" t="s">
        <v>1352</v>
      </c>
      <c r="G75" s="194">
        <v>7530.01</v>
      </c>
      <c r="H75" s="194">
        <v>6723.2</v>
      </c>
      <c r="I75" s="194">
        <v>672.3</v>
      </c>
      <c r="J75" s="35">
        <f t="shared" si="2"/>
        <v>403.37999999999994</v>
      </c>
      <c r="K75" s="195">
        <v>0.6</v>
      </c>
    </row>
    <row r="76" spans="1:11" x14ac:dyDescent="0.25">
      <c r="A76" s="197" t="s">
        <v>360</v>
      </c>
      <c r="B76" s="197">
        <v>631172566</v>
      </c>
      <c r="C76" s="204">
        <v>46011</v>
      </c>
      <c r="D76" s="197" t="s">
        <v>1353</v>
      </c>
      <c r="E76" s="197" t="s">
        <v>38</v>
      </c>
      <c r="F76" s="197" t="s">
        <v>360</v>
      </c>
      <c r="G76" s="194">
        <v>12823.12</v>
      </c>
      <c r="H76" s="194">
        <v>11449.21</v>
      </c>
      <c r="I76" s="194">
        <v>1144.9000000000001</v>
      </c>
      <c r="J76" s="35">
        <f t="shared" si="2"/>
        <v>686.94</v>
      </c>
      <c r="K76" s="195">
        <v>0.6</v>
      </c>
    </row>
    <row r="77" spans="1:11" x14ac:dyDescent="0.25">
      <c r="A77" s="197" t="s">
        <v>129</v>
      </c>
      <c r="B77" s="197">
        <v>630182171</v>
      </c>
      <c r="C77" s="204">
        <v>46017</v>
      </c>
      <c r="D77" s="197" t="s">
        <v>130</v>
      </c>
      <c r="E77" s="197" t="s">
        <v>38</v>
      </c>
      <c r="F77" s="197" t="s">
        <v>129</v>
      </c>
      <c r="G77" s="194">
        <v>9036.02</v>
      </c>
      <c r="H77" s="194">
        <v>8067.88</v>
      </c>
      <c r="I77" s="194">
        <v>806.7</v>
      </c>
      <c r="J77" s="35">
        <f t="shared" si="2"/>
        <v>484.02</v>
      </c>
      <c r="K77" s="195">
        <v>0.6</v>
      </c>
    </row>
    <row r="78" spans="1:11" x14ac:dyDescent="0.25">
      <c r="A78" s="197" t="s">
        <v>1354</v>
      </c>
      <c r="B78" s="197">
        <v>630131452</v>
      </c>
      <c r="C78" s="204">
        <v>46007</v>
      </c>
      <c r="D78" s="197" t="s">
        <v>1355</v>
      </c>
      <c r="E78" s="197" t="s">
        <v>38</v>
      </c>
      <c r="F78" s="37" t="s">
        <v>1356</v>
      </c>
      <c r="G78" s="194">
        <v>18704.11</v>
      </c>
      <c r="H78" s="194">
        <v>16700.09</v>
      </c>
      <c r="I78" s="194">
        <v>1670</v>
      </c>
      <c r="J78" s="35">
        <f t="shared" si="2"/>
        <v>1002</v>
      </c>
      <c r="K78" s="195">
        <v>0.6</v>
      </c>
    </row>
    <row r="79" spans="1:11" x14ac:dyDescent="0.25">
      <c r="A79" s="197" t="s">
        <v>133</v>
      </c>
      <c r="B79" s="197">
        <v>629606057</v>
      </c>
      <c r="C79" s="204">
        <v>46005</v>
      </c>
      <c r="D79" s="197" t="s">
        <v>134</v>
      </c>
      <c r="E79" s="197" t="s">
        <v>38</v>
      </c>
      <c r="F79" s="197" t="s">
        <v>133</v>
      </c>
      <c r="G79" s="194">
        <v>9036.0499999999993</v>
      </c>
      <c r="H79" s="194">
        <v>8067.88</v>
      </c>
      <c r="I79" s="194">
        <v>806.7</v>
      </c>
      <c r="J79" s="35">
        <f t="shared" si="2"/>
        <v>484.02</v>
      </c>
      <c r="K79" s="195">
        <v>0.6</v>
      </c>
    </row>
    <row r="80" spans="1:11" x14ac:dyDescent="0.25">
      <c r="A80" s="197" t="s">
        <v>1357</v>
      </c>
      <c r="B80" s="197">
        <v>626862845</v>
      </c>
      <c r="C80" s="204">
        <v>46003</v>
      </c>
      <c r="D80" s="197" t="s">
        <v>1358</v>
      </c>
      <c r="E80" s="197" t="s">
        <v>38</v>
      </c>
      <c r="F80" s="197" t="s">
        <v>1357</v>
      </c>
      <c r="G80" s="194">
        <v>8133.08</v>
      </c>
      <c r="H80" s="194">
        <v>7261.66</v>
      </c>
      <c r="I80" s="194">
        <v>726.1</v>
      </c>
      <c r="J80" s="35">
        <f t="shared" si="2"/>
        <v>435.66</v>
      </c>
      <c r="K80" s="195">
        <v>0.6</v>
      </c>
    </row>
    <row r="81" spans="1:11" x14ac:dyDescent="0.25">
      <c r="A81" s="197" t="s">
        <v>581</v>
      </c>
      <c r="B81" s="197">
        <v>634298157</v>
      </c>
      <c r="C81" s="204">
        <v>46016</v>
      </c>
      <c r="D81" s="197" t="s">
        <v>1142</v>
      </c>
      <c r="E81" s="197" t="s">
        <v>41</v>
      </c>
      <c r="F81" s="37" t="s">
        <v>12</v>
      </c>
      <c r="G81" s="194">
        <v>7530.03</v>
      </c>
      <c r="H81" s="194">
        <v>6723.22</v>
      </c>
      <c r="I81" s="194">
        <v>672.3</v>
      </c>
      <c r="J81" s="35">
        <f t="shared" si="2"/>
        <v>403.37999999999994</v>
      </c>
      <c r="K81" s="195">
        <v>0.6</v>
      </c>
    </row>
    <row r="82" spans="1:11" x14ac:dyDescent="0.25">
      <c r="A82" s="197" t="s">
        <v>163</v>
      </c>
      <c r="B82" s="197">
        <v>634780310</v>
      </c>
      <c r="C82" s="204">
        <v>46017</v>
      </c>
      <c r="D82" s="197" t="s">
        <v>1360</v>
      </c>
      <c r="E82" s="197" t="s">
        <v>41</v>
      </c>
      <c r="F82" s="37" t="s">
        <v>12</v>
      </c>
      <c r="G82" s="194">
        <v>14307.12</v>
      </c>
      <c r="H82" s="194">
        <v>12774.21</v>
      </c>
      <c r="I82" s="194">
        <v>1277.4000000000001</v>
      </c>
      <c r="J82" s="35">
        <f t="shared" si="2"/>
        <v>766.44</v>
      </c>
      <c r="K82" s="195">
        <v>0.6</v>
      </c>
    </row>
    <row r="83" spans="1:11" x14ac:dyDescent="0.25">
      <c r="A83" s="197" t="s">
        <v>1361</v>
      </c>
      <c r="B83" s="197">
        <v>632950775</v>
      </c>
      <c r="C83" s="205">
        <v>46019</v>
      </c>
      <c r="D83" s="197" t="s">
        <v>1362</v>
      </c>
      <c r="E83" s="197" t="s">
        <v>41</v>
      </c>
      <c r="F83" s="197" t="s">
        <v>12</v>
      </c>
      <c r="G83" s="194">
        <v>10920.98</v>
      </c>
      <c r="H83" s="194">
        <v>9750.8799999999992</v>
      </c>
      <c r="I83" s="194">
        <v>975</v>
      </c>
      <c r="J83" s="35">
        <f t="shared" si="2"/>
        <v>585</v>
      </c>
      <c r="K83" s="195">
        <v>0.6</v>
      </c>
    </row>
    <row r="84" spans="1:11" x14ac:dyDescent="0.25">
      <c r="A84" s="197" t="s">
        <v>1363</v>
      </c>
      <c r="B84" s="197">
        <v>635233866</v>
      </c>
      <c r="C84" s="204">
        <v>46018</v>
      </c>
      <c r="D84" s="197" t="s">
        <v>1364</v>
      </c>
      <c r="E84" s="197" t="s">
        <v>38</v>
      </c>
      <c r="F84" s="197" t="s">
        <v>1365</v>
      </c>
      <c r="G84" s="194">
        <v>15060.13</v>
      </c>
      <c r="H84" s="194">
        <v>13446.54</v>
      </c>
      <c r="I84" s="194">
        <v>1344.6</v>
      </c>
      <c r="J84" s="35">
        <f t="shared" si="2"/>
        <v>806.75999999999988</v>
      </c>
      <c r="K84" s="195">
        <v>0.6</v>
      </c>
    </row>
    <row r="85" spans="1:11" x14ac:dyDescent="0.25">
      <c r="A85" s="197" t="s">
        <v>159</v>
      </c>
      <c r="B85" s="197">
        <v>635533210</v>
      </c>
      <c r="C85" s="204">
        <v>46020</v>
      </c>
      <c r="D85" s="197" t="s">
        <v>160</v>
      </c>
      <c r="E85" s="197" t="s">
        <v>41</v>
      </c>
      <c r="F85" s="37" t="s">
        <v>12</v>
      </c>
      <c r="G85" s="194">
        <v>7530.03</v>
      </c>
      <c r="H85" s="194">
        <v>6723.22</v>
      </c>
      <c r="I85" s="194">
        <v>672.3</v>
      </c>
      <c r="J85" s="35">
        <f t="shared" si="2"/>
        <v>403.37999999999994</v>
      </c>
      <c r="K85" s="195">
        <v>0.6</v>
      </c>
    </row>
    <row r="86" spans="1:11" x14ac:dyDescent="0.25">
      <c r="A86" s="197" t="s">
        <v>1011</v>
      </c>
      <c r="B86" s="197">
        <v>635586402</v>
      </c>
      <c r="C86" s="204">
        <v>46020</v>
      </c>
      <c r="D86" s="197" t="s">
        <v>1366</v>
      </c>
      <c r="E86" s="197" t="s">
        <v>38</v>
      </c>
      <c r="F86" s="37" t="s">
        <v>1013</v>
      </c>
      <c r="G86" s="194">
        <v>18412.8</v>
      </c>
      <c r="H86" s="194">
        <v>16724.14</v>
      </c>
      <c r="I86" s="194">
        <v>1672.4</v>
      </c>
      <c r="J86" s="35">
        <f t="shared" si="2"/>
        <v>1003.44</v>
      </c>
      <c r="K86" s="195">
        <v>0.6</v>
      </c>
    </row>
    <row r="87" spans="1:11" x14ac:dyDescent="0.25">
      <c r="A87" s="197" t="s">
        <v>165</v>
      </c>
      <c r="B87" s="197">
        <v>636110995</v>
      </c>
      <c r="C87" s="204">
        <v>46022</v>
      </c>
      <c r="D87" s="197" t="s">
        <v>166</v>
      </c>
      <c r="E87" s="197" t="s">
        <v>38</v>
      </c>
      <c r="F87" s="197" t="s">
        <v>165</v>
      </c>
      <c r="G87" s="194">
        <v>7530.03</v>
      </c>
      <c r="H87" s="194">
        <v>6723.22</v>
      </c>
      <c r="I87" s="194">
        <v>672.3</v>
      </c>
      <c r="J87" s="35">
        <f t="shared" si="2"/>
        <v>403.37999999999994</v>
      </c>
      <c r="K87" s="195">
        <v>0.6</v>
      </c>
    </row>
    <row r="88" spans="1:11" x14ac:dyDescent="0.25">
      <c r="A88" s="197"/>
      <c r="B88" s="197"/>
      <c r="C88" s="204"/>
      <c r="D88" s="197"/>
      <c r="E88" s="197"/>
      <c r="F88" s="197"/>
      <c r="G88" s="194"/>
      <c r="H88" s="194"/>
      <c r="I88" s="194"/>
      <c r="J88" s="35">
        <f t="shared" si="2"/>
        <v>0</v>
      </c>
      <c r="K88" s="195">
        <v>0.6</v>
      </c>
    </row>
    <row r="89" spans="1:11" x14ac:dyDescent="0.25">
      <c r="A89" s="197"/>
      <c r="B89" s="197"/>
      <c r="C89" s="204"/>
      <c r="D89" s="197"/>
      <c r="E89" s="197"/>
      <c r="F89" s="37"/>
      <c r="G89" s="194"/>
      <c r="H89" s="194"/>
      <c r="I89" s="194"/>
      <c r="J89" s="35">
        <f t="shared" si="2"/>
        <v>0</v>
      </c>
      <c r="K89" s="195">
        <v>0.6</v>
      </c>
    </row>
    <row r="90" spans="1:11" x14ac:dyDescent="0.25">
      <c r="A90" s="197"/>
      <c r="B90" s="197"/>
      <c r="C90" s="204"/>
      <c r="D90" s="197"/>
      <c r="E90" s="197"/>
      <c r="F90" s="37"/>
      <c r="G90" s="194"/>
      <c r="H90" s="194"/>
      <c r="I90" s="194"/>
      <c r="J90" s="35">
        <f t="shared" si="2"/>
        <v>0</v>
      </c>
      <c r="K90" s="195">
        <v>0.6</v>
      </c>
    </row>
    <row r="91" spans="1:11" x14ac:dyDescent="0.25">
      <c r="A91" s="197"/>
      <c r="B91" s="197"/>
      <c r="C91" s="204"/>
      <c r="D91" s="197"/>
      <c r="E91" s="197"/>
      <c r="F91" s="37"/>
      <c r="G91" s="194"/>
      <c r="H91" s="194"/>
      <c r="I91" s="194"/>
      <c r="J91" s="35">
        <f t="shared" si="2"/>
        <v>0</v>
      </c>
      <c r="K91" s="195">
        <v>0.6</v>
      </c>
    </row>
    <row r="92" spans="1:11" x14ac:dyDescent="0.25">
      <c r="A92" s="197"/>
      <c r="B92" s="197"/>
      <c r="C92" s="204"/>
      <c r="D92" s="197"/>
      <c r="E92" s="197"/>
      <c r="F92" s="37"/>
      <c r="G92" s="194"/>
      <c r="H92" s="194"/>
      <c r="I92" s="194"/>
      <c r="J92" s="35">
        <f t="shared" si="2"/>
        <v>0</v>
      </c>
      <c r="K92" s="195">
        <v>0.6</v>
      </c>
    </row>
    <row r="93" spans="1:11" x14ac:dyDescent="0.25">
      <c r="A93" s="197"/>
      <c r="B93" s="197"/>
      <c r="C93" s="204"/>
      <c r="D93" s="197"/>
      <c r="E93" s="197"/>
      <c r="F93" s="37"/>
      <c r="G93" s="194"/>
      <c r="H93" s="194"/>
      <c r="I93" s="194"/>
      <c r="J93" s="35">
        <f t="shared" si="2"/>
        <v>0</v>
      </c>
      <c r="K93" s="195">
        <v>0.6</v>
      </c>
    </row>
    <row r="94" spans="1:11" x14ac:dyDescent="0.25">
      <c r="A94" s="197"/>
      <c r="B94" s="197"/>
      <c r="C94" s="204"/>
      <c r="D94" s="197"/>
      <c r="E94" s="197"/>
      <c r="F94" s="37"/>
      <c r="G94" s="194"/>
      <c r="H94" s="194"/>
      <c r="I94" s="194"/>
      <c r="J94" s="35">
        <f t="shared" si="2"/>
        <v>0</v>
      </c>
      <c r="K94" s="195">
        <v>0.6</v>
      </c>
    </row>
    <row r="95" spans="1:11" x14ac:dyDescent="0.25">
      <c r="A95" s="197"/>
      <c r="B95" s="197"/>
      <c r="C95" s="204"/>
      <c r="D95" s="197"/>
      <c r="E95" s="197"/>
      <c r="F95" s="37"/>
      <c r="G95" s="194"/>
      <c r="H95" s="194"/>
      <c r="I95" s="194"/>
      <c r="J95" s="35">
        <f t="shared" si="2"/>
        <v>0</v>
      </c>
      <c r="K95" s="195">
        <v>0.6</v>
      </c>
    </row>
    <row r="96" spans="1:11" x14ac:dyDescent="0.25">
      <c r="A96" s="197"/>
      <c r="B96" s="197"/>
      <c r="C96" s="204"/>
      <c r="D96" s="197"/>
      <c r="E96" s="197"/>
      <c r="F96" s="197"/>
      <c r="G96" s="194"/>
      <c r="H96" s="194"/>
      <c r="I96" s="194"/>
      <c r="J96" s="35">
        <f t="shared" si="2"/>
        <v>0</v>
      </c>
      <c r="K96" s="195">
        <v>0.6</v>
      </c>
    </row>
    <row r="97" spans="1:11" x14ac:dyDescent="0.25">
      <c r="A97" s="197"/>
      <c r="B97" s="197"/>
      <c r="C97" s="204"/>
      <c r="D97" s="197"/>
      <c r="E97" s="197"/>
      <c r="F97" s="197"/>
      <c r="G97" s="194"/>
      <c r="H97" s="194"/>
      <c r="I97" s="194"/>
      <c r="J97" s="35">
        <f t="shared" si="2"/>
        <v>0</v>
      </c>
      <c r="K97" s="195">
        <v>0.6</v>
      </c>
    </row>
    <row r="98" spans="1:11" x14ac:dyDescent="0.25">
      <c r="A98" s="197"/>
      <c r="B98" s="197"/>
      <c r="C98" s="204"/>
      <c r="D98" s="197"/>
      <c r="E98" s="197"/>
      <c r="F98" s="197"/>
      <c r="G98" s="194"/>
      <c r="H98" s="194"/>
      <c r="I98" s="194"/>
      <c r="J98" s="35">
        <f t="shared" si="2"/>
        <v>0</v>
      </c>
      <c r="K98" s="195">
        <v>0.6</v>
      </c>
    </row>
    <row r="99" spans="1:11" x14ac:dyDescent="0.25">
      <c r="A99" s="197"/>
      <c r="B99" s="197"/>
      <c r="C99" s="204"/>
      <c r="D99" s="197"/>
      <c r="E99" s="197"/>
      <c r="F99" s="197"/>
      <c r="G99" s="194"/>
      <c r="H99" s="194"/>
      <c r="I99" s="194"/>
      <c r="J99" s="35">
        <f t="shared" si="2"/>
        <v>0</v>
      </c>
      <c r="K99" s="195">
        <v>0.6</v>
      </c>
    </row>
    <row r="100" spans="1:11" x14ac:dyDescent="0.25">
      <c r="A100" s="197"/>
      <c r="B100" s="197"/>
      <c r="C100" s="205"/>
      <c r="D100" s="197"/>
      <c r="E100" s="197"/>
      <c r="F100" s="37"/>
      <c r="G100" s="194"/>
      <c r="H100" s="194"/>
      <c r="I100" s="194"/>
      <c r="J100" s="35">
        <f t="shared" si="2"/>
        <v>0</v>
      </c>
      <c r="K100" s="195">
        <v>0.6</v>
      </c>
    </row>
    <row r="101" spans="1:11" x14ac:dyDescent="0.25">
      <c r="A101" s="197"/>
      <c r="B101" s="197"/>
      <c r="C101" s="204"/>
      <c r="D101" s="197"/>
      <c r="E101" s="197"/>
      <c r="F101" s="197"/>
      <c r="G101" s="194"/>
      <c r="H101" s="194"/>
      <c r="I101" s="194"/>
      <c r="J101" s="35">
        <f t="shared" si="2"/>
        <v>0</v>
      </c>
      <c r="K101" s="195">
        <v>0.6</v>
      </c>
    </row>
    <row r="102" spans="1:11" x14ac:dyDescent="0.25">
      <c r="A102" s="197"/>
      <c r="B102" s="197"/>
      <c r="C102" s="204"/>
      <c r="D102" s="197"/>
      <c r="E102" s="197"/>
      <c r="F102" s="197"/>
      <c r="G102" s="194"/>
      <c r="H102" s="194"/>
      <c r="I102" s="194"/>
      <c r="J102" s="35">
        <f t="shared" si="2"/>
        <v>0</v>
      </c>
      <c r="K102" s="195">
        <v>0.6</v>
      </c>
    </row>
    <row r="103" spans="1:11" x14ac:dyDescent="0.25">
      <c r="A103" s="197"/>
      <c r="B103" s="197"/>
      <c r="C103" s="205"/>
      <c r="D103" s="197"/>
      <c r="E103" s="197"/>
      <c r="F103" s="197"/>
      <c r="G103" s="194"/>
      <c r="H103" s="194"/>
      <c r="I103" s="194"/>
      <c r="J103" s="35">
        <f t="shared" si="2"/>
        <v>0</v>
      </c>
      <c r="K103" s="195">
        <v>0.6</v>
      </c>
    </row>
    <row r="104" spans="1:11" x14ac:dyDescent="0.25">
      <c r="A104" s="197"/>
      <c r="B104" s="197"/>
      <c r="C104" s="205"/>
      <c r="D104" s="197"/>
      <c r="E104" s="197"/>
      <c r="F104" s="197"/>
      <c r="G104" s="194"/>
      <c r="H104" s="194"/>
      <c r="I104" s="194"/>
      <c r="J104" s="35">
        <f t="shared" ref="J104:J129" si="3">I104*K104</f>
        <v>0</v>
      </c>
      <c r="K104" s="195">
        <v>0.6</v>
      </c>
    </row>
    <row r="105" spans="1:11" x14ac:dyDescent="0.25">
      <c r="A105" s="197"/>
      <c r="B105" s="197"/>
      <c r="C105" s="204"/>
      <c r="D105" s="197"/>
      <c r="E105" s="197"/>
      <c r="F105" s="37"/>
      <c r="G105" s="194"/>
      <c r="H105" s="194"/>
      <c r="I105" s="194"/>
      <c r="J105" s="35">
        <f t="shared" si="3"/>
        <v>0</v>
      </c>
      <c r="K105" s="195">
        <v>0.6</v>
      </c>
    </row>
    <row r="106" spans="1:11" x14ac:dyDescent="0.25">
      <c r="A106" s="197"/>
      <c r="B106" s="197"/>
      <c r="C106" s="204"/>
      <c r="D106" s="197"/>
      <c r="E106" s="197"/>
      <c r="F106" s="37"/>
      <c r="G106" s="194"/>
      <c r="H106" s="194"/>
      <c r="I106" s="194"/>
      <c r="J106" s="35">
        <f t="shared" si="3"/>
        <v>0</v>
      </c>
      <c r="K106" s="195">
        <v>0.6</v>
      </c>
    </row>
    <row r="107" spans="1:11" x14ac:dyDescent="0.25">
      <c r="A107" s="197"/>
      <c r="B107" s="197"/>
      <c r="C107" s="204"/>
      <c r="D107" s="197"/>
      <c r="E107" s="197"/>
      <c r="F107" s="197"/>
      <c r="G107" s="194"/>
      <c r="H107" s="194"/>
      <c r="I107" s="194"/>
      <c r="J107" s="35">
        <f t="shared" si="3"/>
        <v>0</v>
      </c>
      <c r="K107" s="195">
        <v>0.6</v>
      </c>
    </row>
    <row r="108" spans="1:11" x14ac:dyDescent="0.25">
      <c r="A108" s="197"/>
      <c r="B108" s="197"/>
      <c r="C108" s="204"/>
      <c r="D108" s="197"/>
      <c r="E108" s="197"/>
      <c r="F108" s="197"/>
      <c r="G108" s="194"/>
      <c r="H108" s="194"/>
      <c r="I108" s="194"/>
      <c r="J108" s="35">
        <f t="shared" si="3"/>
        <v>0</v>
      </c>
      <c r="K108" s="195">
        <v>0.6</v>
      </c>
    </row>
    <row r="109" spans="1:11" x14ac:dyDescent="0.25">
      <c r="A109" s="197"/>
      <c r="B109" s="197"/>
      <c r="C109" s="204"/>
      <c r="D109" s="197"/>
      <c r="E109" s="197"/>
      <c r="F109" s="197"/>
      <c r="G109" s="194"/>
      <c r="H109" s="194"/>
      <c r="I109" s="194"/>
      <c r="J109" s="35">
        <f t="shared" si="3"/>
        <v>0</v>
      </c>
      <c r="K109" s="195">
        <v>0.6</v>
      </c>
    </row>
    <row r="110" spans="1:11" x14ac:dyDescent="0.25">
      <c r="A110" s="197"/>
      <c r="B110" s="197"/>
      <c r="C110" s="204"/>
      <c r="D110" s="197"/>
      <c r="E110" s="197"/>
      <c r="F110" s="197"/>
      <c r="G110" s="194"/>
      <c r="H110" s="194"/>
      <c r="I110" s="194"/>
      <c r="J110" s="35">
        <f t="shared" si="3"/>
        <v>0</v>
      </c>
      <c r="K110" s="195">
        <v>0.6</v>
      </c>
    </row>
    <row r="111" spans="1:11" x14ac:dyDescent="0.25">
      <c r="A111" s="197"/>
      <c r="B111" s="197"/>
      <c r="C111" s="204"/>
      <c r="D111" s="197"/>
      <c r="E111" s="197"/>
      <c r="F111" s="197"/>
      <c r="G111" s="194"/>
      <c r="H111" s="194"/>
      <c r="I111" s="194"/>
      <c r="J111" s="35">
        <f t="shared" si="3"/>
        <v>0</v>
      </c>
      <c r="K111" s="195">
        <v>0.6</v>
      </c>
    </row>
    <row r="112" spans="1:11" x14ac:dyDescent="0.25">
      <c r="A112" s="197"/>
      <c r="B112" s="197"/>
      <c r="C112" s="204"/>
      <c r="D112" s="197"/>
      <c r="E112" s="197"/>
      <c r="F112" s="197"/>
      <c r="G112" s="194"/>
      <c r="H112" s="194"/>
      <c r="I112" s="194"/>
      <c r="J112" s="35">
        <f t="shared" si="3"/>
        <v>0</v>
      </c>
      <c r="K112" s="195">
        <v>0.6</v>
      </c>
    </row>
    <row r="113" spans="1:11" x14ac:dyDescent="0.25">
      <c r="A113" s="197"/>
      <c r="B113" s="197"/>
      <c r="C113" s="204"/>
      <c r="D113" s="197"/>
      <c r="E113" s="197"/>
      <c r="F113" s="197"/>
      <c r="G113" s="194"/>
      <c r="H113" s="194"/>
      <c r="I113" s="194"/>
      <c r="J113" s="35">
        <f t="shared" si="3"/>
        <v>0</v>
      </c>
      <c r="K113" s="195">
        <v>0.6</v>
      </c>
    </row>
    <row r="114" spans="1:11" x14ac:dyDescent="0.25">
      <c r="A114" s="197"/>
      <c r="B114" s="197"/>
      <c r="C114" s="204"/>
      <c r="D114" s="197"/>
      <c r="E114" s="197"/>
      <c r="F114" s="197"/>
      <c r="G114" s="194"/>
      <c r="H114" s="194"/>
      <c r="I114" s="194"/>
      <c r="J114" s="35">
        <f t="shared" si="3"/>
        <v>0</v>
      </c>
      <c r="K114" s="195">
        <v>0.6</v>
      </c>
    </row>
    <row r="115" spans="1:11" x14ac:dyDescent="0.25">
      <c r="A115" s="197"/>
      <c r="B115" s="197"/>
      <c r="C115" s="204"/>
      <c r="D115" s="197"/>
      <c r="E115" s="197"/>
      <c r="F115" s="197"/>
      <c r="G115" s="194"/>
      <c r="H115" s="194"/>
      <c r="I115" s="194"/>
      <c r="J115" s="35">
        <f t="shared" si="3"/>
        <v>0</v>
      </c>
      <c r="K115" s="195">
        <v>0.6</v>
      </c>
    </row>
    <row r="116" spans="1:11" x14ac:dyDescent="0.25">
      <c r="A116" s="197"/>
      <c r="B116" s="197"/>
      <c r="C116" s="204"/>
      <c r="D116" s="197"/>
      <c r="E116" s="197"/>
      <c r="F116" s="197"/>
      <c r="G116" s="194"/>
      <c r="H116" s="194"/>
      <c r="I116" s="194"/>
      <c r="J116" s="35">
        <f t="shared" si="3"/>
        <v>0</v>
      </c>
      <c r="K116" s="195">
        <v>0.6</v>
      </c>
    </row>
    <row r="117" spans="1:11" x14ac:dyDescent="0.25">
      <c r="A117" s="197"/>
      <c r="B117" s="197"/>
      <c r="C117" s="204"/>
      <c r="D117" s="197"/>
      <c r="E117" s="197"/>
      <c r="F117" s="197"/>
      <c r="G117" s="194"/>
      <c r="H117" s="194"/>
      <c r="I117" s="194"/>
      <c r="J117" s="35">
        <f t="shared" si="3"/>
        <v>0</v>
      </c>
      <c r="K117" s="195">
        <v>0.6</v>
      </c>
    </row>
    <row r="118" spans="1:11" x14ac:dyDescent="0.25">
      <c r="A118" s="197"/>
      <c r="B118" s="197"/>
      <c r="C118" s="204"/>
      <c r="D118" s="197"/>
      <c r="E118" s="197"/>
      <c r="F118" s="197"/>
      <c r="G118" s="194"/>
      <c r="H118" s="194"/>
      <c r="I118" s="194"/>
      <c r="J118" s="35">
        <f t="shared" si="3"/>
        <v>0</v>
      </c>
      <c r="K118" s="195">
        <v>0.6</v>
      </c>
    </row>
    <row r="119" spans="1:11" x14ac:dyDescent="0.25">
      <c r="A119" s="197"/>
      <c r="B119" s="197"/>
      <c r="C119" s="204"/>
      <c r="D119" s="197"/>
      <c r="E119" s="197"/>
      <c r="F119" s="197"/>
      <c r="G119" s="194"/>
      <c r="H119" s="194"/>
      <c r="I119" s="194"/>
      <c r="J119" s="35">
        <f t="shared" si="3"/>
        <v>0</v>
      </c>
      <c r="K119" s="195">
        <v>0.6</v>
      </c>
    </row>
    <row r="120" spans="1:11" x14ac:dyDescent="0.25">
      <c r="A120" s="197"/>
      <c r="B120" s="197"/>
      <c r="C120" s="204"/>
      <c r="D120" s="197"/>
      <c r="E120" s="197"/>
      <c r="F120" s="197"/>
      <c r="G120" s="194"/>
      <c r="H120" s="194"/>
      <c r="I120" s="194"/>
      <c r="J120" s="35">
        <f t="shared" si="3"/>
        <v>0</v>
      </c>
      <c r="K120" s="195">
        <v>0.6</v>
      </c>
    </row>
    <row r="121" spans="1:11" x14ac:dyDescent="0.25">
      <c r="A121" s="197"/>
      <c r="B121" s="197"/>
      <c r="C121" s="204"/>
      <c r="D121" s="197"/>
      <c r="E121" s="197"/>
      <c r="F121" s="197"/>
      <c r="G121" s="194"/>
      <c r="H121" s="194"/>
      <c r="I121" s="194"/>
      <c r="J121" s="35">
        <f t="shared" si="3"/>
        <v>0</v>
      </c>
      <c r="K121" s="195">
        <v>0.6</v>
      </c>
    </row>
    <row r="122" spans="1:11" x14ac:dyDescent="0.25">
      <c r="A122" s="197"/>
      <c r="B122" s="197"/>
      <c r="C122" s="204"/>
      <c r="D122" s="197"/>
      <c r="E122" s="197"/>
      <c r="F122" s="197"/>
      <c r="G122" s="194"/>
      <c r="H122" s="194"/>
      <c r="I122" s="194"/>
      <c r="J122" s="35">
        <f t="shared" si="3"/>
        <v>0</v>
      </c>
      <c r="K122" s="195">
        <v>0.6</v>
      </c>
    </row>
    <row r="123" spans="1:11" x14ac:dyDescent="0.25">
      <c r="A123" s="197"/>
      <c r="B123" s="197"/>
      <c r="C123" s="204"/>
      <c r="D123" s="197"/>
      <c r="E123" s="197"/>
      <c r="F123" s="197"/>
      <c r="G123" s="194"/>
      <c r="H123" s="194"/>
      <c r="I123" s="194"/>
      <c r="J123" s="35">
        <f t="shared" si="3"/>
        <v>0</v>
      </c>
      <c r="K123" s="195">
        <v>0.6</v>
      </c>
    </row>
    <row r="124" spans="1:11" x14ac:dyDescent="0.25">
      <c r="A124" s="197"/>
      <c r="B124" s="197"/>
      <c r="C124" s="204"/>
      <c r="D124" s="197"/>
      <c r="E124" s="197"/>
      <c r="F124" s="197"/>
      <c r="G124" s="194"/>
      <c r="H124" s="194"/>
      <c r="I124" s="194"/>
      <c r="J124" s="35">
        <f t="shared" si="3"/>
        <v>0</v>
      </c>
      <c r="K124" s="195">
        <v>0.6</v>
      </c>
    </row>
    <row r="125" spans="1:11" x14ac:dyDescent="0.25">
      <c r="A125" s="197"/>
      <c r="B125" s="197"/>
      <c r="C125" s="204"/>
      <c r="D125" s="197"/>
      <c r="E125" s="197"/>
      <c r="F125" s="197"/>
      <c r="G125" s="194"/>
      <c r="H125" s="194"/>
      <c r="I125" s="194"/>
      <c r="J125" s="35">
        <f t="shared" si="3"/>
        <v>0</v>
      </c>
      <c r="K125" s="195">
        <v>0.6</v>
      </c>
    </row>
    <row r="126" spans="1:11" x14ac:dyDescent="0.25">
      <c r="A126" s="197"/>
      <c r="B126" s="197"/>
      <c r="C126" s="204"/>
      <c r="D126" s="197"/>
      <c r="E126" s="197"/>
      <c r="F126" s="197"/>
      <c r="G126" s="194"/>
      <c r="H126" s="194"/>
      <c r="I126" s="194"/>
      <c r="J126" s="35">
        <f t="shared" si="3"/>
        <v>0</v>
      </c>
      <c r="K126" s="195">
        <v>0.6</v>
      </c>
    </row>
    <row r="127" spans="1:11" x14ac:dyDescent="0.25">
      <c r="A127" s="197"/>
      <c r="B127" s="197"/>
      <c r="C127" s="204"/>
      <c r="D127" s="197"/>
      <c r="E127" s="197"/>
      <c r="F127" s="197"/>
      <c r="G127" s="194"/>
      <c r="H127" s="194"/>
      <c r="I127" s="194"/>
      <c r="J127" s="35">
        <f t="shared" si="3"/>
        <v>0</v>
      </c>
      <c r="K127" s="195">
        <v>0.6</v>
      </c>
    </row>
    <row r="128" spans="1:11" x14ac:dyDescent="0.25">
      <c r="A128" s="197"/>
      <c r="B128" s="197"/>
      <c r="C128" s="204"/>
      <c r="D128" s="197"/>
      <c r="E128" s="197"/>
      <c r="F128" s="37"/>
      <c r="G128" s="194"/>
      <c r="H128" s="194"/>
      <c r="I128" s="194"/>
      <c r="J128" s="35">
        <f t="shared" si="3"/>
        <v>0</v>
      </c>
      <c r="K128" s="195">
        <v>0.6</v>
      </c>
    </row>
    <row r="129" spans="1:11" x14ac:dyDescent="0.25">
      <c r="A129" s="197"/>
      <c r="B129" s="205"/>
      <c r="C129" s="204"/>
      <c r="D129" s="197"/>
      <c r="E129" s="197"/>
      <c r="F129" s="37"/>
      <c r="G129" s="194"/>
      <c r="H129" s="194"/>
      <c r="I129" s="194"/>
      <c r="J129" s="35">
        <f t="shared" si="3"/>
        <v>0</v>
      </c>
      <c r="K129" s="195">
        <v>0.6</v>
      </c>
    </row>
    <row r="130" spans="1:11" x14ac:dyDescent="0.25">
      <c r="A130" s="37"/>
      <c r="B130" s="37"/>
      <c r="C130" s="193"/>
      <c r="D130" s="37"/>
      <c r="E130" s="37"/>
      <c r="F130" s="197" t="s">
        <v>57</v>
      </c>
      <c r="G130" s="192">
        <f>SUM(G40:G129)</f>
        <v>532220.14</v>
      </c>
      <c r="H130" s="192">
        <f>SUM(H40:H129)</f>
        <v>475815.2900000001</v>
      </c>
      <c r="I130" s="192">
        <f>SUM(I40:I129)</f>
        <v>47579.100000000013</v>
      </c>
      <c r="J130" s="192">
        <f>SUM(J40:J129)</f>
        <v>28547.46</v>
      </c>
      <c r="K130" s="190"/>
    </row>
    <row r="131" spans="1:11" x14ac:dyDescent="0.25">
      <c r="A131" s="37"/>
      <c r="B131" s="37"/>
      <c r="C131" s="193"/>
      <c r="D131" s="37"/>
      <c r="E131" s="37"/>
      <c r="F131" s="198" t="s">
        <v>14</v>
      </c>
      <c r="G131" s="199">
        <f>G42+G44+G46+G47+G48+G50+G54+G57+G58+G59+G60+G61+G62+G81+G82+G83+G85</f>
        <v>181734.98</v>
      </c>
      <c r="H131" s="35"/>
      <c r="I131" s="35"/>
      <c r="J131" s="35"/>
      <c r="K131" s="37"/>
    </row>
    <row r="132" spans="1:11" x14ac:dyDescent="0.2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</row>
    <row r="133" spans="1:11" x14ac:dyDescent="0.25">
      <c r="A133" s="37" t="s">
        <v>17</v>
      </c>
      <c r="B133" s="37"/>
      <c r="C133" s="193"/>
      <c r="D133" s="37"/>
      <c r="E133" s="37"/>
      <c r="F133" s="37"/>
      <c r="G133" s="35"/>
      <c r="H133" s="35"/>
      <c r="I133" s="35"/>
      <c r="J133" s="35"/>
      <c r="K133" s="37"/>
    </row>
    <row r="134" spans="1:11" x14ac:dyDescent="0.25">
      <c r="A134" s="37" t="s">
        <v>1319</v>
      </c>
      <c r="B134" s="37">
        <v>620192423</v>
      </c>
      <c r="C134" s="193">
        <v>46003</v>
      </c>
      <c r="D134" s="37" t="s">
        <v>12</v>
      </c>
      <c r="E134" s="37" t="s">
        <v>38</v>
      </c>
      <c r="F134" s="37" t="s">
        <v>822</v>
      </c>
      <c r="G134" s="206">
        <v>34921.24</v>
      </c>
      <c r="H134" s="206">
        <v>33140.74</v>
      </c>
      <c r="I134" s="206">
        <v>4971</v>
      </c>
      <c r="J134" s="35">
        <f t="shared" ref="J134:J142" si="4">I134*K134</f>
        <v>2982.6</v>
      </c>
      <c r="K134" s="195">
        <v>0.6</v>
      </c>
    </row>
    <row r="135" spans="1:11" x14ac:dyDescent="0.25">
      <c r="A135" s="37" t="s">
        <v>212</v>
      </c>
      <c r="B135" s="37">
        <v>620197856</v>
      </c>
      <c r="C135" s="193">
        <v>46015</v>
      </c>
      <c r="D135" s="37" t="s">
        <v>12</v>
      </c>
      <c r="E135" s="37" t="s">
        <v>41</v>
      </c>
      <c r="F135" s="37" t="s">
        <v>12</v>
      </c>
      <c r="G135" s="206">
        <v>4509.75</v>
      </c>
      <c r="H135" s="206">
        <v>4283.6899999999996</v>
      </c>
      <c r="I135" s="206">
        <v>642.45000000000005</v>
      </c>
      <c r="J135" s="35">
        <f t="shared" si="4"/>
        <v>385.47</v>
      </c>
      <c r="K135" s="195">
        <v>0.6</v>
      </c>
    </row>
    <row r="136" spans="1:11" x14ac:dyDescent="0.25">
      <c r="A136" s="37" t="s">
        <v>210</v>
      </c>
      <c r="B136" s="37">
        <v>626580897</v>
      </c>
      <c r="C136" s="193">
        <v>46020</v>
      </c>
      <c r="D136" s="37" t="s">
        <v>12</v>
      </c>
      <c r="E136" s="37" t="s">
        <v>41</v>
      </c>
      <c r="F136" s="37" t="s">
        <v>12</v>
      </c>
      <c r="G136" s="206">
        <v>5132.87</v>
      </c>
      <c r="H136" s="206">
        <v>4873.4399999999996</v>
      </c>
      <c r="I136" s="206">
        <v>730.95</v>
      </c>
      <c r="J136" s="35">
        <f t="shared" si="4"/>
        <v>438.57</v>
      </c>
      <c r="K136" s="195">
        <v>0.6</v>
      </c>
    </row>
    <row r="137" spans="1:11" x14ac:dyDescent="0.25">
      <c r="A137" s="37" t="s">
        <v>1320</v>
      </c>
      <c r="B137" s="37">
        <v>630703978</v>
      </c>
      <c r="C137" s="193">
        <v>46007</v>
      </c>
      <c r="D137" s="37" t="s">
        <v>12</v>
      </c>
      <c r="E137" s="37" t="s">
        <v>41</v>
      </c>
      <c r="F137" s="37" t="s">
        <v>12</v>
      </c>
      <c r="G137" s="206">
        <v>3679.48</v>
      </c>
      <c r="H137" s="206">
        <v>3495.27</v>
      </c>
      <c r="I137" s="206">
        <v>524.25</v>
      </c>
      <c r="J137" s="35">
        <f t="shared" si="4"/>
        <v>314.55</v>
      </c>
      <c r="K137" s="195">
        <v>0.6</v>
      </c>
    </row>
    <row r="138" spans="1:11" x14ac:dyDescent="0.25">
      <c r="A138" s="37" t="s">
        <v>106</v>
      </c>
      <c r="B138" s="37">
        <v>626580412</v>
      </c>
      <c r="C138" s="193">
        <v>46010</v>
      </c>
      <c r="D138" s="37" t="s">
        <v>12</v>
      </c>
      <c r="E138" s="37" t="s">
        <v>41</v>
      </c>
      <c r="F138" s="37" t="s">
        <v>12</v>
      </c>
      <c r="G138" s="206">
        <v>10806.31</v>
      </c>
      <c r="H138" s="206">
        <v>10250.700000000001</v>
      </c>
      <c r="I138" s="206">
        <v>1537.5</v>
      </c>
      <c r="J138" s="35">
        <f t="shared" si="4"/>
        <v>922.5</v>
      </c>
      <c r="K138" s="195">
        <v>0.6</v>
      </c>
    </row>
    <row r="139" spans="1:11" x14ac:dyDescent="0.25">
      <c r="A139" s="37" t="s">
        <v>214</v>
      </c>
      <c r="B139" s="37">
        <v>4857723</v>
      </c>
      <c r="C139" s="193">
        <v>46019</v>
      </c>
      <c r="D139" s="37" t="s">
        <v>12</v>
      </c>
      <c r="E139" s="37" t="s">
        <v>38</v>
      </c>
      <c r="F139" s="37" t="s">
        <v>360</v>
      </c>
      <c r="G139" s="206">
        <v>9054.9500000000007</v>
      </c>
      <c r="H139" s="206">
        <v>9054.9500000000007</v>
      </c>
      <c r="I139" s="206">
        <v>1358.1</v>
      </c>
      <c r="J139" s="35">
        <f t="shared" si="4"/>
        <v>814.8599999999999</v>
      </c>
      <c r="K139" s="195">
        <v>0.6</v>
      </c>
    </row>
    <row r="140" spans="1:11" x14ac:dyDescent="0.25">
      <c r="A140" s="37" t="s">
        <v>216</v>
      </c>
      <c r="B140" s="37">
        <v>4857739</v>
      </c>
      <c r="C140" s="193">
        <v>46019</v>
      </c>
      <c r="D140" s="37" t="s">
        <v>12</v>
      </c>
      <c r="E140" s="37" t="s">
        <v>38</v>
      </c>
      <c r="F140" s="37" t="s">
        <v>360</v>
      </c>
      <c r="G140" s="206">
        <v>8235.9500000000007</v>
      </c>
      <c r="H140" s="206">
        <v>8235.9500000000007</v>
      </c>
      <c r="I140" s="206">
        <v>1235.25</v>
      </c>
      <c r="J140" s="35">
        <f t="shared" si="4"/>
        <v>741.15</v>
      </c>
      <c r="K140" s="195">
        <v>0.6</v>
      </c>
    </row>
    <row r="141" spans="1:11" x14ac:dyDescent="0.25">
      <c r="A141" s="37" t="s">
        <v>1320</v>
      </c>
      <c r="B141" s="37">
        <v>630703924</v>
      </c>
      <c r="C141" s="193">
        <v>46007</v>
      </c>
      <c r="D141" s="37" t="s">
        <v>12</v>
      </c>
      <c r="E141" s="37" t="s">
        <v>38</v>
      </c>
      <c r="F141" s="37" t="s">
        <v>1321</v>
      </c>
      <c r="G141" s="206">
        <v>1673.4</v>
      </c>
      <c r="H141" s="206">
        <v>1673.4</v>
      </c>
      <c r="I141" s="206">
        <v>200.81</v>
      </c>
      <c r="J141" s="35">
        <f t="shared" si="4"/>
        <v>120.48599999999999</v>
      </c>
      <c r="K141" s="195">
        <v>0.6</v>
      </c>
    </row>
    <row r="142" spans="1:11" x14ac:dyDescent="0.25">
      <c r="A142" s="37" t="s">
        <v>211</v>
      </c>
      <c r="B142" s="37">
        <v>626576967</v>
      </c>
      <c r="C142" s="193">
        <v>46009</v>
      </c>
      <c r="D142" s="37" t="s">
        <v>12</v>
      </c>
      <c r="E142" s="37" t="s">
        <v>38</v>
      </c>
      <c r="F142" s="37" t="s">
        <v>57</v>
      </c>
      <c r="G142" s="206">
        <v>1609.1</v>
      </c>
      <c r="H142" s="206">
        <v>1609.1</v>
      </c>
      <c r="I142" s="206">
        <v>144.82</v>
      </c>
      <c r="J142" s="35">
        <f t="shared" si="4"/>
        <v>86.891999999999996</v>
      </c>
      <c r="K142" s="195">
        <v>0.6</v>
      </c>
    </row>
    <row r="143" spans="1:11" x14ac:dyDescent="0.25">
      <c r="A143" s="37"/>
      <c r="B143" s="37"/>
      <c r="C143" s="193"/>
      <c r="D143" s="37"/>
      <c r="E143" s="37"/>
      <c r="F143" s="37"/>
      <c r="G143" s="206"/>
      <c r="H143" s="206"/>
      <c r="I143" s="206"/>
      <c r="J143" s="35"/>
      <c r="K143" s="195"/>
    </row>
    <row r="144" spans="1:11" x14ac:dyDescent="0.25">
      <c r="A144" s="37"/>
      <c r="B144" s="37"/>
      <c r="C144" s="193"/>
      <c r="D144" s="37"/>
      <c r="E144" s="37"/>
      <c r="F144" s="37"/>
      <c r="G144" s="206"/>
      <c r="H144" s="206"/>
      <c r="I144" s="206"/>
      <c r="J144" s="206"/>
      <c r="K144" s="195"/>
    </row>
    <row r="145" spans="1:11" x14ac:dyDescent="0.25">
      <c r="A145" s="37"/>
      <c r="B145" s="37"/>
      <c r="C145" s="193"/>
      <c r="D145" s="37"/>
      <c r="E145" s="37"/>
      <c r="F145" s="37"/>
      <c r="G145" s="206"/>
      <c r="H145" s="206"/>
      <c r="I145" s="206"/>
      <c r="J145" s="206"/>
      <c r="K145" s="195"/>
    </row>
    <row r="146" spans="1:11" x14ac:dyDescent="0.25">
      <c r="A146" s="37"/>
      <c r="B146" s="37"/>
      <c r="C146" s="193"/>
      <c r="D146" s="37"/>
      <c r="E146" s="37"/>
      <c r="F146" s="197"/>
      <c r="G146" s="207"/>
      <c r="H146" s="207"/>
      <c r="I146" s="206"/>
      <c r="J146" s="206"/>
      <c r="K146" s="195"/>
    </row>
    <row r="147" spans="1:11" x14ac:dyDescent="0.25">
      <c r="A147" s="37"/>
      <c r="B147" s="37"/>
      <c r="C147" s="193"/>
      <c r="D147" s="37"/>
      <c r="E147" s="37"/>
      <c r="F147" s="190" t="s">
        <v>13</v>
      </c>
      <c r="G147" s="192">
        <f>SUM(G134:G146)</f>
        <v>79623.05</v>
      </c>
      <c r="H147" s="192">
        <f>SUM(H134:H146)</f>
        <v>76617.239999999991</v>
      </c>
      <c r="I147" s="192">
        <f>SUM(I134:I146)</f>
        <v>11345.13</v>
      </c>
      <c r="J147" s="192">
        <f>SUM(J134:J146)</f>
        <v>6807.0779999999986</v>
      </c>
      <c r="K147" s="190"/>
    </row>
    <row r="148" spans="1:11" x14ac:dyDescent="0.25">
      <c r="A148" s="37"/>
      <c r="B148" s="37"/>
      <c r="C148" s="193"/>
      <c r="D148" s="37"/>
      <c r="E148" s="37"/>
      <c r="F148" s="198" t="s">
        <v>14</v>
      </c>
      <c r="G148" s="199">
        <f>G135+G136+G137+G138</f>
        <v>24128.409999999996</v>
      </c>
      <c r="H148" s="35"/>
      <c r="I148" s="35"/>
      <c r="J148" s="35"/>
      <c r="K148" s="37"/>
    </row>
    <row r="149" spans="1:11" x14ac:dyDescent="0.25">
      <c r="A149" s="37"/>
      <c r="B149" s="37"/>
      <c r="C149" s="193"/>
      <c r="D149" s="198"/>
      <c r="E149" s="198" t="s">
        <v>18</v>
      </c>
      <c r="F149" s="198"/>
      <c r="G149" s="265">
        <f>G148/6</f>
        <v>4021.4016666666662</v>
      </c>
      <c r="H149" s="35"/>
      <c r="I149" s="35"/>
      <c r="J149" s="35"/>
      <c r="K149" s="37"/>
    </row>
    <row r="150" spans="1:11" x14ac:dyDescent="0.2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</row>
    <row r="151" spans="1:11" x14ac:dyDescent="0.2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</row>
    <row r="152" spans="1:11" x14ac:dyDescent="0.2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</row>
    <row r="153" spans="1:11" x14ac:dyDescent="0.25">
      <c r="A153" s="176" t="s">
        <v>19</v>
      </c>
      <c r="B153" s="208"/>
      <c r="C153" s="209">
        <f>G36</f>
        <v>366151.55</v>
      </c>
      <c r="D153" s="37"/>
      <c r="E153" s="177" t="s">
        <v>20</v>
      </c>
      <c r="F153" s="176"/>
      <c r="G153" s="209">
        <f>G132</f>
        <v>0</v>
      </c>
      <c r="H153" s="176"/>
      <c r="I153" s="176" t="s">
        <v>21</v>
      </c>
      <c r="J153" s="176"/>
      <c r="K153" s="40">
        <f>G148</f>
        <v>24128.409999999996</v>
      </c>
    </row>
    <row r="154" spans="1:11" x14ac:dyDescent="0.25">
      <c r="A154" s="208" t="s">
        <v>22</v>
      </c>
      <c r="B154" s="208"/>
      <c r="C154" s="209">
        <f>G37</f>
        <v>61025.258333333331</v>
      </c>
      <c r="D154" s="211"/>
      <c r="E154" s="212"/>
      <c r="F154" s="212"/>
      <c r="G154" s="208" t="s">
        <v>12</v>
      </c>
      <c r="H154" s="37"/>
      <c r="I154" s="208" t="s">
        <v>23</v>
      </c>
      <c r="J154" s="208"/>
      <c r="K154" s="209">
        <f>G149</f>
        <v>4021.4016666666662</v>
      </c>
    </row>
    <row r="155" spans="1:11" x14ac:dyDescent="0.25">
      <c r="A155" s="208" t="s">
        <v>24</v>
      </c>
      <c r="B155" s="208"/>
      <c r="C155" s="209">
        <f>J35</f>
        <v>48083.22</v>
      </c>
      <c r="D155" s="211"/>
      <c r="E155" s="212" t="s">
        <v>25</v>
      </c>
      <c r="F155" s="212"/>
      <c r="G155" s="209">
        <f>J130</f>
        <v>28547.46</v>
      </c>
      <c r="H155" s="37"/>
      <c r="I155" s="208" t="s">
        <v>26</v>
      </c>
      <c r="J155" s="208"/>
      <c r="K155" s="209">
        <f>J147</f>
        <v>6807.0779999999986</v>
      </c>
    </row>
    <row r="156" spans="1:11" x14ac:dyDescent="0.25">
      <c r="A156" s="208"/>
      <c r="B156" s="208"/>
      <c r="C156" s="209"/>
      <c r="D156" s="211"/>
      <c r="E156" s="212"/>
      <c r="F156" s="212"/>
      <c r="G156" s="209"/>
      <c r="H156" s="37"/>
      <c r="I156" s="208"/>
      <c r="J156" s="208"/>
      <c r="K156" s="208"/>
    </row>
    <row r="157" spans="1:11" x14ac:dyDescent="0.25">
      <c r="A157" s="208"/>
      <c r="B157" s="208"/>
      <c r="C157" s="208"/>
      <c r="D157" s="37"/>
      <c r="E157" s="208"/>
      <c r="F157" s="208"/>
      <c r="G157" s="208"/>
      <c r="H157" s="37"/>
      <c r="I157" s="208"/>
      <c r="J157" s="208"/>
      <c r="K157" s="208"/>
    </row>
    <row r="158" spans="1:11" x14ac:dyDescent="0.2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</row>
    <row r="159" spans="1:11" x14ac:dyDescent="0.25">
      <c r="A159" s="177" t="s">
        <v>27</v>
      </c>
      <c r="B159" s="176"/>
      <c r="C159" s="176"/>
      <c r="D159" s="37"/>
      <c r="E159" s="177" t="s">
        <v>28</v>
      </c>
      <c r="F159" s="176"/>
      <c r="G159" s="176"/>
      <c r="H159" s="37"/>
      <c r="I159" s="58" t="s">
        <v>104</v>
      </c>
      <c r="J159" s="58"/>
      <c r="K159" s="58"/>
    </row>
    <row r="160" spans="1:11" x14ac:dyDescent="0.25">
      <c r="A160" s="138"/>
      <c r="B160" s="138"/>
      <c r="C160" s="214"/>
      <c r="D160" s="37"/>
      <c r="E160" s="37"/>
      <c r="F160" s="37"/>
      <c r="G160" s="37"/>
      <c r="H160" s="35"/>
      <c r="I160" s="58"/>
      <c r="J160" s="58"/>
      <c r="K160" s="58"/>
    </row>
    <row r="161" spans="1:11" x14ac:dyDescent="0.25">
      <c r="A161" s="56" t="s">
        <v>29</v>
      </c>
      <c r="B161" s="56"/>
      <c r="C161" s="214">
        <f>J2</f>
        <v>540362.02</v>
      </c>
      <c r="D161" s="211"/>
      <c r="E161" s="212" t="s">
        <v>30</v>
      </c>
      <c r="F161" s="212"/>
      <c r="G161" s="212"/>
      <c r="H161" s="35"/>
      <c r="I161" s="58"/>
      <c r="J161" s="58"/>
      <c r="K161" s="141"/>
    </row>
    <row r="162" spans="1:11" x14ac:dyDescent="0.25">
      <c r="A162" s="56" t="s">
        <v>31</v>
      </c>
      <c r="B162" s="56"/>
      <c r="C162" s="139">
        <f>C155+G155+K155</f>
        <v>83437.757999999987</v>
      </c>
      <c r="D162" s="211"/>
      <c r="E162" s="212" t="s">
        <v>32</v>
      </c>
      <c r="F162" s="212"/>
      <c r="G162" s="215">
        <f>G38</f>
        <v>0</v>
      </c>
      <c r="H162" s="35"/>
      <c r="I162" s="58"/>
      <c r="J162" s="58"/>
      <c r="K162" s="141"/>
    </row>
    <row r="163" spans="1:11" x14ac:dyDescent="0.25">
      <c r="A163" s="138" t="s">
        <v>109</v>
      </c>
      <c r="B163" s="139"/>
      <c r="C163" s="139">
        <f>J173</f>
        <v>0</v>
      </c>
      <c r="D163" s="211"/>
      <c r="E163" s="212" t="s">
        <v>33</v>
      </c>
      <c r="F163" s="212"/>
      <c r="G163" s="215">
        <f>G131</f>
        <v>181734.98</v>
      </c>
      <c r="H163" s="35"/>
      <c r="I163" s="58"/>
      <c r="J163" s="58"/>
      <c r="K163" s="141"/>
    </row>
    <row r="164" spans="1:11" x14ac:dyDescent="0.25">
      <c r="A164" s="138" t="s">
        <v>472</v>
      </c>
      <c r="B164" s="138"/>
      <c r="C164" s="138"/>
      <c r="D164" s="211"/>
      <c r="E164" s="50" t="s">
        <v>225</v>
      </c>
      <c r="F164" s="51"/>
      <c r="G164" s="241">
        <v>6450.58</v>
      </c>
      <c r="H164" s="35"/>
      <c r="I164" s="58"/>
      <c r="J164" s="58"/>
      <c r="K164" s="141"/>
    </row>
    <row r="165" spans="1:11" x14ac:dyDescent="0.25">
      <c r="A165" s="138" t="s">
        <v>13</v>
      </c>
      <c r="B165" s="138"/>
      <c r="C165" s="139">
        <f>C161+C162+C163</f>
        <v>623799.77800000005</v>
      </c>
      <c r="D165" s="211"/>
      <c r="E165" s="50" t="s">
        <v>1380</v>
      </c>
      <c r="F165" s="56"/>
      <c r="G165" s="241">
        <v>16311.96</v>
      </c>
      <c r="H165" s="35"/>
      <c r="I165" s="58"/>
      <c r="J165" s="58"/>
      <c r="K165" s="141"/>
    </row>
    <row r="166" spans="1:11" x14ac:dyDescent="0.25">
      <c r="A166" s="37"/>
      <c r="B166" s="37"/>
      <c r="C166" s="37"/>
      <c r="D166" s="211"/>
      <c r="E166" s="50" t="s">
        <v>227</v>
      </c>
      <c r="F166" s="51"/>
      <c r="G166" s="241">
        <v>10437.73</v>
      </c>
      <c r="H166" s="35"/>
      <c r="I166" s="58"/>
      <c r="J166" s="58"/>
      <c r="K166" s="141"/>
    </row>
    <row r="167" spans="1:11" x14ac:dyDescent="0.25">
      <c r="A167" s="37"/>
      <c r="B167" s="37"/>
      <c r="C167" s="37"/>
      <c r="D167" s="211"/>
      <c r="E167" s="50" t="s">
        <v>1381</v>
      </c>
      <c r="F167" s="56"/>
      <c r="G167" s="241">
        <v>2715.13</v>
      </c>
      <c r="H167" s="35"/>
      <c r="I167" s="58"/>
      <c r="J167" s="58"/>
      <c r="K167" s="141"/>
    </row>
    <row r="168" spans="1:11" x14ac:dyDescent="0.25">
      <c r="A168" s="37"/>
      <c r="B168" s="37"/>
      <c r="C168" s="37"/>
      <c r="D168" s="211"/>
      <c r="E168" s="50" t="s">
        <v>231</v>
      </c>
      <c r="F168" s="51"/>
      <c r="G168" s="241">
        <v>10053.719999999999</v>
      </c>
      <c r="H168" s="35"/>
      <c r="I168" s="58"/>
      <c r="J168" s="58"/>
      <c r="K168" s="141"/>
    </row>
    <row r="169" spans="1:11" x14ac:dyDescent="0.25">
      <c r="A169" s="37"/>
      <c r="B169" s="37"/>
      <c r="C169" s="37"/>
      <c r="D169" s="211"/>
      <c r="E169" s="50" t="s">
        <v>1382</v>
      </c>
      <c r="F169" s="56"/>
      <c r="G169" s="241">
        <v>4051.34</v>
      </c>
      <c r="H169" s="35"/>
      <c r="I169" s="58"/>
      <c r="J169" s="58"/>
      <c r="K169" s="141"/>
    </row>
    <row r="170" spans="1:11" x14ac:dyDescent="0.25">
      <c r="A170" s="37"/>
      <c r="B170" s="37"/>
      <c r="C170" s="37"/>
      <c r="D170" s="211"/>
      <c r="E170" s="50" t="s">
        <v>234</v>
      </c>
      <c r="F170" s="51"/>
      <c r="G170" s="241" t="s">
        <v>12</v>
      </c>
      <c r="H170" s="35"/>
      <c r="I170" s="58"/>
      <c r="J170" s="58"/>
      <c r="K170" s="58"/>
    </row>
    <row r="171" spans="1:11" x14ac:dyDescent="0.25">
      <c r="A171" s="37"/>
      <c r="B171" s="37"/>
      <c r="C171" s="37"/>
      <c r="D171" s="211"/>
      <c r="E171" s="50" t="s">
        <v>1383</v>
      </c>
      <c r="F171" s="56"/>
      <c r="G171" s="241">
        <v>876.91</v>
      </c>
      <c r="H171" s="35"/>
      <c r="I171" s="58"/>
      <c r="J171" s="58"/>
      <c r="K171" s="58"/>
    </row>
    <row r="172" spans="1:11" x14ac:dyDescent="0.25">
      <c r="A172" s="37"/>
      <c r="B172" s="37"/>
      <c r="C172" s="37"/>
      <c r="D172" s="211"/>
      <c r="E172" s="50" t="s">
        <v>236</v>
      </c>
      <c r="F172" s="51"/>
      <c r="G172" s="241">
        <f>G97</f>
        <v>0</v>
      </c>
      <c r="H172" s="35"/>
      <c r="I172" s="58"/>
      <c r="J172" s="58"/>
      <c r="K172" s="58"/>
    </row>
    <row r="173" spans="1:11" x14ac:dyDescent="0.25">
      <c r="A173" s="37"/>
      <c r="B173" s="37"/>
      <c r="C173" s="37"/>
      <c r="D173" s="211"/>
      <c r="E173" s="50" t="s">
        <v>1384</v>
      </c>
      <c r="F173" s="56"/>
      <c r="G173" s="241">
        <v>116.44</v>
      </c>
      <c r="H173" s="35"/>
      <c r="I173" s="58" t="s">
        <v>13</v>
      </c>
      <c r="J173" s="58"/>
      <c r="K173" s="58"/>
    </row>
    <row r="174" spans="1:11" x14ac:dyDescent="0.25">
      <c r="A174" s="37"/>
      <c r="B174" s="37"/>
      <c r="C174" s="37"/>
      <c r="D174" s="211"/>
      <c r="E174" s="50" t="s">
        <v>453</v>
      </c>
      <c r="F174" s="51"/>
      <c r="G174" s="57">
        <f>G37</f>
        <v>61025.258333333331</v>
      </c>
      <c r="H174" s="35"/>
      <c r="I174" s="37"/>
      <c r="J174" s="37"/>
      <c r="K174" s="37"/>
    </row>
    <row r="175" spans="1:11" x14ac:dyDescent="0.25">
      <c r="A175" s="37"/>
      <c r="B175" s="37"/>
      <c r="C175" s="37"/>
      <c r="D175" s="211"/>
      <c r="E175" s="50" t="s">
        <v>1385</v>
      </c>
      <c r="F175" s="56"/>
      <c r="G175" s="57">
        <f>G149</f>
        <v>4021.4016666666662</v>
      </c>
      <c r="H175" s="35"/>
      <c r="I175" s="37"/>
      <c r="J175" s="37"/>
      <c r="K175" s="37"/>
    </row>
    <row r="176" spans="1:11" x14ac:dyDescent="0.25">
      <c r="A176" s="37"/>
      <c r="B176" s="37"/>
      <c r="C176" s="37"/>
      <c r="D176" s="211"/>
      <c r="E176" s="57"/>
      <c r="F176" s="57"/>
      <c r="G176" s="57"/>
      <c r="H176" s="35"/>
      <c r="I176" s="37"/>
      <c r="J176" s="37"/>
      <c r="K176" s="37"/>
    </row>
    <row r="177" spans="1:11" x14ac:dyDescent="0.25">
      <c r="A177" s="37"/>
      <c r="B177" s="37"/>
      <c r="C177" s="37"/>
      <c r="D177" s="211"/>
      <c r="E177" s="56" t="s">
        <v>13</v>
      </c>
      <c r="F177" s="56"/>
      <c r="G177" s="57">
        <f>SUM(G163:G175)</f>
        <v>297795.45</v>
      </c>
      <c r="H177" s="35"/>
      <c r="I177" s="37"/>
      <c r="J177" s="37"/>
      <c r="K177" s="37"/>
    </row>
    <row r="178" spans="1:11" x14ac:dyDescent="0.2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</row>
    <row r="179" spans="1:11" x14ac:dyDescent="0.2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</row>
    <row r="180" spans="1:11" x14ac:dyDescent="0.2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</row>
    <row r="181" spans="1:11" x14ac:dyDescent="0.2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</row>
    <row r="182" spans="1:11" x14ac:dyDescent="0.2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</row>
    <row r="183" spans="1:11" x14ac:dyDescent="0.2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</row>
    <row r="184" spans="1:11" x14ac:dyDescent="0.25">
      <c r="A184" s="37"/>
      <c r="B184" s="37"/>
      <c r="C184" s="266"/>
      <c r="D184" s="266" t="s">
        <v>239</v>
      </c>
      <c r="E184" s="40"/>
      <c r="F184" s="40">
        <f>C165-G177</f>
        <v>326004.32800000004</v>
      </c>
      <c r="G184" s="37"/>
      <c r="H184" s="37"/>
      <c r="I184" s="37"/>
      <c r="J184" s="37"/>
      <c r="K184" s="37"/>
    </row>
    <row r="185" spans="1:11" x14ac:dyDescent="0.25">
      <c r="A185" s="37"/>
      <c r="B185" s="37"/>
      <c r="C185" s="72"/>
      <c r="D185" s="72" t="s">
        <v>1386</v>
      </c>
      <c r="E185" s="72"/>
      <c r="F185" s="235">
        <v>100000</v>
      </c>
      <c r="G185" s="37"/>
      <c r="H185" s="37"/>
      <c r="I185" s="37"/>
      <c r="J185" s="37"/>
      <c r="K185" s="37"/>
    </row>
    <row r="186" spans="1:11" x14ac:dyDescent="0.25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</row>
    <row r="187" spans="1:11" x14ac:dyDescent="0.25">
      <c r="A187" s="72"/>
      <c r="B187" s="72"/>
      <c r="C187" s="72"/>
      <c r="D187" s="72" t="s">
        <v>35</v>
      </c>
      <c r="E187" s="72"/>
      <c r="F187" s="114">
        <f>F184-F185</f>
        <v>226004.32800000004</v>
      </c>
      <c r="G187" s="72"/>
      <c r="H187" s="72"/>
      <c r="I187" s="72"/>
      <c r="J187" s="72"/>
      <c r="K187" s="72"/>
    </row>
    <row r="188" spans="1:11" x14ac:dyDescent="0.25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</row>
    <row r="189" spans="1:11" x14ac:dyDescent="0.25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</row>
  </sheetData>
  <conditionalFormatting sqref="E1">
    <cfRule type="cellIs" dxfId="7" priority="7" operator="equal">
      <formula>"K.KART"</formula>
    </cfRule>
    <cfRule type="cellIs" dxfId="6" priority="8" operator="equal">
      <formula>"AÇIK"</formula>
    </cfRule>
  </conditionalFormatting>
  <conditionalFormatting sqref="E3:E131">
    <cfRule type="cellIs" dxfId="5" priority="1" operator="equal">
      <formula>"K.KART"</formula>
    </cfRule>
    <cfRule type="cellIs" dxfId="4" priority="2" operator="equal">
      <formula>"AÇIK"</formula>
    </cfRule>
  </conditionalFormatting>
  <conditionalFormatting sqref="E133:E149">
    <cfRule type="cellIs" dxfId="3" priority="5" operator="equal">
      <formula>"K.KART"</formula>
    </cfRule>
    <cfRule type="cellIs" dxfId="2" priority="6" operator="equal">
      <formula>"AÇIK"</formula>
    </cfRule>
  </conditionalFormatting>
  <conditionalFormatting sqref="F5">
    <cfRule type="cellIs" dxfId="1" priority="3" operator="equal">
      <formula>"K.KART"</formula>
    </cfRule>
    <cfRule type="cellIs" dxfId="0" priority="4" operator="equal">
      <formula>"AÇIK"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13</vt:i4>
      </vt:variant>
      <vt:variant>
        <vt:lpstr>Adlandırılmış Aralıklar</vt:lpstr>
      </vt:variant>
      <vt:variant>
        <vt:i4>4</vt:i4>
      </vt:variant>
    </vt:vector>
  </HeadingPairs>
  <TitlesOfParts>
    <vt:vector size="17" baseType="lpstr">
      <vt:lpstr>ARALIK</vt:lpstr>
      <vt:lpstr>OCAK</vt:lpstr>
      <vt:lpstr>ŞUBAT</vt:lpstr>
      <vt:lpstr>MART</vt:lpstr>
      <vt:lpstr>NİSAN</vt:lpstr>
      <vt:lpstr>MAYIS</vt:lpstr>
      <vt:lpstr>HAZİRAN</vt:lpstr>
      <vt:lpstr>TEMMUZ</vt:lpstr>
      <vt:lpstr>AĞUSTOS</vt:lpstr>
      <vt:lpstr>EYLÜL</vt:lpstr>
      <vt:lpstr>EKİM</vt:lpstr>
      <vt:lpstr>KASIM</vt:lpstr>
      <vt:lpstr>ARALİK</vt:lpstr>
      <vt:lpstr>ARALIK!Yazdırma_Alanı</vt:lpstr>
      <vt:lpstr>MART!Yazdırma_Alanı</vt:lpstr>
      <vt:lpstr>OCAK!Yazdırma_Alanı</vt:lpstr>
      <vt:lpstr>ŞUBAT!Yazdırma_Alanı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nihat dislioglu</cp:lastModifiedBy>
  <cp:lastPrinted>2025-04-30T07:25:04Z</cp:lastPrinted>
  <dcterms:created xsi:type="dcterms:W3CDTF">2015-06-05T18:19:34Z</dcterms:created>
  <dcterms:modified xsi:type="dcterms:W3CDTF">2026-01-03T08:46:55Z</dcterms:modified>
</cp:coreProperties>
</file>
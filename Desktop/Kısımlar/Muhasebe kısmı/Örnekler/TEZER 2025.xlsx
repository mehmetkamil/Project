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ORTAK\2025 YILI HESAPLAR\TEZER SİGORTA 2025\"/>
    </mc:Choice>
  </mc:AlternateContent>
  <xr:revisionPtr revIDLastSave="0" documentId="13_ncr:1_{5D5B7FC6-135A-4A54-9CCC-C298C874FA6C}" xr6:coauthVersionLast="47" xr6:coauthVersionMax="47" xr10:uidLastSave="{00000000-0000-0000-0000-000000000000}"/>
  <bookViews>
    <workbookView xWindow="-120" yWindow="-120" windowWidth="24240" windowHeight="13020" firstSheet="2" activeTab="11" xr2:uid="{00000000-000D-0000-FFFF-FFFF00000000}"/>
  </bookViews>
  <sheets>
    <sheet name="OCAK" sheetId="1" r:id="rId1"/>
    <sheet name="ŞUBAT" sheetId="2" r:id="rId2"/>
    <sheet name="MART" sheetId="3" r:id="rId3"/>
    <sheet name="NİSAN" sheetId="4" r:id="rId4"/>
    <sheet name="MAYIS" sheetId="5" r:id="rId5"/>
    <sheet name="HAZİRAN" sheetId="6" r:id="rId6"/>
    <sheet name="TEMMUZ" sheetId="7" r:id="rId7"/>
    <sheet name="AĞUSTOS" sheetId="8" r:id="rId8"/>
    <sheet name="EYLÜL" sheetId="9" r:id="rId9"/>
    <sheet name="EKİM" sheetId="10" r:id="rId10"/>
    <sheet name="KASIM" sheetId="11" r:id="rId11"/>
    <sheet name="ARALİK" sheetId="12" r:id="rId12"/>
  </sheets>
  <definedNames>
    <definedName name="_xlnm.Print_Area" localSheetId="4">MAYIS!$A$1:$V$45</definedName>
    <definedName name="_xlnm.Print_Area" localSheetId="0">OCAK!$A$1:$T$43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2" l="1"/>
  <c r="W6" i="12"/>
  <c r="P30" i="12"/>
  <c r="P29" i="12"/>
  <c r="P28" i="12"/>
  <c r="C28" i="12"/>
  <c r="I22" i="12"/>
  <c r="H22" i="12"/>
  <c r="G22" i="12"/>
  <c r="F22" i="12"/>
  <c r="J21" i="12"/>
  <c r="J20" i="12"/>
  <c r="J19" i="12"/>
  <c r="J18" i="12"/>
  <c r="J17" i="12"/>
  <c r="J16" i="12"/>
  <c r="J15" i="12"/>
  <c r="V14" i="12"/>
  <c r="U14" i="12"/>
  <c r="T14" i="12"/>
  <c r="S14" i="12"/>
  <c r="J14" i="12"/>
  <c r="W13" i="12"/>
  <c r="J13" i="12"/>
  <c r="W12" i="12"/>
  <c r="J12" i="12"/>
  <c r="W11" i="12"/>
  <c r="J11" i="12"/>
  <c r="W10" i="12"/>
  <c r="J10" i="12"/>
  <c r="W9" i="12"/>
  <c r="J9" i="12"/>
  <c r="W8" i="12"/>
  <c r="J8" i="12"/>
  <c r="W7" i="12"/>
  <c r="W14" i="12" s="1"/>
  <c r="J7" i="12"/>
  <c r="P30" i="11"/>
  <c r="P29" i="11"/>
  <c r="P28" i="11"/>
  <c r="P36" i="11" s="1"/>
  <c r="C28" i="11"/>
  <c r="I22" i="11"/>
  <c r="H22" i="11"/>
  <c r="G22" i="11"/>
  <c r="F22" i="11"/>
  <c r="J21" i="11"/>
  <c r="J20" i="11"/>
  <c r="J19" i="11"/>
  <c r="J18" i="11"/>
  <c r="J17" i="11"/>
  <c r="J16" i="11"/>
  <c r="J15" i="11"/>
  <c r="V14" i="11"/>
  <c r="U14" i="11"/>
  <c r="T14" i="11"/>
  <c r="S14" i="11"/>
  <c r="J14" i="11"/>
  <c r="W13" i="11"/>
  <c r="J13" i="11"/>
  <c r="W12" i="11"/>
  <c r="J12" i="11"/>
  <c r="W11" i="11"/>
  <c r="J11" i="11"/>
  <c r="W10" i="11"/>
  <c r="J10" i="11"/>
  <c r="W9" i="11"/>
  <c r="J9" i="11"/>
  <c r="W8" i="11"/>
  <c r="J8" i="11"/>
  <c r="W7" i="11"/>
  <c r="J7" i="11"/>
  <c r="W6" i="11"/>
  <c r="W14" i="11" s="1"/>
  <c r="J6" i="11"/>
  <c r="J22" i="11" s="1"/>
  <c r="C29" i="11" s="1"/>
  <c r="J6" i="10"/>
  <c r="P36" i="10"/>
  <c r="V14" i="10"/>
  <c r="S14" i="10"/>
  <c r="T14" i="10"/>
  <c r="J20" i="10"/>
  <c r="P29" i="10"/>
  <c r="P30" i="10"/>
  <c r="H22" i="10"/>
  <c r="P31" i="9"/>
  <c r="W16" i="7"/>
  <c r="I23" i="7"/>
  <c r="J23" i="7"/>
  <c r="N43" i="6"/>
  <c r="W17" i="6"/>
  <c r="V17" i="6"/>
  <c r="J24" i="6"/>
  <c r="H24" i="6"/>
  <c r="I24" i="6"/>
  <c r="C33" i="5"/>
  <c r="O40" i="5"/>
  <c r="V19" i="5"/>
  <c r="U19" i="5"/>
  <c r="G26" i="5"/>
  <c r="H26" i="5"/>
  <c r="I26" i="5"/>
  <c r="J26" i="5"/>
  <c r="G22" i="10"/>
  <c r="P28" i="10"/>
  <c r="C28" i="10"/>
  <c r="I22" i="10"/>
  <c r="F22" i="10"/>
  <c r="J21" i="10"/>
  <c r="J19" i="10"/>
  <c r="J18" i="10"/>
  <c r="J17" i="10"/>
  <c r="J16" i="10"/>
  <c r="J15" i="10"/>
  <c r="U14" i="10"/>
  <c r="J14" i="10"/>
  <c r="W13" i="10"/>
  <c r="J13" i="10"/>
  <c r="W12" i="10"/>
  <c r="J12" i="10"/>
  <c r="W11" i="10"/>
  <c r="J11" i="10"/>
  <c r="W10" i="10"/>
  <c r="J10" i="10"/>
  <c r="W9" i="10"/>
  <c r="J9" i="10"/>
  <c r="W8" i="10"/>
  <c r="J8" i="10"/>
  <c r="W7" i="10"/>
  <c r="J7" i="10"/>
  <c r="W6" i="10"/>
  <c r="P29" i="9"/>
  <c r="C29" i="9"/>
  <c r="I23" i="9"/>
  <c r="H23" i="9"/>
  <c r="G23" i="9"/>
  <c r="F23" i="9"/>
  <c r="J22" i="9"/>
  <c r="J21" i="9"/>
  <c r="J20" i="9"/>
  <c r="J19" i="9"/>
  <c r="J18" i="9"/>
  <c r="J17" i="9"/>
  <c r="V16" i="9"/>
  <c r="U16" i="9"/>
  <c r="T16" i="9"/>
  <c r="S16" i="9"/>
  <c r="J16" i="9"/>
  <c r="W15" i="9"/>
  <c r="J15" i="9"/>
  <c r="W14" i="9"/>
  <c r="J14" i="9"/>
  <c r="W13" i="9"/>
  <c r="J13" i="9"/>
  <c r="W12" i="9"/>
  <c r="J12" i="9"/>
  <c r="W11" i="9"/>
  <c r="J11" i="9"/>
  <c r="W10" i="9"/>
  <c r="J10" i="9"/>
  <c r="W9" i="9"/>
  <c r="J9" i="9"/>
  <c r="W8" i="9"/>
  <c r="J8" i="9"/>
  <c r="W7" i="9"/>
  <c r="J7" i="9"/>
  <c r="W6" i="9"/>
  <c r="W16" i="9" s="1"/>
  <c r="P30" i="9" s="1"/>
  <c r="J6" i="9"/>
  <c r="P31" i="8"/>
  <c r="P29" i="8"/>
  <c r="C29" i="8"/>
  <c r="I23" i="8"/>
  <c r="H23" i="8"/>
  <c r="G23" i="8"/>
  <c r="F23" i="8"/>
  <c r="J22" i="8"/>
  <c r="J21" i="8"/>
  <c r="J20" i="8"/>
  <c r="J19" i="8"/>
  <c r="J18" i="8"/>
  <c r="J17" i="8"/>
  <c r="V16" i="8"/>
  <c r="U16" i="8"/>
  <c r="T16" i="8"/>
  <c r="S16" i="8"/>
  <c r="J16" i="8"/>
  <c r="W15" i="8"/>
  <c r="J15" i="8"/>
  <c r="W14" i="8"/>
  <c r="J14" i="8"/>
  <c r="W13" i="8"/>
  <c r="J13" i="8"/>
  <c r="W12" i="8"/>
  <c r="J12" i="8"/>
  <c r="W11" i="8"/>
  <c r="J11" i="8"/>
  <c r="W10" i="8"/>
  <c r="J10" i="8"/>
  <c r="W9" i="8"/>
  <c r="J9" i="8"/>
  <c r="W8" i="8"/>
  <c r="J8" i="8"/>
  <c r="W7" i="8"/>
  <c r="J7" i="8"/>
  <c r="W6" i="8"/>
  <c r="W16" i="8" s="1"/>
  <c r="P30" i="8" s="1"/>
  <c r="P37" i="8" s="1"/>
  <c r="J6" i="8"/>
  <c r="P31" i="7"/>
  <c r="W15" i="7"/>
  <c r="W14" i="7"/>
  <c r="W13" i="7"/>
  <c r="W12" i="7"/>
  <c r="W11" i="7"/>
  <c r="W10" i="7"/>
  <c r="W9" i="7"/>
  <c r="W8" i="7"/>
  <c r="W7" i="7"/>
  <c r="V16" i="7"/>
  <c r="T16" i="7"/>
  <c r="S16" i="7"/>
  <c r="H23" i="7"/>
  <c r="J6" i="7"/>
  <c r="J7" i="7"/>
  <c r="P29" i="7"/>
  <c r="C29" i="7"/>
  <c r="G23" i="7"/>
  <c r="F23" i="7"/>
  <c r="J22" i="7"/>
  <c r="J21" i="7"/>
  <c r="J20" i="7"/>
  <c r="J19" i="7"/>
  <c r="J18" i="7"/>
  <c r="J17" i="7"/>
  <c r="U16" i="7"/>
  <c r="J16" i="7"/>
  <c r="J15" i="7"/>
  <c r="J14" i="7"/>
  <c r="J13" i="7"/>
  <c r="J12" i="7"/>
  <c r="J11" i="7"/>
  <c r="J10" i="7"/>
  <c r="J9" i="7"/>
  <c r="J8" i="7"/>
  <c r="W6" i="7"/>
  <c r="P38" i="6"/>
  <c r="P32" i="6"/>
  <c r="H41" i="4"/>
  <c r="P31" i="6"/>
  <c r="P30" i="6"/>
  <c r="F24" i="6"/>
  <c r="G24" i="6"/>
  <c r="S17" i="6"/>
  <c r="T17" i="6"/>
  <c r="O34" i="5"/>
  <c r="R19" i="5"/>
  <c r="S19" i="5"/>
  <c r="W7" i="6"/>
  <c r="W6" i="6"/>
  <c r="W16" i="6"/>
  <c r="W15" i="6"/>
  <c r="W12" i="6"/>
  <c r="W11" i="6"/>
  <c r="W10" i="6"/>
  <c r="W9" i="6"/>
  <c r="W8" i="6"/>
  <c r="J6" i="6"/>
  <c r="J22" i="12" l="1"/>
  <c r="C29" i="12" s="1"/>
  <c r="P36" i="12"/>
  <c r="C36" i="12"/>
  <c r="C36" i="11"/>
  <c r="N42" i="11" s="1"/>
  <c r="J22" i="10"/>
  <c r="J23" i="9"/>
  <c r="C30" i="9" s="1"/>
  <c r="C30" i="7"/>
  <c r="C29" i="10"/>
  <c r="C36" i="10" s="1"/>
  <c r="W14" i="10"/>
  <c r="C37" i="9"/>
  <c r="I40" i="9" s="1"/>
  <c r="I43" i="9" s="1"/>
  <c r="P37" i="9"/>
  <c r="J23" i="8"/>
  <c r="C30" i="8" s="1"/>
  <c r="C37" i="8"/>
  <c r="I40" i="8" s="1"/>
  <c r="P30" i="7"/>
  <c r="P37" i="7" s="1"/>
  <c r="C37" i="7"/>
  <c r="I40" i="7" s="1"/>
  <c r="J7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C30" i="6"/>
  <c r="U17" i="6"/>
  <c r="O32" i="5"/>
  <c r="C32" i="5"/>
  <c r="C40" i="5"/>
  <c r="I43" i="5" s="1"/>
  <c r="F26" i="5"/>
  <c r="O33" i="5"/>
  <c r="T19" i="5"/>
  <c r="N42" i="12" l="1"/>
  <c r="N42" i="10"/>
  <c r="C31" i="6"/>
  <c r="C38" i="6" s="1"/>
  <c r="N32" i="4" l="1"/>
  <c r="N31" i="4"/>
  <c r="N30" i="4"/>
  <c r="N38" i="4" s="1"/>
  <c r="C30" i="4"/>
  <c r="C38" i="4" s="1"/>
  <c r="I24" i="4"/>
  <c r="C31" i="4" s="1"/>
  <c r="H24" i="4"/>
  <c r="G24" i="4"/>
  <c r="F24" i="4"/>
  <c r="G7" i="4"/>
  <c r="N30" i="3" l="1"/>
  <c r="N28" i="3"/>
  <c r="N36" i="3" s="1"/>
  <c r="C28" i="3"/>
  <c r="H22" i="3"/>
  <c r="G22" i="3"/>
  <c r="F22" i="3"/>
  <c r="I21" i="3"/>
  <c r="I20" i="3"/>
  <c r="I19" i="3"/>
  <c r="I18" i="3"/>
  <c r="I17" i="3"/>
  <c r="I16" i="3"/>
  <c r="T15" i="3"/>
  <c r="N29" i="3" s="1"/>
  <c r="I15" i="3"/>
  <c r="T14" i="3"/>
  <c r="I14" i="3"/>
  <c r="T13" i="3"/>
  <c r="T12" i="3"/>
  <c r="I12" i="3"/>
  <c r="T11" i="3"/>
  <c r="I11" i="3"/>
  <c r="T10" i="3"/>
  <c r="I10" i="3"/>
  <c r="T9" i="3"/>
  <c r="I9" i="3"/>
  <c r="I22" i="3" s="1"/>
  <c r="C29" i="3" s="1"/>
  <c r="C36" i="3" s="1"/>
  <c r="T8" i="3"/>
  <c r="G8" i="3"/>
  <c r="T7" i="3"/>
  <c r="T6" i="3"/>
  <c r="G44" i="3" l="1"/>
  <c r="N30" i="2" l="1"/>
  <c r="C30" i="2"/>
  <c r="H24" i="2"/>
  <c r="F24" i="2"/>
  <c r="I23" i="2"/>
  <c r="I22" i="2"/>
  <c r="I21" i="2"/>
  <c r="I20" i="2"/>
  <c r="I19" i="2"/>
  <c r="I18" i="2"/>
  <c r="T17" i="2"/>
  <c r="N31" i="2" s="1"/>
  <c r="I17" i="2"/>
  <c r="I16" i="2"/>
  <c r="I15" i="2"/>
  <c r="I14" i="2"/>
  <c r="I13" i="2"/>
  <c r="I12" i="2"/>
  <c r="I11" i="2"/>
  <c r="I24" i="2" s="1"/>
  <c r="C31" i="2" s="1"/>
  <c r="G10" i="2"/>
  <c r="G24" i="2" s="1"/>
  <c r="H42" i="1"/>
  <c r="N33" i="1"/>
  <c r="C33" i="1"/>
  <c r="C38" i="2" l="1"/>
  <c r="N32" i="2"/>
  <c r="N38" i="2" s="1"/>
  <c r="N46" i="2" s="1"/>
  <c r="G19" i="1"/>
  <c r="N27" i="1"/>
  <c r="I19" i="1"/>
  <c r="F19" i="1"/>
  <c r="H19" i="1"/>
  <c r="G12" i="1" l="1"/>
  <c r="I18" i="1"/>
  <c r="I17" i="1"/>
  <c r="I16" i="1"/>
  <c r="I15" i="1"/>
  <c r="I14" i="1"/>
  <c r="I13" i="1"/>
  <c r="I12" i="1"/>
  <c r="I11" i="1"/>
  <c r="I10" i="1"/>
  <c r="N25" i="1"/>
  <c r="C25" i="1"/>
  <c r="N26" i="1"/>
  <c r="C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ronaldinho424</author>
  </authors>
  <commentList>
    <comment ref="E8" authorId="0" shapeId="0" xr:uid="{9F97D382-827D-4F8F-A2BC-E05423652BB0}">
      <text>
        <r>
          <rPr>
            <b/>
            <sz val="11"/>
            <color indexed="81"/>
            <rFont val="Tahoma"/>
            <charset val="1"/>
          </rPr>
          <t xml:space="preserve">TALİMATLI 8 TK
</t>
        </r>
        <r>
          <rPr>
            <sz val="11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ronaldinho424</author>
  </authors>
  <commentList>
    <comment ref="R6" authorId="0" shapeId="0" xr:uid="{8CB28E14-9229-4DAE-9798-DC5D29962422}">
      <text>
        <r>
          <rPr>
            <b/>
            <sz val="11"/>
            <color indexed="81"/>
            <rFont val="Tahoma"/>
            <charset val="1"/>
          </rPr>
          <t xml:space="preserve">TALİMATLI 6 TK BLOKESİZ
</t>
        </r>
        <r>
          <rPr>
            <sz val="11"/>
            <color indexed="81"/>
            <rFont val="Tahoma"/>
            <charset val="1"/>
          </rPr>
          <t xml:space="preserve">
</t>
        </r>
      </text>
    </comment>
    <comment ref="R9" authorId="0" shapeId="0" xr:uid="{B4130102-908B-4FD2-BF0C-0596C1B3F8C2}">
      <text>
        <r>
          <rPr>
            <b/>
            <sz val="11"/>
            <color indexed="81"/>
            <rFont val="Tahoma"/>
            <charset val="1"/>
          </rPr>
          <t xml:space="preserve">TALİMATLI 6 TK BLOKESİZ
</t>
        </r>
        <r>
          <rPr>
            <sz val="11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<sst xmlns="http://schemas.openxmlformats.org/spreadsheetml/2006/main" count="852" uniqueCount="146">
  <si>
    <t>AXA'DAN YAPILAN TEZER SİGORTA POLİÇELERİ</t>
  </si>
  <si>
    <t>TEZER SİGORTA DAN YAPILAN POLİÇELER</t>
  </si>
  <si>
    <t>SİGORTALI</t>
  </si>
  <si>
    <t>TARİH</t>
  </si>
  <si>
    <t>POLİÇE NO</t>
  </si>
  <si>
    <t>TÜRÜ</t>
  </si>
  <si>
    <t>ÖDEME ŞEKLİ</t>
  </si>
  <si>
    <t>TUTAR</t>
  </si>
  <si>
    <t>TAKSİT TUTARI</t>
  </si>
  <si>
    <t xml:space="preserve"> KOMİSYON</t>
  </si>
  <si>
    <t>ÖDENEN KOMİSYON</t>
  </si>
  <si>
    <t>ŞİRKET</t>
  </si>
  <si>
    <t>ALINAN KOMİSYON</t>
  </si>
  <si>
    <t>DEVREDEN BAKİYE</t>
  </si>
  <si>
    <t>TİMON TOPLU TÜKETİM</t>
  </si>
  <si>
    <t>KASKO</t>
  </si>
  <si>
    <t>-</t>
  </si>
  <si>
    <t>K.KART</t>
  </si>
  <si>
    <t>EBRU KURT</t>
  </si>
  <si>
    <t>MAZHAR ÖZDEŞ</t>
  </si>
  <si>
    <t>İŞYERİ</t>
  </si>
  <si>
    <t>6//2</t>
  </si>
  <si>
    <t>GÖKHAN ÇALIŞKAN</t>
  </si>
  <si>
    <t>TOPLAM</t>
  </si>
  <si>
    <t>ÖNCEKİ AYDAN DEVREDEN BAKİYE</t>
  </si>
  <si>
    <t>ÖDENEN TOPLAM KOMİSYON</t>
  </si>
  <si>
    <t>ALINAN TOPLAM KOMİSYON</t>
  </si>
  <si>
    <t>ÖDENECEK İPT.İADELER</t>
  </si>
  <si>
    <t xml:space="preserve">ALINAN TAKSİTLER TOPLAMI </t>
  </si>
  <si>
    <t xml:space="preserve">TOPLAM </t>
  </si>
  <si>
    <t>BAKİYE</t>
  </si>
  <si>
    <t>OCAK</t>
  </si>
  <si>
    <t>6//5</t>
  </si>
  <si>
    <t>6//3</t>
  </si>
  <si>
    <t>ZERSAN LÜKS HIRDAVAT</t>
  </si>
  <si>
    <t>TRAFİK</t>
  </si>
  <si>
    <t>NAZLI AKYÜZ</t>
  </si>
  <si>
    <t>6//1</t>
  </si>
  <si>
    <t>KIYMET ÖDEL</t>
  </si>
  <si>
    <t>SAĞLIK</t>
  </si>
  <si>
    <t>SÜLEYMAN ÖCALAN</t>
  </si>
  <si>
    <t>RC MOON TEKS. İŞYERİ İPT.İADE</t>
  </si>
  <si>
    <t>RC MOON TEKS.İŞY.İADE KOM.</t>
  </si>
  <si>
    <t>AYFER BUDAK 35NNE80 İADE KOM.</t>
  </si>
  <si>
    <t>TEZER ALACAK</t>
  </si>
  <si>
    <t>ŞUBAT</t>
  </si>
  <si>
    <t>6//6</t>
  </si>
  <si>
    <t>HAŞİM GÜLER</t>
  </si>
  <si>
    <t>ANADOLU</t>
  </si>
  <si>
    <t>6//4</t>
  </si>
  <si>
    <t>TUĞBA ÖDEL AKKAYA</t>
  </si>
  <si>
    <t>TİMON GLOBAL DIŞ TİC.</t>
  </si>
  <si>
    <t>LİREN XUE 34MK4464 KSK İPT.KOM.İADE</t>
  </si>
  <si>
    <t>AHTAPOT 34UB3281 KSK.İPT.İADE.KOM</t>
  </si>
  <si>
    <t>MART</t>
  </si>
  <si>
    <t>FİSUN TUNALIOĞLU</t>
  </si>
  <si>
    <t>MURAT BAL</t>
  </si>
  <si>
    <t>TİMON GLOBAL A.Ş</t>
  </si>
  <si>
    <t>AŞKIN CENGİZ</t>
  </si>
  <si>
    <t>TİMON 34CJH665 KSK İPT.İADE</t>
  </si>
  <si>
    <t>TİMON 34CJH665 KSK İPT.İADE KOM.</t>
  </si>
  <si>
    <t>NİSAN</t>
  </si>
  <si>
    <t>ERSİN AKKAYA</t>
  </si>
  <si>
    <t>FATİH ÖVÜNÇ</t>
  </si>
  <si>
    <t>MEHMET SANCAK</t>
  </si>
  <si>
    <t>CELAL DEMİRCİ KSK İPT. KOM.İADE</t>
  </si>
  <si>
    <t>CELAL DEMİRCİ TRF İPT. KOM.İADE</t>
  </si>
  <si>
    <t>MAYIS</t>
  </si>
  <si>
    <t>BRÜT</t>
  </si>
  <si>
    <t>NET</t>
  </si>
  <si>
    <t>TUĞRUL YEŞİLOĞLU</t>
  </si>
  <si>
    <t>MELİH YAĞCI</t>
  </si>
  <si>
    <t>KÖFTECİ SEBAHATTİN</t>
  </si>
  <si>
    <t>1232185825</t>
  </si>
  <si>
    <t>ZERPLAST PLASTİK</t>
  </si>
  <si>
    <t>SAVAŞ ALABOĞA</t>
  </si>
  <si>
    <t>HAKAN ERDOĞAN</t>
  </si>
  <si>
    <t>EMİNE ÖVÜNÇ</t>
  </si>
  <si>
    <t>SEYAHAT</t>
  </si>
  <si>
    <t>SİNAN ÖVÜNÇ</t>
  </si>
  <si>
    <t>HAZİRAN</t>
  </si>
  <si>
    <t>ORAN</t>
  </si>
  <si>
    <t>HAKAN YAMAN</t>
  </si>
  <si>
    <t>KADİR KOCAOĞLU</t>
  </si>
  <si>
    <t>1262345625</t>
  </si>
  <si>
    <t>KASKO EKİ</t>
  </si>
  <si>
    <t xml:space="preserve">TRİO MAKİNE </t>
  </si>
  <si>
    <t>1225895825</t>
  </si>
  <si>
    <t>MURAT KARTBOĞA</t>
  </si>
  <si>
    <t>1278216925</t>
  </si>
  <si>
    <t>ABDULVEHHAB ÖZMEN</t>
  </si>
  <si>
    <t>GÖKHAN ÇALIŞKAN KSK İP.İADE KOM.</t>
  </si>
  <si>
    <t>GÖKHAN ÇALIŞKAN KSK İP.İADE</t>
  </si>
  <si>
    <t xml:space="preserve">  </t>
  </si>
  <si>
    <t>AKAR PETROL TRF İP.İADE KOM.</t>
  </si>
  <si>
    <t>AKAR PETROL KASKO İP.İADE KOM.</t>
  </si>
  <si>
    <t>TEMMUZ</t>
  </si>
  <si>
    <t>MEHMET ŞAHİN</t>
  </si>
  <si>
    <t>BARAN CENGİZ</t>
  </si>
  <si>
    <t>AKIN CENGİZ</t>
  </si>
  <si>
    <t>112,611,90</t>
  </si>
  <si>
    <t>ZERSAN LÜKS</t>
  </si>
  <si>
    <t>GÖKHAN ÇAKMAKCI</t>
  </si>
  <si>
    <t>1395728425</t>
  </si>
  <si>
    <t>AĞUSTOS</t>
  </si>
  <si>
    <t>EYLÜL</t>
  </si>
  <si>
    <t>RABİA CAN SAĞMAR</t>
  </si>
  <si>
    <t>ÖZGE CANDAROĞLU</t>
  </si>
  <si>
    <t>TİMON TOPLU TÜK.</t>
  </si>
  <si>
    <t>NURETTİN YILMAZ</t>
  </si>
  <si>
    <t>kasko</t>
  </si>
  <si>
    <t>KERİM UĞURCAN SEYHAN</t>
  </si>
  <si>
    <t>MUSTAFA OKAN YOLÇAKAR</t>
  </si>
  <si>
    <t>1492994225</t>
  </si>
  <si>
    <t>EKİM</t>
  </si>
  <si>
    <t>HAYAT</t>
  </si>
  <si>
    <t>TANER ŞAHİN</t>
  </si>
  <si>
    <t>MUSTAFA DÜZGÜN</t>
  </si>
  <si>
    <t>BURHANETTİN PİRLEPELİ</t>
  </si>
  <si>
    <t>KOMİSYON ÖDEMESİ 11.10.25</t>
  </si>
  <si>
    <t>MEHMET CEBECİOĞLU</t>
  </si>
  <si>
    <t>SERAP AGEL</t>
  </si>
  <si>
    <t>BETÜL CEBECİ</t>
  </si>
  <si>
    <t>21/10/202</t>
  </si>
  <si>
    <t>KOMİSYON ÖDEMESİ 29.10.25</t>
  </si>
  <si>
    <t>RABİA CAN SAĞMAR 599589485 KSK İPT İADE</t>
  </si>
  <si>
    <t>KÖFTECİ SEBAHATTİN 1232185825 KSK İPT İADE</t>
  </si>
  <si>
    <t>SAVAŞ ALABOĞA SAĞLIK İPT İADE</t>
  </si>
  <si>
    <t>KASIM</t>
  </si>
  <si>
    <t>KRM DANIŞMANLIK</t>
  </si>
  <si>
    <t>SALİH BAYAR</t>
  </si>
  <si>
    <t>1584852725</t>
  </si>
  <si>
    <t>1584852525</t>
  </si>
  <si>
    <t>MENEMENCİ ALAATTİN</t>
  </si>
  <si>
    <t>1592261525</t>
  </si>
  <si>
    <t>ARALIK</t>
  </si>
  <si>
    <t>NESLİHAN TEMİZEL</t>
  </si>
  <si>
    <t>BARIŞ KORKMAZ</t>
  </si>
  <si>
    <t>OSMAN KARTBOĞA</t>
  </si>
  <si>
    <t>1623776125</t>
  </si>
  <si>
    <t>1563400824</t>
  </si>
  <si>
    <t>KOLTUK</t>
  </si>
  <si>
    <t>TEZCAN AŞIKHASANOĞLU</t>
  </si>
  <si>
    <t>HÜSEYİN CİVAN</t>
  </si>
  <si>
    <t>1646565625</t>
  </si>
  <si>
    <t>MEHMET MURATOĞLU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</si>
</sst>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₺&quot;#,##0.00;\-&quot;₺&quot;#,##0.00"/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0"/>
      <color theme="1"/>
      <name val="Arial"/>
      <family val="2"/>
      <charset val="162"/>
    </font>
    <font>
      <sz val="10"/>
      <color theme="1"/>
      <name val="Calibri"/>
      <family val="2"/>
      <scheme val="minor"/>
    </font>
    <font>
      <b/>
      <sz val="9"/>
      <color theme="1"/>
      <name val="Calibri Light"/>
      <family val="2"/>
      <charset val="162"/>
      <scheme val="major"/>
    </font>
    <font>
      <b/>
      <sz val="9"/>
      <color rgb="FF000000"/>
      <name val="Calibri Light"/>
      <family val="2"/>
      <charset val="162"/>
      <scheme val="major"/>
    </font>
    <font>
      <b/>
      <sz val="9"/>
      <name val="Calibri Light"/>
      <family val="2"/>
      <charset val="162"/>
      <scheme val="major"/>
    </font>
    <font>
      <sz val="9"/>
      <color theme="1"/>
      <name val="Calibri Light"/>
      <family val="2"/>
      <charset val="162"/>
      <scheme val="major"/>
    </font>
    <font>
      <b/>
      <sz val="10"/>
      <color theme="1"/>
      <name val="Calibri Light"/>
      <family val="2"/>
      <charset val="162"/>
      <scheme val="major"/>
    </font>
    <font>
      <sz val="10"/>
      <color theme="1"/>
      <name val="Calibri Light"/>
      <family val="2"/>
      <charset val="162"/>
      <scheme val="major"/>
    </font>
    <font>
      <b/>
      <sz val="9"/>
      <name val="Calibri"/>
      <family val="2"/>
      <charset val="162"/>
      <scheme val="minor"/>
    </font>
    <font>
      <b/>
      <sz val="9"/>
      <color theme="1"/>
      <name val="Arial"/>
      <family val="2"/>
      <charset val="162"/>
    </font>
    <font>
      <sz val="11"/>
      <color theme="1"/>
      <name val="Calibri Light"/>
      <family val="2"/>
      <charset val="162"/>
      <scheme val="major"/>
    </font>
    <font>
      <b/>
      <sz val="10"/>
      <color rgb="FF1B1D52"/>
      <name val="Calibri"/>
      <family val="2"/>
      <charset val="162"/>
      <scheme val="minor"/>
    </font>
    <font>
      <sz val="11"/>
      <color indexed="81"/>
      <name val="Tahoma"/>
      <charset val="1"/>
    </font>
    <font>
      <b/>
      <sz val="11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0" fontId="2" fillId="0" borderId="1" xfId="0" applyFont="1" applyBorder="1" applyAlignment="1">
      <alignment horizontal="left" vertical="top"/>
    </xf>
    <xf numFmtId="43" fontId="2" fillId="0" borderId="1" xfId="0" applyNumberFormat="1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2" fontId="2" fillId="0" borderId="1" xfId="0" applyNumberFormat="1" applyFont="1" applyBorder="1" applyAlignment="1">
      <alignment horizontal="left" vertical="top"/>
    </xf>
    <xf numFmtId="2" fontId="3" fillId="0" borderId="1" xfId="0" applyNumberFormat="1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43" fontId="2" fillId="3" borderId="1" xfId="0" applyNumberFormat="1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left" vertical="center"/>
    </xf>
    <xf numFmtId="2" fontId="4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3" fontId="2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top" wrapText="1"/>
    </xf>
    <xf numFmtId="43" fontId="5" fillId="0" borderId="1" xfId="0" applyNumberFormat="1" applyFont="1" applyBorder="1" applyAlignment="1">
      <alignment horizontal="center" vertical="top" wrapText="1"/>
    </xf>
    <xf numFmtId="43" fontId="6" fillId="0" borderId="1" xfId="0" applyNumberFormat="1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center"/>
    </xf>
    <xf numFmtId="43" fontId="5" fillId="4" borderId="1" xfId="0" applyNumberFormat="1" applyFont="1" applyFill="1" applyBorder="1" applyAlignment="1">
      <alignment horizontal="center" vertical="center"/>
    </xf>
    <xf numFmtId="43" fontId="2" fillId="4" borderId="1" xfId="0" applyNumberFormat="1" applyFont="1" applyFill="1" applyBorder="1" applyAlignment="1">
      <alignment horizontal="left" vertical="top"/>
    </xf>
    <xf numFmtId="43" fontId="5" fillId="4" borderId="1" xfId="0" applyNumberFormat="1" applyFont="1" applyFill="1" applyBorder="1" applyAlignment="1">
      <alignment horizontal="right" vertical="center"/>
    </xf>
    <xf numFmtId="2" fontId="7" fillId="4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2" fontId="5" fillId="4" borderId="1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right"/>
    </xf>
    <xf numFmtId="2" fontId="9" fillId="4" borderId="1" xfId="0" applyNumberFormat="1" applyFont="1" applyFill="1" applyBorder="1" applyAlignment="1">
      <alignment horizontal="center"/>
    </xf>
    <xf numFmtId="14" fontId="9" fillId="0" borderId="1" xfId="0" applyNumberFormat="1" applyFont="1" applyBorder="1" applyAlignment="1">
      <alignment horizontal="center" vertical="top"/>
    </xf>
    <xf numFmtId="43" fontId="9" fillId="0" borderId="1" xfId="0" applyNumberFormat="1" applyFont="1" applyBorder="1" applyAlignment="1">
      <alignment horizontal="center" vertical="top"/>
    </xf>
    <xf numFmtId="2" fontId="10" fillId="0" borderId="1" xfId="0" applyNumberFormat="1" applyFont="1" applyBorder="1" applyAlignment="1">
      <alignment horizontal="center" vertical="top"/>
    </xf>
    <xf numFmtId="43" fontId="9" fillId="4" borderId="1" xfId="0" applyNumberFormat="1" applyFont="1" applyFill="1" applyBorder="1"/>
    <xf numFmtId="0" fontId="10" fillId="5" borderId="1" xfId="0" applyFont="1" applyFill="1" applyBorder="1" applyAlignment="1">
      <alignment horizontal="center"/>
    </xf>
    <xf numFmtId="2" fontId="11" fillId="0" borderId="0" xfId="0" applyNumberFormat="1" applyFont="1" applyAlignment="1">
      <alignment horizontal="right"/>
    </xf>
    <xf numFmtId="43" fontId="9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43" fontId="9" fillId="6" borderId="1" xfId="0" applyNumberFormat="1" applyFont="1" applyFill="1" applyBorder="1" applyAlignment="1">
      <alignment horizontal="center" vertical="top"/>
    </xf>
    <xf numFmtId="2" fontId="10" fillId="0" borderId="1" xfId="0" applyNumberFormat="1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/>
    </xf>
    <xf numFmtId="43" fontId="9" fillId="5" borderId="1" xfId="0" applyNumberFormat="1" applyFont="1" applyFill="1" applyBorder="1" applyAlignment="1">
      <alignment horizontal="center"/>
    </xf>
    <xf numFmtId="43" fontId="9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43" fontId="9" fillId="5" borderId="1" xfId="0" applyNumberFormat="1" applyFont="1" applyFill="1" applyBorder="1" applyAlignment="1">
      <alignment horizontal="center" vertical="top"/>
    </xf>
    <xf numFmtId="2" fontId="12" fillId="4" borderId="1" xfId="0" applyNumberFormat="1" applyFont="1" applyFill="1" applyBorder="1" applyAlignment="1">
      <alignment horizontal="right" vertical="top"/>
    </xf>
    <xf numFmtId="2" fontId="9" fillId="0" borderId="1" xfId="0" applyNumberFormat="1" applyFont="1" applyBorder="1" applyAlignment="1">
      <alignment horizontal="center" vertical="top"/>
    </xf>
    <xf numFmtId="2" fontId="9" fillId="4" borderId="1" xfId="0" applyNumberFormat="1" applyFont="1" applyFill="1" applyBorder="1" applyAlignment="1">
      <alignment horizontal="right" vertical="top"/>
    </xf>
    <xf numFmtId="2" fontId="12" fillId="0" borderId="1" xfId="0" applyNumberFormat="1" applyFont="1" applyBorder="1" applyAlignment="1">
      <alignment horizontal="center" vertical="top"/>
    </xf>
    <xf numFmtId="0" fontId="10" fillId="0" borderId="1" xfId="0" applyFont="1" applyBorder="1" applyAlignment="1">
      <alignment horizontal="right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43" fontId="13" fillId="0" borderId="1" xfId="0" applyNumberFormat="1" applyFont="1" applyBorder="1" applyAlignment="1">
      <alignment horizontal="center" vertical="top"/>
    </xf>
    <xf numFmtId="2" fontId="13" fillId="0" borderId="1" xfId="0" applyNumberFormat="1" applyFont="1" applyBorder="1" applyAlignment="1">
      <alignment horizontal="center" vertical="top"/>
    </xf>
    <xf numFmtId="2" fontId="14" fillId="0" borderId="1" xfId="0" applyNumberFormat="1" applyFont="1" applyBorder="1" applyAlignment="1">
      <alignment horizontal="center" vertical="top"/>
    </xf>
    <xf numFmtId="7" fontId="1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43" fontId="2" fillId="0" borderId="1" xfId="0" applyNumberFormat="1" applyFont="1" applyBorder="1" applyAlignment="1">
      <alignment horizontal="center" vertical="top"/>
    </xf>
    <xf numFmtId="7" fontId="15" fillId="0" borderId="1" xfId="0" applyNumberFormat="1" applyFont="1" applyBorder="1" applyAlignment="1">
      <alignment horizontal="right"/>
    </xf>
    <xf numFmtId="43" fontId="2" fillId="0" borderId="1" xfId="0" applyNumberFormat="1" applyFont="1" applyBorder="1" applyAlignment="1">
      <alignment horizontal="right"/>
    </xf>
    <xf numFmtId="43" fontId="16" fillId="0" borderId="1" xfId="0" applyNumberFormat="1" applyFont="1" applyBorder="1" applyAlignment="1">
      <alignment horizontal="right"/>
    </xf>
    <xf numFmtId="2" fontId="16" fillId="0" borderId="1" xfId="0" applyNumberFormat="1" applyFont="1" applyBorder="1" applyAlignment="1">
      <alignment horizontal="center"/>
    </xf>
    <xf numFmtId="2" fontId="17" fillId="0" borderId="1" xfId="0" applyNumberFormat="1" applyFont="1" applyBorder="1" applyAlignment="1">
      <alignment horizontal="center" vertical="top"/>
    </xf>
    <xf numFmtId="43" fontId="7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left" vertical="top"/>
    </xf>
    <xf numFmtId="14" fontId="2" fillId="4" borderId="1" xfId="0" applyNumberFormat="1" applyFont="1" applyFill="1" applyBorder="1" applyAlignment="1">
      <alignment horizontal="left" vertical="top"/>
    </xf>
    <xf numFmtId="2" fontId="2" fillId="4" borderId="1" xfId="0" applyNumberFormat="1" applyFont="1" applyFill="1" applyBorder="1" applyAlignment="1">
      <alignment horizontal="right" vertical="top"/>
    </xf>
    <xf numFmtId="4" fontId="2" fillId="0" borderId="1" xfId="0" applyNumberFormat="1" applyFont="1" applyBorder="1" applyAlignment="1">
      <alignment horizontal="right"/>
    </xf>
    <xf numFmtId="4" fontId="18" fillId="0" borderId="0" xfId="0" applyNumberFormat="1" applyFont="1" applyAlignment="1">
      <alignment horizontal="right"/>
    </xf>
    <xf numFmtId="43" fontId="2" fillId="7" borderId="1" xfId="0" applyNumberFormat="1" applyFont="1" applyFill="1" applyBorder="1" applyAlignment="1">
      <alignment horizontal="left" vertical="top"/>
    </xf>
    <xf numFmtId="2" fontId="2" fillId="0" borderId="1" xfId="0" applyNumberFormat="1" applyFon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14" fontId="2" fillId="0" borderId="1" xfId="0" applyNumberFormat="1" applyFont="1" applyBorder="1" applyAlignment="1">
      <alignment horizontal="left" vertical="top"/>
    </xf>
    <xf numFmtId="2" fontId="2" fillId="0" borderId="1" xfId="0" applyNumberFormat="1" applyFont="1" applyBorder="1" applyAlignment="1">
      <alignment horizontal="right" vertical="top"/>
    </xf>
    <xf numFmtId="43" fontId="5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center"/>
    </xf>
    <xf numFmtId="7" fontId="2" fillId="0" borderId="1" xfId="0" applyNumberFormat="1" applyFont="1" applyBorder="1" applyAlignment="1">
      <alignment horizontal="center" vertical="top"/>
    </xf>
    <xf numFmtId="43" fontId="2" fillId="0" borderId="1" xfId="0" applyNumberFormat="1" applyFont="1" applyBorder="1" applyAlignment="1">
      <alignment horizontal="right" vertical="top"/>
    </xf>
    <xf numFmtId="0" fontId="2" fillId="0" borderId="2" xfId="0" applyFont="1" applyBorder="1" applyAlignment="1">
      <alignment horizontal="left" vertical="top"/>
    </xf>
    <xf numFmtId="4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 vertical="top"/>
    </xf>
    <xf numFmtId="39" fontId="2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43" fontId="5" fillId="0" borderId="1" xfId="0" applyNumberFormat="1" applyFont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14" fontId="2" fillId="0" borderId="3" xfId="0" applyNumberFormat="1" applyFont="1" applyBorder="1" applyAlignment="1">
      <alignment horizontal="left" vertical="top"/>
    </xf>
    <xf numFmtId="2" fontId="2" fillId="0" borderId="3" xfId="0" applyNumberFormat="1" applyFont="1" applyBorder="1" applyAlignment="1">
      <alignment horizontal="left" vertical="top"/>
    </xf>
    <xf numFmtId="43" fontId="2" fillId="0" borderId="3" xfId="0" applyNumberFormat="1" applyFont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2" fontId="2" fillId="0" borderId="3" xfId="0" applyNumberFormat="1" applyFont="1" applyBorder="1" applyAlignment="1">
      <alignment horizontal="right" vertical="top"/>
    </xf>
    <xf numFmtId="43" fontId="5" fillId="0" borderId="3" xfId="0" applyNumberFormat="1" applyFont="1" applyBorder="1" applyAlignment="1">
      <alignment horizontal="left" vertical="top"/>
    </xf>
    <xf numFmtId="0" fontId="5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2" fontId="2" fillId="0" borderId="3" xfId="0" applyNumberFormat="1" applyFont="1" applyBorder="1" applyAlignment="1">
      <alignment horizontal="center" vertical="top"/>
    </xf>
    <xf numFmtId="2" fontId="0" fillId="0" borderId="3" xfId="0" applyNumberFormat="1" applyBorder="1" applyAlignment="1">
      <alignment horizontal="center" vertical="top"/>
    </xf>
    <xf numFmtId="0" fontId="0" fillId="0" borderId="1" xfId="0" applyBorder="1"/>
    <xf numFmtId="0" fontId="5" fillId="0" borderId="1" xfId="0" applyFont="1" applyBorder="1"/>
    <xf numFmtId="43" fontId="5" fillId="0" borderId="1" xfId="0" applyNumberFormat="1" applyFont="1" applyBorder="1"/>
    <xf numFmtId="0" fontId="0" fillId="3" borderId="1" xfId="0" applyFill="1" applyBorder="1"/>
    <xf numFmtId="0" fontId="5" fillId="3" borderId="1" xfId="0" applyFont="1" applyFill="1" applyBorder="1"/>
    <xf numFmtId="0" fontId="1" fillId="3" borderId="1" xfId="0" applyFont="1" applyFill="1" applyBorder="1"/>
    <xf numFmtId="43" fontId="1" fillId="3" borderId="1" xfId="0" applyNumberFormat="1" applyFont="1" applyFill="1" applyBorder="1"/>
    <xf numFmtId="0" fontId="1" fillId="0" borderId="1" xfId="0" applyFont="1" applyBorder="1"/>
    <xf numFmtId="43" fontId="9" fillId="8" borderId="1" xfId="0" applyNumberFormat="1" applyFont="1" applyFill="1" applyBorder="1" applyAlignment="1">
      <alignment horizontal="center" vertical="top"/>
    </xf>
    <xf numFmtId="43" fontId="9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9" fillId="0" borderId="1" xfId="0" applyNumberFormat="1" applyFont="1" applyBorder="1" applyAlignment="1">
      <alignment vertical="center"/>
    </xf>
    <xf numFmtId="43" fontId="1" fillId="0" borderId="1" xfId="0" applyNumberFormat="1" applyFont="1" applyBorder="1"/>
    <xf numFmtId="43" fontId="5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43" fontId="10" fillId="0" borderId="1" xfId="0" applyNumberFormat="1" applyFont="1" applyBorder="1" applyAlignment="1">
      <alignment horizontal="center" vertical="center"/>
    </xf>
    <xf numFmtId="0" fontId="10" fillId="10" borderId="1" xfId="0" applyFont="1" applyFill="1" applyBorder="1" applyAlignment="1">
      <alignment horizontal="center"/>
    </xf>
    <xf numFmtId="0" fontId="0" fillId="11" borderId="1" xfId="0" applyFill="1" applyBorder="1"/>
    <xf numFmtId="0" fontId="1" fillId="11" borderId="1" xfId="0" applyFont="1" applyFill="1" applyBorder="1"/>
    <xf numFmtId="43" fontId="1" fillId="11" borderId="1" xfId="0" applyNumberFormat="1" applyFont="1" applyFill="1" applyBorder="1"/>
    <xf numFmtId="43" fontId="5" fillId="0" borderId="1" xfId="0" applyNumberFormat="1" applyFont="1" applyBorder="1" applyAlignment="1">
      <alignment horizontal="right" vertical="center"/>
    </xf>
    <xf numFmtId="14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3" fontId="16" fillId="7" borderId="1" xfId="0" applyNumberFormat="1" applyFont="1" applyFill="1" applyBorder="1" applyAlignment="1">
      <alignment horizontal="center" vertical="center"/>
    </xf>
    <xf numFmtId="9" fontId="16" fillId="7" borderId="1" xfId="0" applyNumberFormat="1" applyFont="1" applyFill="1" applyBorder="1" applyAlignment="1">
      <alignment horizontal="center" vertical="center"/>
    </xf>
    <xf numFmtId="9" fontId="16" fillId="0" borderId="1" xfId="0" applyNumberFormat="1" applyFont="1" applyBorder="1" applyAlignment="1">
      <alignment horizontal="center" vertical="center"/>
    </xf>
    <xf numFmtId="43" fontId="16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/>
    </xf>
    <xf numFmtId="43" fontId="16" fillId="7" borderId="1" xfId="0" applyNumberFormat="1" applyFont="1" applyFill="1" applyBorder="1" applyAlignment="1">
      <alignment horizontal="right"/>
    </xf>
    <xf numFmtId="2" fontId="10" fillId="0" borderId="1" xfId="0" applyNumberFormat="1" applyFont="1" applyBorder="1" applyAlignment="1">
      <alignment horizontal="right" wrapText="1"/>
    </xf>
    <xf numFmtId="2" fontId="10" fillId="0" borderId="1" xfId="0" applyNumberFormat="1" applyFont="1" applyBorder="1" applyAlignment="1">
      <alignment horizontal="right"/>
    </xf>
    <xf numFmtId="12" fontId="5" fillId="5" borderId="1" xfId="0" applyNumberFormat="1" applyFont="1" applyFill="1" applyBorder="1" applyAlignment="1">
      <alignment horizontal="center" vertical="center"/>
    </xf>
    <xf numFmtId="40" fontId="11" fillId="0" borderId="1" xfId="0" applyNumberFormat="1" applyFont="1" applyBorder="1" applyAlignment="1">
      <alignment horizontal="right"/>
    </xf>
    <xf numFmtId="12" fontId="5" fillId="0" borderId="1" xfId="0" applyNumberFormat="1" applyFont="1" applyBorder="1" applyAlignment="1">
      <alignment horizontal="center" vertical="center"/>
    </xf>
    <xf numFmtId="12" fontId="5" fillId="1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top"/>
    </xf>
    <xf numFmtId="43" fontId="2" fillId="6" borderId="1" xfId="0" applyNumberFormat="1" applyFont="1" applyFill="1" applyBorder="1" applyAlignment="1">
      <alignment horizontal="center" vertical="top"/>
    </xf>
    <xf numFmtId="0" fontId="0" fillId="6" borderId="1" xfId="0" applyFill="1" applyBorder="1"/>
    <xf numFmtId="0" fontId="1" fillId="6" borderId="1" xfId="0" applyFont="1" applyFill="1" applyBorder="1"/>
    <xf numFmtId="43" fontId="1" fillId="6" borderId="1" xfId="0" applyNumberFormat="1" applyFont="1" applyFill="1" applyBorder="1"/>
    <xf numFmtId="0" fontId="0" fillId="6" borderId="0" xfId="0" applyFill="1"/>
    <xf numFmtId="40" fontId="2" fillId="0" borderId="1" xfId="0" applyNumberFormat="1" applyFont="1" applyBorder="1" applyAlignment="1">
      <alignment horizontal="right" vertical="top"/>
    </xf>
    <xf numFmtId="40" fontId="2" fillId="0" borderId="1" xfId="0" applyNumberFormat="1" applyFont="1" applyBorder="1" applyAlignment="1">
      <alignment horizontal="right" vertical="center"/>
    </xf>
    <xf numFmtId="40" fontId="5" fillId="0" borderId="1" xfId="0" applyNumberFormat="1" applyFont="1" applyBorder="1" applyAlignment="1">
      <alignment horizontal="right" vertical="top"/>
    </xf>
    <xf numFmtId="40" fontId="9" fillId="4" borderId="1" xfId="0" applyNumberFormat="1" applyFont="1" applyFill="1" applyBorder="1" applyAlignment="1">
      <alignment horizontal="center" vertical="center"/>
    </xf>
    <xf numFmtId="40" fontId="2" fillId="4" borderId="1" xfId="0" applyNumberFormat="1" applyFont="1" applyFill="1" applyBorder="1" applyAlignment="1">
      <alignment horizontal="right" vertical="top"/>
    </xf>
    <xf numFmtId="43" fontId="0" fillId="0" borderId="1" xfId="0" applyNumberFormat="1" applyBorder="1"/>
    <xf numFmtId="40" fontId="0" fillId="11" borderId="1" xfId="0" applyNumberFormat="1" applyFill="1" applyBorder="1"/>
    <xf numFmtId="40" fontId="7" fillId="4" borderId="1" xfId="0" applyNumberFormat="1" applyFont="1" applyFill="1" applyBorder="1" applyAlignment="1">
      <alignment horizontal="center" vertical="center"/>
    </xf>
    <xf numFmtId="40" fontId="10" fillId="0" borderId="1" xfId="0" applyNumberFormat="1" applyFont="1" applyBorder="1" applyAlignment="1">
      <alignment vertical="center"/>
    </xf>
    <xf numFmtId="40" fontId="10" fillId="0" borderId="1" xfId="0" applyNumberFormat="1" applyFont="1" applyBorder="1" applyAlignment="1">
      <alignment horizontal="right"/>
    </xf>
    <xf numFmtId="40" fontId="0" fillId="0" borderId="1" xfId="0" applyNumberFormat="1" applyBorder="1"/>
    <xf numFmtId="43" fontId="2" fillId="6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51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3"/>
  <sheetViews>
    <sheetView workbookViewId="0">
      <selection activeCell="H46" sqref="H46"/>
    </sheetView>
  </sheetViews>
  <sheetFormatPr defaultRowHeight="15" x14ac:dyDescent="0.25"/>
  <cols>
    <col min="1" max="1" width="21.7109375" customWidth="1"/>
    <col min="2" max="2" width="11.140625" customWidth="1"/>
    <col min="3" max="3" width="11" customWidth="1"/>
    <col min="6" max="6" width="11.140625" customWidth="1"/>
    <col min="7" max="7" width="13.5703125" customWidth="1"/>
    <col min="8" max="8" width="12.5703125" customWidth="1"/>
    <col min="9" max="9" width="12.42578125" customWidth="1"/>
    <col min="10" max="10" width="2.42578125" customWidth="1"/>
    <col min="11" max="11" width="20" customWidth="1"/>
    <col min="12" max="12" width="11" customWidth="1"/>
    <col min="13" max="14" width="11.28515625" customWidth="1"/>
    <col min="16" max="16" width="9.85546875" customWidth="1"/>
    <col min="17" max="17" width="12.85546875" customWidth="1"/>
    <col min="18" max="18" width="10.7109375" customWidth="1"/>
    <col min="19" max="19" width="10.5703125" customWidth="1"/>
  </cols>
  <sheetData>
    <row r="1" spans="1:20" x14ac:dyDescent="0.25">
      <c r="A1" s="1"/>
      <c r="B1" s="1"/>
      <c r="C1" s="2"/>
      <c r="D1" s="2"/>
      <c r="E1" s="2"/>
      <c r="F1" s="2"/>
      <c r="G1" s="2"/>
      <c r="H1" s="2"/>
      <c r="I1" s="2"/>
      <c r="J1" s="3"/>
      <c r="K1" s="1"/>
      <c r="L1" s="1"/>
      <c r="M1" s="2"/>
      <c r="N1" s="2"/>
      <c r="O1" s="2"/>
      <c r="P1" s="2"/>
      <c r="Q1" s="2"/>
      <c r="R1" s="2"/>
      <c r="S1" s="4"/>
      <c r="T1" s="5"/>
    </row>
    <row r="2" spans="1:20" x14ac:dyDescent="0.25">
      <c r="A2" s="6" t="s">
        <v>0</v>
      </c>
      <c r="B2" s="6"/>
      <c r="C2" s="7"/>
      <c r="D2" s="7"/>
      <c r="E2" s="7"/>
      <c r="F2" s="7"/>
      <c r="G2" s="7"/>
      <c r="H2" s="7"/>
      <c r="I2" s="7"/>
      <c r="J2" s="3"/>
      <c r="K2" s="6" t="s">
        <v>1</v>
      </c>
      <c r="L2" s="6"/>
      <c r="M2" s="7"/>
      <c r="N2" s="7"/>
      <c r="O2" s="7"/>
      <c r="P2" s="7"/>
      <c r="Q2" s="7"/>
      <c r="R2" s="7"/>
      <c r="S2" s="8"/>
      <c r="T2" s="9"/>
    </row>
    <row r="3" spans="1:20" x14ac:dyDescent="0.25">
      <c r="A3" s="10" t="s">
        <v>31</v>
      </c>
      <c r="B3" s="10">
        <v>2025</v>
      </c>
      <c r="C3" s="11"/>
      <c r="D3" s="11"/>
      <c r="E3" s="11"/>
      <c r="F3" s="11"/>
      <c r="G3" s="11"/>
      <c r="H3" s="11"/>
      <c r="I3" s="11"/>
      <c r="J3" s="12"/>
      <c r="K3" s="10" t="s">
        <v>31</v>
      </c>
      <c r="L3" s="10">
        <v>2025</v>
      </c>
      <c r="M3" s="11"/>
      <c r="N3" s="11"/>
      <c r="O3" s="11"/>
      <c r="P3" s="11"/>
      <c r="Q3" s="11"/>
      <c r="R3" s="11"/>
      <c r="S3" s="13"/>
      <c r="T3" s="14"/>
    </row>
    <row r="4" spans="1:20" ht="38.25" x14ac:dyDescent="0.25">
      <c r="A4" s="15" t="s">
        <v>2</v>
      </c>
      <c r="B4" s="15" t="s">
        <v>3</v>
      </c>
      <c r="C4" s="16" t="s">
        <v>4</v>
      </c>
      <c r="D4" s="16" t="s">
        <v>5</v>
      </c>
      <c r="E4" s="16" t="s">
        <v>6</v>
      </c>
      <c r="F4" s="17" t="s">
        <v>7</v>
      </c>
      <c r="G4" s="16" t="s">
        <v>8</v>
      </c>
      <c r="H4" s="16" t="s">
        <v>9</v>
      </c>
      <c r="I4" s="18" t="s">
        <v>10</v>
      </c>
      <c r="J4" s="19"/>
      <c r="K4" s="15" t="s">
        <v>2</v>
      </c>
      <c r="L4" s="15" t="s">
        <v>3</v>
      </c>
      <c r="M4" s="16" t="s">
        <v>4</v>
      </c>
      <c r="N4" s="16" t="s">
        <v>11</v>
      </c>
      <c r="O4" s="16" t="s">
        <v>5</v>
      </c>
      <c r="P4" s="16" t="s">
        <v>6</v>
      </c>
      <c r="Q4" s="16" t="s">
        <v>7</v>
      </c>
      <c r="R4" s="16" t="s">
        <v>8</v>
      </c>
      <c r="S4" s="18" t="s">
        <v>9</v>
      </c>
      <c r="T4" s="18" t="s">
        <v>12</v>
      </c>
    </row>
    <row r="5" spans="1:20" x14ac:dyDescent="0.25">
      <c r="A5" s="20" t="s">
        <v>13</v>
      </c>
      <c r="B5" s="20"/>
      <c r="C5" s="21"/>
      <c r="D5" s="21"/>
      <c r="E5" s="21"/>
      <c r="F5" s="22"/>
      <c r="G5" s="23"/>
      <c r="H5" s="21"/>
      <c r="I5" s="24"/>
      <c r="J5" s="25"/>
      <c r="K5" s="26" t="s">
        <v>13</v>
      </c>
      <c r="L5" s="20"/>
      <c r="M5" s="21"/>
      <c r="N5" s="21"/>
      <c r="O5" s="21"/>
      <c r="P5" s="21"/>
      <c r="Q5" s="21">
        <v>205.74</v>
      </c>
      <c r="R5" s="21"/>
      <c r="S5" s="27"/>
      <c r="T5" s="28"/>
    </row>
    <row r="6" spans="1:20" x14ac:dyDescent="0.25">
      <c r="A6" s="29" t="s">
        <v>18</v>
      </c>
      <c r="B6" s="34">
        <v>45553</v>
      </c>
      <c r="C6" s="30">
        <v>513619668</v>
      </c>
      <c r="D6" s="35" t="s">
        <v>15</v>
      </c>
      <c r="E6" s="38" t="s">
        <v>32</v>
      </c>
      <c r="F6" s="39">
        <v>22510.04</v>
      </c>
      <c r="G6" s="40">
        <v>3751.75</v>
      </c>
      <c r="H6" s="41"/>
      <c r="I6" s="33" t="s">
        <v>16</v>
      </c>
      <c r="J6" s="3"/>
      <c r="K6" s="42"/>
      <c r="L6" s="34"/>
      <c r="M6" s="30"/>
      <c r="N6" s="35"/>
      <c r="O6" s="35"/>
      <c r="P6" s="35"/>
      <c r="Q6" s="43"/>
      <c r="R6" s="35"/>
      <c r="S6" s="44"/>
      <c r="T6" s="37"/>
    </row>
    <row r="7" spans="1:20" x14ac:dyDescent="0.25">
      <c r="A7" s="29" t="s">
        <v>19</v>
      </c>
      <c r="B7" s="34">
        <v>45565</v>
      </c>
      <c r="C7" s="45">
        <v>506820204</v>
      </c>
      <c r="D7" s="35" t="s">
        <v>20</v>
      </c>
      <c r="E7" s="46" t="s">
        <v>32</v>
      </c>
      <c r="F7" s="32">
        <v>17633.13</v>
      </c>
      <c r="G7" s="40">
        <v>2938.93</v>
      </c>
      <c r="H7" s="47"/>
      <c r="I7" s="33" t="s">
        <v>16</v>
      </c>
      <c r="J7" s="48"/>
      <c r="K7" s="49"/>
      <c r="L7" s="34"/>
      <c r="M7" s="30"/>
      <c r="N7" s="35"/>
      <c r="O7" s="35"/>
      <c r="P7" s="35"/>
      <c r="Q7" s="35"/>
      <c r="R7" s="35"/>
      <c r="S7" s="36"/>
      <c r="T7" s="37"/>
    </row>
    <row r="8" spans="1:20" x14ac:dyDescent="0.25">
      <c r="A8" s="29" t="s">
        <v>14</v>
      </c>
      <c r="B8" s="34">
        <v>45600</v>
      </c>
      <c r="C8" s="30">
        <v>523532178</v>
      </c>
      <c r="D8" s="35" t="s">
        <v>15</v>
      </c>
      <c r="E8" s="50" t="s">
        <v>33</v>
      </c>
      <c r="F8" s="32">
        <v>15695.41</v>
      </c>
      <c r="G8" s="40">
        <v>2615.96</v>
      </c>
      <c r="H8" s="41"/>
      <c r="I8" s="33" t="s">
        <v>16</v>
      </c>
      <c r="J8" s="48"/>
      <c r="K8" s="49"/>
      <c r="L8" s="34"/>
      <c r="M8" s="30"/>
      <c r="N8" s="35"/>
      <c r="O8" s="35"/>
      <c r="P8" s="35"/>
      <c r="Q8" s="35"/>
      <c r="R8" s="35"/>
      <c r="S8" s="36"/>
      <c r="T8" s="37"/>
    </row>
    <row r="9" spans="1:20" x14ac:dyDescent="0.25">
      <c r="A9" s="29" t="s">
        <v>22</v>
      </c>
      <c r="B9" s="34">
        <v>45631</v>
      </c>
      <c r="C9" s="30">
        <v>529806844</v>
      </c>
      <c r="D9" s="35" t="s">
        <v>15</v>
      </c>
      <c r="E9" s="50" t="s">
        <v>21</v>
      </c>
      <c r="F9" s="32">
        <v>10955.95</v>
      </c>
      <c r="G9" s="40">
        <v>1826.05</v>
      </c>
      <c r="H9" s="41"/>
      <c r="I9" s="33" t="s">
        <v>16</v>
      </c>
      <c r="J9" s="48"/>
      <c r="K9" s="49"/>
      <c r="L9" s="34"/>
      <c r="M9" s="30"/>
      <c r="N9" s="35"/>
      <c r="O9" s="35"/>
      <c r="P9" s="35"/>
      <c r="Q9" s="35"/>
      <c r="R9" s="35"/>
      <c r="S9" s="36"/>
      <c r="T9" s="37"/>
    </row>
    <row r="10" spans="1:20" x14ac:dyDescent="0.25">
      <c r="A10" s="29" t="s">
        <v>34</v>
      </c>
      <c r="B10" s="34">
        <v>45663</v>
      </c>
      <c r="C10" s="30">
        <v>541071480</v>
      </c>
      <c r="D10" s="31" t="s">
        <v>35</v>
      </c>
      <c r="E10" s="115" t="s">
        <v>17</v>
      </c>
      <c r="F10" s="32">
        <v>11384.14</v>
      </c>
      <c r="G10" s="116" t="s">
        <v>16</v>
      </c>
      <c r="H10" s="41">
        <v>1016.44</v>
      </c>
      <c r="I10" s="33">
        <f>H10/2</f>
        <v>508.22</v>
      </c>
      <c r="J10" s="48"/>
      <c r="K10" s="49"/>
      <c r="L10" s="34"/>
      <c r="M10" s="30"/>
      <c r="N10" s="35"/>
      <c r="O10" s="35"/>
      <c r="P10" s="35"/>
      <c r="Q10" s="35"/>
      <c r="R10" s="35"/>
      <c r="S10" s="36"/>
      <c r="T10" s="37"/>
    </row>
    <row r="11" spans="1:20" x14ac:dyDescent="0.25">
      <c r="A11" s="29" t="s">
        <v>34</v>
      </c>
      <c r="B11" s="34">
        <v>45663</v>
      </c>
      <c r="C11" s="30">
        <v>541070235</v>
      </c>
      <c r="D11" s="31" t="s">
        <v>15</v>
      </c>
      <c r="E11" s="115" t="s">
        <v>17</v>
      </c>
      <c r="F11" s="32">
        <v>16202.4</v>
      </c>
      <c r="G11" s="116" t="s">
        <v>16</v>
      </c>
      <c r="H11" s="41">
        <v>2005.9</v>
      </c>
      <c r="I11" s="33">
        <f t="shared" ref="I11:I18" si="0">H11/2</f>
        <v>1002.95</v>
      </c>
      <c r="J11" s="48"/>
      <c r="K11" s="49"/>
      <c r="L11" s="30"/>
      <c r="M11" s="30"/>
      <c r="N11" s="35"/>
      <c r="O11" s="35"/>
      <c r="P11" s="35"/>
      <c r="Q11" s="35"/>
      <c r="R11" s="35"/>
      <c r="S11" s="36"/>
      <c r="T11" s="51"/>
    </row>
    <row r="12" spans="1:20" x14ac:dyDescent="0.25">
      <c r="A12" s="29" t="s">
        <v>36</v>
      </c>
      <c r="B12" s="34">
        <v>45679</v>
      </c>
      <c r="C12" s="30">
        <v>543824363</v>
      </c>
      <c r="D12" s="35" t="s">
        <v>15</v>
      </c>
      <c r="E12" s="50" t="s">
        <v>37</v>
      </c>
      <c r="F12" s="32">
        <v>22032.36</v>
      </c>
      <c r="G12" s="116">
        <f>F12/6</f>
        <v>3672.06</v>
      </c>
      <c r="H12" s="41">
        <v>2727.79</v>
      </c>
      <c r="I12" s="33">
        <f t="shared" si="0"/>
        <v>1363.895</v>
      </c>
      <c r="J12" s="48"/>
      <c r="K12" s="49"/>
      <c r="L12" s="30"/>
      <c r="M12" s="30"/>
      <c r="N12" s="35"/>
      <c r="O12" s="35"/>
      <c r="P12" s="35" t="s">
        <v>23</v>
      </c>
      <c r="Q12" s="35"/>
      <c r="R12" s="35" t="s">
        <v>16</v>
      </c>
      <c r="S12" s="52"/>
      <c r="T12" s="53"/>
    </row>
    <row r="13" spans="1:20" x14ac:dyDescent="0.25">
      <c r="A13" s="29" t="s">
        <v>36</v>
      </c>
      <c r="B13" s="34">
        <v>45679</v>
      </c>
      <c r="C13" s="30">
        <v>544213444</v>
      </c>
      <c r="D13" s="35" t="s">
        <v>35</v>
      </c>
      <c r="E13" s="115" t="s">
        <v>17</v>
      </c>
      <c r="F13" s="32">
        <v>10943.03</v>
      </c>
      <c r="G13" s="116" t="s">
        <v>16</v>
      </c>
      <c r="H13" s="41">
        <v>977.06</v>
      </c>
      <c r="I13" s="33">
        <f t="shared" si="0"/>
        <v>488.53</v>
      </c>
      <c r="J13" s="48"/>
      <c r="K13" s="49"/>
      <c r="L13" s="30"/>
      <c r="M13" s="30"/>
      <c r="N13" s="35"/>
      <c r="O13" s="35"/>
      <c r="P13" s="35"/>
      <c r="Q13" s="35"/>
      <c r="R13" s="35"/>
      <c r="S13" s="52"/>
      <c r="T13" s="54"/>
    </row>
    <row r="14" spans="1:20" x14ac:dyDescent="0.25">
      <c r="A14" s="29" t="s">
        <v>38</v>
      </c>
      <c r="B14" s="34">
        <v>45687</v>
      </c>
      <c r="C14" s="30">
        <v>7369917</v>
      </c>
      <c r="D14" s="35" t="s">
        <v>39</v>
      </c>
      <c r="E14" s="115" t="s">
        <v>17</v>
      </c>
      <c r="F14" s="32">
        <v>30942.29</v>
      </c>
      <c r="G14" s="116" t="s">
        <v>16</v>
      </c>
      <c r="H14" s="41">
        <v>4022</v>
      </c>
      <c r="I14" s="33">
        <f t="shared" si="0"/>
        <v>2011</v>
      </c>
      <c r="J14" s="48"/>
      <c r="K14" s="49"/>
      <c r="L14" s="30"/>
      <c r="M14" s="30"/>
      <c r="N14" s="35"/>
      <c r="O14" s="35"/>
      <c r="P14" s="35"/>
      <c r="Q14" s="35"/>
      <c r="R14" s="35"/>
      <c r="S14" s="52"/>
      <c r="T14" s="54"/>
    </row>
    <row r="15" spans="1:20" x14ac:dyDescent="0.25">
      <c r="A15" s="120" t="s">
        <v>40</v>
      </c>
      <c r="B15" s="121">
        <v>45661</v>
      </c>
      <c r="C15" s="120">
        <v>540553374</v>
      </c>
      <c r="D15" s="47" t="s">
        <v>15</v>
      </c>
      <c r="E15" s="115" t="s">
        <v>17</v>
      </c>
      <c r="F15" s="32">
        <v>27059.040000000001</v>
      </c>
      <c r="G15" s="116" t="s">
        <v>16</v>
      </c>
      <c r="H15" s="55">
        <v>3350.1</v>
      </c>
      <c r="I15" s="33">
        <f t="shared" si="0"/>
        <v>1675.05</v>
      </c>
      <c r="J15" s="48"/>
      <c r="K15" s="49"/>
      <c r="L15" s="30"/>
      <c r="M15" s="30"/>
      <c r="N15" s="35"/>
      <c r="O15" s="35"/>
      <c r="P15" s="35"/>
      <c r="Q15" s="35"/>
      <c r="R15" s="35"/>
      <c r="S15" s="52"/>
      <c r="T15" s="54"/>
    </row>
    <row r="16" spans="1:20" x14ac:dyDescent="0.25">
      <c r="A16" s="30"/>
      <c r="B16" s="34"/>
      <c r="C16" s="30"/>
      <c r="D16" s="35"/>
      <c r="E16" s="35"/>
      <c r="F16" s="32"/>
      <c r="G16" s="116"/>
      <c r="H16" s="55"/>
      <c r="I16" s="33">
        <f t="shared" si="0"/>
        <v>0</v>
      </c>
      <c r="J16" s="48"/>
      <c r="K16" s="49"/>
      <c r="L16" s="30"/>
      <c r="M16" s="30"/>
      <c r="N16" s="35"/>
      <c r="O16" s="35"/>
      <c r="P16" s="35"/>
      <c r="Q16" s="35"/>
      <c r="R16" s="35"/>
      <c r="S16" s="52"/>
      <c r="T16" s="54"/>
    </row>
    <row r="17" spans="1:20" x14ac:dyDescent="0.25">
      <c r="A17" s="30"/>
      <c r="B17" s="34"/>
      <c r="C17" s="30"/>
      <c r="D17" s="35"/>
      <c r="E17" s="35"/>
      <c r="F17" s="32"/>
      <c r="G17" s="116"/>
      <c r="H17" s="55"/>
      <c r="I17" s="33">
        <f t="shared" si="0"/>
        <v>0</v>
      </c>
      <c r="J17" s="48"/>
      <c r="K17" s="56"/>
      <c r="L17" s="57"/>
      <c r="M17" s="58"/>
      <c r="N17" s="59"/>
      <c r="O17" s="59"/>
      <c r="P17" s="59"/>
      <c r="Q17" s="59"/>
      <c r="R17" s="59"/>
      <c r="S17" s="60"/>
      <c r="T17" s="61"/>
    </row>
    <row r="18" spans="1:20" x14ac:dyDescent="0.25">
      <c r="A18" s="30"/>
      <c r="B18" s="34"/>
      <c r="C18" s="30"/>
      <c r="D18" s="35"/>
      <c r="E18" s="35"/>
      <c r="F18" s="62"/>
      <c r="G18" s="116"/>
      <c r="H18" s="55"/>
      <c r="I18" s="33">
        <f t="shared" si="0"/>
        <v>0</v>
      </c>
      <c r="J18" s="48"/>
      <c r="K18" s="56"/>
      <c r="L18" s="57"/>
      <c r="M18" s="58"/>
      <c r="N18" s="59"/>
      <c r="O18" s="59"/>
      <c r="P18" s="59"/>
      <c r="Q18" s="59"/>
      <c r="R18" s="59"/>
      <c r="S18" s="60"/>
      <c r="T18" s="61"/>
    </row>
    <row r="19" spans="1:20" x14ac:dyDescent="0.25">
      <c r="A19" s="30"/>
      <c r="B19" s="34"/>
      <c r="C19" s="30"/>
      <c r="D19" s="35"/>
      <c r="E19" s="35" t="s">
        <v>23</v>
      </c>
      <c r="F19" s="117">
        <f>SUM(F6:F15)</f>
        <v>185357.79</v>
      </c>
      <c r="G19" s="116">
        <f>G6+G7+G8+G9+G12</f>
        <v>14804.749999999998</v>
      </c>
      <c r="H19" s="118">
        <f>H9+H10+H11+H12+H13+H14</f>
        <v>10749.19</v>
      </c>
      <c r="I19" s="119">
        <f>I10+I11+I12+I13+I14+I15+I16+I17+I18</f>
        <v>7049.6450000000004</v>
      </c>
      <c r="J19" s="48"/>
      <c r="K19" s="49"/>
      <c r="L19" s="30"/>
      <c r="M19" s="30"/>
      <c r="N19" s="35"/>
      <c r="O19" s="35"/>
      <c r="P19" s="35"/>
      <c r="Q19" s="35"/>
      <c r="R19" s="35"/>
      <c r="S19" s="52"/>
      <c r="T19" s="54"/>
    </row>
    <row r="20" spans="1:20" x14ac:dyDescent="0.25">
      <c r="A20" s="63"/>
      <c r="B20" s="64"/>
      <c r="C20" s="63"/>
      <c r="D20" s="65"/>
      <c r="E20" s="65"/>
      <c r="F20" s="66"/>
      <c r="G20" s="67"/>
      <c r="H20" s="68"/>
      <c r="I20" s="69"/>
      <c r="J20" s="48"/>
      <c r="K20" s="49"/>
      <c r="L20" s="30"/>
      <c r="M20" s="30"/>
      <c r="N20" s="35"/>
      <c r="O20" s="35"/>
      <c r="P20" s="35"/>
      <c r="Q20" s="35"/>
      <c r="R20" s="35"/>
      <c r="S20" s="52"/>
      <c r="T20" s="70"/>
    </row>
    <row r="21" spans="1:20" x14ac:dyDescent="0.25">
      <c r="A21" s="63"/>
      <c r="B21" s="64"/>
      <c r="C21" s="63"/>
      <c r="D21" s="65"/>
      <c r="E21" s="65"/>
      <c r="F21" s="66"/>
      <c r="G21" s="67"/>
      <c r="H21" s="71"/>
      <c r="I21" s="69"/>
      <c r="J21" s="48"/>
      <c r="K21" s="49"/>
      <c r="L21" s="30"/>
      <c r="M21" s="30"/>
      <c r="N21" s="35"/>
      <c r="O21" s="35"/>
      <c r="P21" s="35"/>
      <c r="Q21" s="35"/>
      <c r="R21" s="35"/>
      <c r="S21" s="52"/>
      <c r="T21" s="70"/>
    </row>
    <row r="22" spans="1:20" x14ac:dyDescent="0.25">
      <c r="A22" s="63"/>
      <c r="B22" s="64"/>
      <c r="C22" s="63"/>
      <c r="D22" s="65"/>
      <c r="E22" s="65"/>
      <c r="F22" s="66"/>
      <c r="G22" s="67"/>
      <c r="H22" s="71"/>
      <c r="I22" s="69"/>
      <c r="J22" s="48"/>
      <c r="K22" s="49"/>
      <c r="L22" s="30"/>
      <c r="M22" s="30"/>
      <c r="N22" s="35"/>
      <c r="O22" s="35"/>
      <c r="P22" s="35"/>
      <c r="Q22" s="35"/>
      <c r="R22" s="35"/>
      <c r="S22" s="52"/>
      <c r="T22" s="70"/>
    </row>
    <row r="23" spans="1:20" x14ac:dyDescent="0.25">
      <c r="A23" s="63"/>
      <c r="B23" s="64"/>
      <c r="C23" s="63"/>
      <c r="D23" s="65"/>
      <c r="E23" s="65"/>
      <c r="F23" s="66"/>
      <c r="G23" s="67"/>
      <c r="H23" s="71"/>
      <c r="I23" s="69"/>
      <c r="J23" s="48"/>
      <c r="K23" s="49"/>
      <c r="L23" s="30"/>
      <c r="M23" s="35"/>
      <c r="N23" s="35"/>
      <c r="O23" s="35"/>
      <c r="P23" s="35"/>
      <c r="Q23" s="35"/>
      <c r="R23" s="35"/>
      <c r="S23" s="52"/>
      <c r="T23" s="70"/>
    </row>
    <row r="24" spans="1:20" x14ac:dyDescent="0.25">
      <c r="A24" s="63"/>
      <c r="B24" s="64"/>
      <c r="C24" s="63"/>
      <c r="D24" s="65"/>
      <c r="E24" s="65"/>
      <c r="F24" s="66"/>
      <c r="G24" s="67"/>
      <c r="H24" s="71"/>
      <c r="I24" s="69"/>
      <c r="J24" s="48"/>
      <c r="K24" s="49"/>
      <c r="L24" s="30"/>
      <c r="M24" s="35"/>
      <c r="N24" s="35"/>
      <c r="O24" s="35"/>
      <c r="P24" s="35"/>
      <c r="Q24" s="35"/>
      <c r="R24" s="35"/>
      <c r="S24" s="52"/>
      <c r="T24" s="70"/>
    </row>
    <row r="25" spans="1:20" x14ac:dyDescent="0.25">
      <c r="A25" s="72" t="s">
        <v>24</v>
      </c>
      <c r="B25" s="73"/>
      <c r="C25" s="74">
        <f>F5</f>
        <v>0</v>
      </c>
      <c r="D25" s="2"/>
      <c r="E25" s="2"/>
      <c r="F25" s="66"/>
      <c r="G25" s="75"/>
      <c r="H25" s="76"/>
      <c r="I25" s="69"/>
      <c r="J25" s="48"/>
      <c r="K25" s="72" t="s">
        <v>24</v>
      </c>
      <c r="L25" s="73"/>
      <c r="M25" s="74"/>
      <c r="N25" s="77">
        <f>Q5</f>
        <v>205.74</v>
      </c>
      <c r="O25" s="65"/>
      <c r="P25" s="65"/>
      <c r="Q25" s="65"/>
      <c r="R25" s="65"/>
      <c r="S25" s="78"/>
      <c r="T25" s="79"/>
    </row>
    <row r="26" spans="1:20" x14ac:dyDescent="0.25">
      <c r="A26" s="1" t="s">
        <v>25</v>
      </c>
      <c r="B26" s="80"/>
      <c r="C26" s="81">
        <f>I19</f>
        <v>7049.6450000000004</v>
      </c>
      <c r="D26" s="2"/>
      <c r="E26" s="2"/>
      <c r="F26" s="66"/>
      <c r="G26" s="67"/>
      <c r="H26" s="82"/>
      <c r="I26" s="83"/>
      <c r="J26" s="48"/>
      <c r="K26" s="1" t="s">
        <v>26</v>
      </c>
      <c r="L26" s="80"/>
      <c r="M26" s="81"/>
      <c r="N26" s="2">
        <f>T12</f>
        <v>0</v>
      </c>
      <c r="O26" s="65"/>
      <c r="P26" s="65"/>
      <c r="Q26" s="65"/>
      <c r="R26" s="65"/>
      <c r="S26" s="78"/>
      <c r="T26" s="79"/>
    </row>
    <row r="27" spans="1:20" x14ac:dyDescent="0.25">
      <c r="A27" s="1" t="s">
        <v>27</v>
      </c>
      <c r="B27" s="80"/>
      <c r="C27" s="81"/>
      <c r="D27" s="65"/>
      <c r="E27" s="65"/>
      <c r="F27" s="84"/>
      <c r="G27" s="85"/>
      <c r="H27" s="65"/>
      <c r="I27" s="78"/>
      <c r="J27" s="48"/>
      <c r="K27" s="1" t="s">
        <v>28</v>
      </c>
      <c r="L27" s="80"/>
      <c r="M27" s="81"/>
      <c r="N27" s="2">
        <f>G19</f>
        <v>14804.749999999998</v>
      </c>
      <c r="O27" s="65"/>
      <c r="P27" s="65"/>
      <c r="Q27" s="65"/>
      <c r="R27" s="65"/>
      <c r="S27" s="78"/>
      <c r="T27" s="79"/>
    </row>
    <row r="28" spans="1:20" x14ac:dyDescent="0.25">
      <c r="A28" s="86" t="s">
        <v>41</v>
      </c>
      <c r="B28" s="1"/>
      <c r="C28" s="87">
        <v>10567</v>
      </c>
      <c r="D28" s="87"/>
      <c r="E28" s="65"/>
      <c r="F28" s="78"/>
      <c r="G28" s="65"/>
      <c r="H28" s="65"/>
      <c r="I28" s="78"/>
      <c r="J28" s="48"/>
      <c r="K28" s="1" t="s">
        <v>42</v>
      </c>
      <c r="L28" s="63"/>
      <c r="M28" s="65"/>
      <c r="N28" s="65">
        <v>1275</v>
      </c>
      <c r="O28" s="65"/>
      <c r="P28" s="65"/>
      <c r="Q28" s="65"/>
      <c r="R28" s="65"/>
      <c r="S28" s="78"/>
      <c r="T28" s="79"/>
    </row>
    <row r="29" spans="1:20" x14ac:dyDescent="0.25">
      <c r="A29" s="86" t="s">
        <v>43</v>
      </c>
      <c r="B29" s="1"/>
      <c r="C29" s="87">
        <v>2184</v>
      </c>
      <c r="D29" s="87"/>
      <c r="E29" s="65"/>
      <c r="F29" s="78"/>
      <c r="G29" s="65"/>
      <c r="H29" s="65"/>
      <c r="I29" s="91"/>
      <c r="J29" s="3"/>
      <c r="K29" s="86"/>
      <c r="L29" s="1"/>
      <c r="M29" s="87"/>
      <c r="N29" s="87"/>
      <c r="O29" s="87"/>
      <c r="P29" s="65"/>
      <c r="Q29" s="65"/>
      <c r="R29" s="65"/>
      <c r="S29" s="78"/>
      <c r="T29" s="79"/>
    </row>
    <row r="30" spans="1:20" x14ac:dyDescent="0.25">
      <c r="A30" s="1"/>
      <c r="B30" s="80"/>
      <c r="C30" s="4"/>
      <c r="D30" s="65"/>
      <c r="E30" s="65"/>
      <c r="F30" s="65"/>
      <c r="G30" s="65"/>
      <c r="H30" s="65"/>
      <c r="I30" s="65"/>
      <c r="J30" s="48"/>
      <c r="K30" s="63"/>
      <c r="L30" s="63"/>
      <c r="M30" s="65"/>
      <c r="N30" s="65"/>
      <c r="O30" s="65"/>
      <c r="P30" s="65"/>
      <c r="Q30" s="65"/>
      <c r="R30" s="63"/>
      <c r="S30" s="63"/>
      <c r="T30" s="63"/>
    </row>
    <row r="31" spans="1:20" x14ac:dyDescent="0.25">
      <c r="A31" s="1"/>
      <c r="B31" s="80"/>
      <c r="C31" s="1"/>
      <c r="D31" s="2"/>
      <c r="E31" s="2"/>
      <c r="F31" s="2"/>
      <c r="G31" s="2"/>
      <c r="H31" s="2"/>
      <c r="I31" s="2"/>
      <c r="J31" s="3"/>
      <c r="K31" s="1"/>
      <c r="L31" s="1"/>
      <c r="M31" s="2"/>
      <c r="N31" s="2"/>
      <c r="O31" s="2"/>
      <c r="P31" s="65"/>
      <c r="Q31" s="65"/>
      <c r="R31" s="63"/>
      <c r="S31" s="63"/>
      <c r="T31" s="63"/>
    </row>
    <row r="32" spans="1:20" x14ac:dyDescent="0.25">
      <c r="A32" s="1"/>
      <c r="B32" s="80"/>
      <c r="C32" s="1"/>
      <c r="D32" s="2"/>
      <c r="E32" s="2"/>
      <c r="F32" s="2"/>
      <c r="G32" s="2"/>
      <c r="H32" s="2"/>
      <c r="I32" s="2"/>
      <c r="J32" s="3"/>
      <c r="K32" s="1"/>
      <c r="L32" s="80"/>
      <c r="M32" s="81"/>
      <c r="N32" s="2"/>
      <c r="O32" s="2"/>
      <c r="P32" s="65"/>
      <c r="Q32" s="65"/>
      <c r="R32" s="65"/>
      <c r="S32" s="78"/>
      <c r="T32" s="79"/>
    </row>
    <row r="33" spans="1:20" x14ac:dyDescent="0.25">
      <c r="A33" s="92"/>
      <c r="B33" s="92" t="s">
        <v>29</v>
      </c>
      <c r="C33" s="93">
        <f>C26+C27+C28+C29</f>
        <v>19800.645</v>
      </c>
      <c r="D33" s="93"/>
      <c r="E33" s="93"/>
      <c r="F33" s="93"/>
      <c r="G33" s="93"/>
      <c r="H33" s="93"/>
      <c r="I33" s="93"/>
      <c r="J33" s="94"/>
      <c r="K33" s="92"/>
      <c r="L33" s="95"/>
      <c r="M33" s="92" t="s">
        <v>29</v>
      </c>
      <c r="N33" s="93">
        <f>N25+N26+N27+N28+N29</f>
        <v>16285.489999999998</v>
      </c>
      <c r="O33" s="2"/>
      <c r="P33" s="65"/>
      <c r="Q33" s="65"/>
      <c r="R33" s="65"/>
      <c r="S33" s="78"/>
      <c r="T33" s="79"/>
    </row>
    <row r="34" spans="1:20" x14ac:dyDescent="0.25">
      <c r="A34" s="1"/>
      <c r="B34" s="80"/>
      <c r="C34" s="81"/>
      <c r="D34" s="2"/>
      <c r="E34" s="2"/>
      <c r="F34" s="2"/>
      <c r="G34" s="2"/>
      <c r="H34" s="2"/>
      <c r="I34" s="2"/>
      <c r="J34" s="3"/>
      <c r="K34" s="1"/>
      <c r="L34" s="80"/>
      <c r="M34" s="81"/>
      <c r="N34" s="2"/>
      <c r="O34" s="2"/>
      <c r="P34" s="65"/>
      <c r="Q34" s="65"/>
      <c r="R34" s="65"/>
      <c r="S34" s="78"/>
      <c r="T34" s="79"/>
    </row>
    <row r="35" spans="1:20" x14ac:dyDescent="0.25">
      <c r="A35" s="88"/>
      <c r="B35" s="89"/>
      <c r="C35" s="90"/>
      <c r="D35" s="2"/>
      <c r="E35" s="2"/>
      <c r="F35" s="2"/>
      <c r="G35" s="2"/>
      <c r="H35" s="2"/>
      <c r="I35" s="2"/>
      <c r="J35" s="3"/>
      <c r="K35" s="1"/>
      <c r="L35" s="80"/>
      <c r="M35" s="81"/>
      <c r="N35" s="2"/>
      <c r="O35" s="2"/>
      <c r="P35" s="65"/>
      <c r="Q35" s="65"/>
      <c r="R35" s="65"/>
      <c r="S35" s="78"/>
      <c r="T35" s="79"/>
    </row>
    <row r="36" spans="1:20" x14ac:dyDescent="0.25">
      <c r="A36" s="88"/>
      <c r="B36" s="89"/>
      <c r="C36" s="65"/>
      <c r="D36" s="65"/>
      <c r="E36" s="65"/>
      <c r="F36" s="2"/>
      <c r="G36" s="2"/>
      <c r="H36" s="2"/>
      <c r="I36" s="2"/>
      <c r="J36" s="3"/>
      <c r="K36" s="1"/>
      <c r="L36" s="80"/>
      <c r="M36" s="81"/>
      <c r="N36" s="2"/>
      <c r="O36" s="2"/>
      <c r="P36" s="65"/>
      <c r="Q36" s="65"/>
      <c r="R36" s="65"/>
      <c r="S36" s="78"/>
      <c r="T36" s="79"/>
    </row>
    <row r="37" spans="1:20" x14ac:dyDescent="0.25">
      <c r="A37" s="96"/>
      <c r="B37" s="97"/>
      <c r="C37" s="98"/>
      <c r="D37" s="99"/>
      <c r="E37" s="99"/>
      <c r="F37" s="99"/>
      <c r="G37" s="99"/>
      <c r="H37" s="99"/>
      <c r="I37" s="99"/>
      <c r="J37" s="100"/>
      <c r="K37" s="96"/>
      <c r="L37" s="97"/>
      <c r="M37" s="101"/>
      <c r="N37" s="102"/>
      <c r="O37" s="102"/>
      <c r="P37" s="103"/>
      <c r="Q37" s="104"/>
      <c r="R37" s="104"/>
      <c r="S37" s="105"/>
      <c r="T37" s="106"/>
    </row>
    <row r="38" spans="1:20" x14ac:dyDescent="0.25">
      <c r="A38" s="107"/>
      <c r="B38" s="107"/>
      <c r="C38" s="107"/>
      <c r="D38" s="107"/>
      <c r="E38" s="107"/>
      <c r="F38" s="107"/>
      <c r="G38" s="107"/>
      <c r="H38" s="107"/>
      <c r="I38" s="107"/>
      <c r="J38" s="100"/>
      <c r="K38" s="107"/>
      <c r="L38" s="107"/>
      <c r="M38" s="107"/>
      <c r="N38" s="108"/>
      <c r="O38" s="108"/>
      <c r="P38" s="109"/>
      <c r="Q38" s="107"/>
      <c r="R38" s="107"/>
      <c r="S38" s="107"/>
      <c r="T38" s="107"/>
    </row>
    <row r="39" spans="1:20" x14ac:dyDescent="0.25">
      <c r="A39" s="107"/>
      <c r="B39" s="107"/>
      <c r="C39" s="107"/>
      <c r="D39" s="107"/>
      <c r="E39" s="107"/>
      <c r="F39" s="107"/>
      <c r="G39" s="107"/>
      <c r="H39" s="107"/>
      <c r="I39" s="107"/>
      <c r="J39" s="100"/>
      <c r="K39" s="107"/>
      <c r="L39" s="107"/>
      <c r="M39" s="107"/>
      <c r="N39" s="108"/>
      <c r="O39" s="108"/>
      <c r="P39" s="108"/>
      <c r="Q39" s="107"/>
      <c r="R39" s="107"/>
      <c r="S39" s="107"/>
      <c r="T39" s="107"/>
    </row>
    <row r="40" spans="1:20" x14ac:dyDescent="0.25">
      <c r="A40" s="107"/>
      <c r="B40" s="107"/>
      <c r="C40" s="107"/>
      <c r="D40" s="107"/>
      <c r="E40" s="107"/>
      <c r="F40" s="107"/>
      <c r="G40" s="107"/>
      <c r="H40" s="107"/>
      <c r="I40" s="107"/>
      <c r="J40" s="100"/>
      <c r="K40" s="107"/>
      <c r="L40" s="107"/>
      <c r="M40" s="107"/>
      <c r="N40" s="108"/>
      <c r="O40" s="108"/>
      <c r="P40" s="108"/>
      <c r="Q40" s="107"/>
      <c r="R40" s="107"/>
      <c r="S40" s="107"/>
      <c r="T40" s="107"/>
    </row>
    <row r="41" spans="1:20" x14ac:dyDescent="0.25">
      <c r="A41" s="107"/>
      <c r="B41" s="107"/>
      <c r="C41" s="107"/>
      <c r="D41" s="107"/>
      <c r="E41" s="107"/>
      <c r="F41" s="107"/>
      <c r="G41" s="110" t="s">
        <v>44</v>
      </c>
      <c r="H41" s="111"/>
      <c r="I41" s="107"/>
      <c r="J41" s="100"/>
      <c r="K41" s="107"/>
      <c r="L41" s="107"/>
      <c r="M41" s="114"/>
      <c r="N41" s="122"/>
      <c r="O41" s="114"/>
      <c r="P41" s="107"/>
      <c r="Q41" s="107"/>
      <c r="R41" s="107"/>
      <c r="S41" s="107"/>
      <c r="T41" s="107"/>
    </row>
    <row r="42" spans="1:20" x14ac:dyDescent="0.25">
      <c r="A42" s="107"/>
      <c r="B42" s="107"/>
      <c r="C42" s="107"/>
      <c r="D42" s="107"/>
      <c r="E42" s="107"/>
      <c r="F42" s="107"/>
      <c r="G42" s="112" t="s">
        <v>30</v>
      </c>
      <c r="H42" s="113">
        <f>C33-N33</f>
        <v>3515.1550000000025</v>
      </c>
      <c r="I42" s="107"/>
      <c r="J42" s="100"/>
      <c r="K42" s="107"/>
      <c r="L42" s="107"/>
      <c r="M42" s="107"/>
      <c r="N42" s="107"/>
      <c r="O42" s="107"/>
      <c r="P42" s="107"/>
      <c r="Q42" s="107"/>
      <c r="R42" s="107"/>
      <c r="S42" s="107"/>
      <c r="T42" s="107"/>
    </row>
    <row r="43" spans="1:20" x14ac:dyDescent="0.25">
      <c r="A43" s="107"/>
      <c r="B43" s="107"/>
      <c r="C43" s="107"/>
      <c r="D43" s="107"/>
      <c r="E43" s="107"/>
      <c r="F43" s="107"/>
      <c r="G43" s="110"/>
      <c r="H43" s="110"/>
      <c r="I43" s="107"/>
      <c r="J43" s="100"/>
      <c r="K43" s="107"/>
      <c r="L43" s="107"/>
      <c r="M43" s="107"/>
      <c r="N43" s="107"/>
      <c r="O43" s="107"/>
      <c r="P43" s="107"/>
      <c r="Q43" s="107"/>
      <c r="R43" s="107"/>
      <c r="S43" s="107"/>
      <c r="T43" s="107"/>
    </row>
  </sheetData>
  <conditionalFormatting sqref="C1:C6">
    <cfRule type="cellIs" dxfId="514" priority="14" operator="equal">
      <formula>15698.2</formula>
    </cfRule>
  </conditionalFormatting>
  <conditionalFormatting sqref="C28:D29">
    <cfRule type="cellIs" dxfId="513" priority="2" operator="equal">
      <formula>"açık"</formula>
    </cfRule>
    <cfRule type="cellIs" dxfId="512" priority="1" operator="equal">
      <formula>"KAPALI"</formula>
    </cfRule>
  </conditionalFormatting>
  <conditionalFormatting sqref="C28:F29">
    <cfRule type="cellIs" dxfId="511" priority="3" operator="equal">
      <formula>15698.2</formula>
    </cfRule>
  </conditionalFormatting>
  <conditionalFormatting sqref="C36:F36 D37:F37">
    <cfRule type="cellIs" dxfId="510" priority="37" operator="equal">
      <formula>"kapalı"</formula>
    </cfRule>
    <cfRule type="cellIs" dxfId="509" priority="36" operator="equal">
      <formula>15698.2</formula>
    </cfRule>
  </conditionalFormatting>
  <conditionalFormatting sqref="D6 G9:G13">
    <cfRule type="cellIs" dxfId="508" priority="15" operator="equal">
      <formula>"K.KART"</formula>
    </cfRule>
  </conditionalFormatting>
  <conditionalFormatting sqref="D6:D7 F7">
    <cfRule type="cellIs" dxfId="507" priority="13" operator="equal">
      <formula>"kapalı"</formula>
    </cfRule>
  </conditionalFormatting>
  <conditionalFormatting sqref="D8:F9">
    <cfRule type="cellIs" dxfId="506" priority="12" operator="equal">
      <formula>"kapalı"</formula>
    </cfRule>
  </conditionalFormatting>
  <conditionalFormatting sqref="D12:F27">
    <cfRule type="cellIs" dxfId="505" priority="4" operator="equal">
      <formula>"kapalı"</formula>
    </cfRule>
  </conditionalFormatting>
  <conditionalFormatting sqref="D30:F35">
    <cfRule type="cellIs" dxfId="504" priority="19" operator="equal">
      <formula>15698.2</formula>
    </cfRule>
  </conditionalFormatting>
  <conditionalFormatting sqref="D1:H4 D5:E5 G5:H5 G15:G18 G20:G26 G27:H37">
    <cfRule type="cellIs" dxfId="503" priority="44" operator="equal">
      <formula>"K.KART"</formula>
    </cfRule>
  </conditionalFormatting>
  <conditionalFormatting sqref="E7">
    <cfRule type="cellIs" dxfId="502" priority="9" operator="equal">
      <formula>"K.KART"</formula>
    </cfRule>
  </conditionalFormatting>
  <conditionalFormatting sqref="E10:F11">
    <cfRule type="cellIs" dxfId="501" priority="8" operator="equal">
      <formula>"kapalı"</formula>
    </cfRule>
  </conditionalFormatting>
  <conditionalFormatting sqref="E28:F29 D30:F35">
    <cfRule type="cellIs" dxfId="500" priority="20" operator="equal">
      <formula>"kapalı"</formula>
    </cfRule>
  </conditionalFormatting>
  <conditionalFormatting sqref="F5">
    <cfRule type="cellIs" dxfId="499" priority="26" operator="equal">
      <formula>15698.2</formula>
    </cfRule>
    <cfRule type="cellIs" dxfId="498" priority="27" operator="equal">
      <formula>"kapalı"</formula>
    </cfRule>
  </conditionalFormatting>
  <conditionalFormatting sqref="F7">
    <cfRule type="cellIs" dxfId="497" priority="49" operator="equal">
      <formula>"K.KART"</formula>
    </cfRule>
  </conditionalFormatting>
  <conditionalFormatting sqref="F9">
    <cfRule type="cellIs" dxfId="496" priority="50" operator="equal">
      <formula>"K.KART"</formula>
    </cfRule>
  </conditionalFormatting>
  <conditionalFormatting sqref="G6:G8">
    <cfRule type="cellIs" dxfId="495" priority="7" operator="equal">
      <formula>"K.KART"</formula>
    </cfRule>
  </conditionalFormatting>
  <conditionalFormatting sqref="G14">
    <cfRule type="cellIs" dxfId="494" priority="31" operator="equal">
      <formula>"K.KART"</formula>
    </cfRule>
  </conditionalFormatting>
  <conditionalFormatting sqref="H7">
    <cfRule type="cellIs" dxfId="493" priority="10" operator="equal">
      <formula>"K.KART"</formula>
    </cfRule>
  </conditionalFormatting>
  <conditionalFormatting sqref="H20:H24 H26">
    <cfRule type="cellIs" dxfId="492" priority="32" operator="equal">
      <formula>"K.KART"</formula>
    </cfRule>
  </conditionalFormatting>
  <conditionalFormatting sqref="M4:N4">
    <cfRule type="cellIs" dxfId="491" priority="33" operator="equal">
      <formula>15698.2</formula>
    </cfRule>
    <cfRule type="cellIs" dxfId="490" priority="34" operator="equal">
      <formula>"kapalı"</formula>
    </cfRule>
  </conditionalFormatting>
  <conditionalFormatting sqref="M7:N7">
    <cfRule type="cellIs" dxfId="489" priority="38" operator="equal">
      <formula>15698.2</formula>
    </cfRule>
    <cfRule type="cellIs" dxfId="488" priority="39" operator="equal">
      <formula>"kapalı"</formula>
    </cfRule>
  </conditionalFormatting>
  <conditionalFormatting sqref="M1:O3 M8:O8">
    <cfRule type="cellIs" dxfId="487" priority="47" operator="equal">
      <formula>"KAPALI"</formula>
    </cfRule>
    <cfRule type="cellIs" dxfId="486" priority="48" operator="equal">
      <formula>"açık"</formula>
    </cfRule>
  </conditionalFormatting>
  <conditionalFormatting sqref="M1:O3 N7:O37 M8 M23:M32 M34:M36">
    <cfRule type="cellIs" dxfId="485" priority="45" operator="equal">
      <formula>15698.2</formula>
    </cfRule>
  </conditionalFormatting>
  <conditionalFormatting sqref="M5:O6">
    <cfRule type="cellIs" dxfId="484" priority="16" operator="equal">
      <formula>"KAPALI"</formula>
    </cfRule>
    <cfRule type="cellIs" dxfId="483" priority="18" operator="equal">
      <formula>15698.2</formula>
    </cfRule>
    <cfRule type="cellIs" dxfId="482" priority="17" operator="equal">
      <formula>"açık"</formula>
    </cfRule>
  </conditionalFormatting>
  <conditionalFormatting sqref="M23:O32 N33:O33 M34:O34 M35:M36">
    <cfRule type="cellIs" dxfId="481" priority="42" operator="equal">
      <formula>"KAPALI"</formula>
    </cfRule>
    <cfRule type="cellIs" dxfId="480" priority="43" operator="equal">
      <formula>"açık"</formula>
    </cfRule>
  </conditionalFormatting>
  <conditionalFormatting sqref="N6:O24 O25:O26">
    <cfRule type="cellIs" dxfId="479" priority="41" operator="equal">
      <formula>"kapalı"</formula>
    </cfRule>
  </conditionalFormatting>
  <conditionalFormatting sqref="N35:O37">
    <cfRule type="cellIs" dxfId="478" priority="22" operator="equal">
      <formula>"açık"</formula>
    </cfRule>
    <cfRule type="cellIs" dxfId="477" priority="21" operator="equal">
      <formula>"KAPALI"</formula>
    </cfRule>
  </conditionalFormatting>
  <conditionalFormatting sqref="O7 Q7:S7">
    <cfRule type="cellIs" dxfId="476" priority="40" operator="equal">
      <formula>"K.KART"</formula>
    </cfRule>
  </conditionalFormatting>
  <conditionalFormatting sqref="O4:T4">
    <cfRule type="cellIs" dxfId="475" priority="35" operator="equal">
      <formula>"K.KART"</formula>
    </cfRule>
  </conditionalFormatting>
  <conditionalFormatting sqref="P6:P13 C33">
    <cfRule type="cellIs" dxfId="474" priority="30" operator="equal">
      <formula>"kapalı"</formula>
    </cfRule>
    <cfRule type="cellIs" dxfId="473" priority="29" operator="equal">
      <formula>15698.2</formula>
    </cfRule>
  </conditionalFormatting>
  <conditionalFormatting sqref="P1:Q3 P5 P11:P37">
    <cfRule type="cellIs" dxfId="472" priority="46" operator="equal">
      <formula>"K.KART"</formula>
    </cfRule>
  </conditionalFormatting>
  <conditionalFormatting sqref="Q6:Q37 C36:E36">
    <cfRule type="cellIs" dxfId="471" priority="28" operator="equal">
      <formula>"K.KART"</formula>
    </cfRule>
  </conditionalFormatting>
  <pageMargins left="0.7" right="0.7" top="0.75" bottom="0.75" header="0.3" footer="0.3"/>
  <pageSetup paperSize="9" scale="57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E4E7-DC48-4568-BAA4-95FE37B3360E}">
  <dimension ref="A1:T48"/>
  <sheetViews>
    <sheetView workbookViewId="0">
      <selection activeCell="C21" sqref="C21"/>
    </sheetView>
  </sheetViews>
  <sheetFormatPr defaultRowHeight="15" x14ac:dyDescent="0.25"/>
  <cols>
    <col min="1" max="1" width="17.85546875" customWidth="1"/>
    <col min="2" max="2" width="12" customWidth="1"/>
    <col min="3" max="3" width="13.5703125" customWidth="1"/>
    <col min="6" max="6" width="11.28515625" customWidth="1"/>
    <col min="7" max="7" width="12.85546875" customWidth="1"/>
    <col min="8" max="8" width="11.7109375" customWidth="1"/>
    <col min="10" max="10" width="2.140625" customWidth="1"/>
    <col min="11" max="11" width="17.5703125" customWidth="1"/>
    <col min="12" max="12" width="11.42578125" customWidth="1"/>
    <col min="14" max="14" width="11.28515625" customWidth="1"/>
    <col min="17" max="17" width="11.5703125" customWidth="1"/>
    <col min="18" max="18" width="11" customWidth="1"/>
  </cols>
  <sheetData>
    <row r="1" spans="1:20" x14ac:dyDescent="0.25">
      <c r="A1" s="1"/>
      <c r="B1" s="1"/>
      <c r="C1" s="2"/>
      <c r="D1" s="2"/>
      <c r="E1" s="2"/>
      <c r="F1" s="2"/>
      <c r="G1" s="2"/>
      <c r="H1" s="2"/>
      <c r="I1" s="2"/>
      <c r="J1" s="3"/>
      <c r="K1" s="1"/>
      <c r="L1" s="1"/>
      <c r="M1" s="2"/>
      <c r="N1" s="2"/>
      <c r="O1" s="2"/>
      <c r="P1" s="2"/>
      <c r="Q1" s="2"/>
      <c r="R1" s="2"/>
      <c r="S1" s="4"/>
      <c r="T1" s="5"/>
    </row>
    <row r="2" spans="1:20" x14ac:dyDescent="0.25">
      <c r="A2" s="6" t="s">
        <v>0</v>
      </c>
      <c r="B2" s="6"/>
      <c r="C2" s="7"/>
      <c r="D2" s="7"/>
      <c r="E2" s="7"/>
      <c r="F2" s="7"/>
      <c r="G2" s="7"/>
      <c r="H2" s="7"/>
      <c r="I2" s="7"/>
      <c r="J2" s="3"/>
      <c r="K2" s="6" t="s">
        <v>1</v>
      </c>
      <c r="L2" s="6"/>
      <c r="M2" s="7"/>
      <c r="N2" s="7"/>
      <c r="O2" s="7"/>
      <c r="P2" s="7"/>
      <c r="Q2" s="7"/>
      <c r="R2" s="7"/>
      <c r="S2" s="8"/>
      <c r="T2" s="9"/>
    </row>
    <row r="3" spans="1:20" x14ac:dyDescent="0.25">
      <c r="A3" s="10" t="s">
        <v>45</v>
      </c>
      <c r="B3" s="10">
        <v>2025</v>
      </c>
      <c r="C3" s="11"/>
      <c r="D3" s="11"/>
      <c r="E3" s="11"/>
      <c r="F3" s="11"/>
      <c r="G3" s="11"/>
      <c r="H3" s="11"/>
      <c r="I3" s="11"/>
      <c r="J3" s="12"/>
      <c r="K3" s="10" t="s">
        <v>45</v>
      </c>
      <c r="L3" s="10">
        <v>2025</v>
      </c>
      <c r="M3" s="11"/>
      <c r="N3" s="11"/>
      <c r="O3" s="11"/>
      <c r="P3" s="11"/>
      <c r="Q3" s="11"/>
      <c r="R3" s="11"/>
      <c r="S3" s="13"/>
      <c r="T3" s="14"/>
    </row>
    <row r="4" spans="1:20" ht="38.25" x14ac:dyDescent="0.25">
      <c r="A4" s="15" t="s">
        <v>2</v>
      </c>
      <c r="B4" s="15" t="s">
        <v>3</v>
      </c>
      <c r="C4" s="16" t="s">
        <v>4</v>
      </c>
      <c r="D4" s="16" t="s">
        <v>5</v>
      </c>
      <c r="E4" s="16" t="s">
        <v>6</v>
      </c>
      <c r="F4" s="17" t="s">
        <v>7</v>
      </c>
      <c r="G4" s="16" t="s">
        <v>8</v>
      </c>
      <c r="H4" s="16" t="s">
        <v>9</v>
      </c>
      <c r="I4" s="18" t="s">
        <v>10</v>
      </c>
      <c r="J4" s="19"/>
      <c r="K4" s="15" t="s">
        <v>2</v>
      </c>
      <c r="L4" s="15" t="s">
        <v>3</v>
      </c>
      <c r="M4" s="16" t="s">
        <v>4</v>
      </c>
      <c r="N4" s="16" t="s">
        <v>11</v>
      </c>
      <c r="O4" s="16" t="s">
        <v>5</v>
      </c>
      <c r="P4" s="16" t="s">
        <v>6</v>
      </c>
      <c r="Q4" s="16" t="s">
        <v>7</v>
      </c>
      <c r="R4" s="16" t="s">
        <v>8</v>
      </c>
      <c r="S4" s="18" t="s">
        <v>9</v>
      </c>
      <c r="T4" s="18" t="s">
        <v>12</v>
      </c>
    </row>
    <row r="5" spans="1:20" x14ac:dyDescent="0.25">
      <c r="A5" s="20" t="s">
        <v>13</v>
      </c>
      <c r="B5" s="20"/>
      <c r="C5" s="21"/>
      <c r="D5" s="21"/>
      <c r="E5" s="21"/>
      <c r="F5" s="22">
        <v>3515.16</v>
      </c>
      <c r="G5" s="23"/>
      <c r="H5" s="21"/>
      <c r="I5" s="24"/>
      <c r="J5" s="25"/>
      <c r="K5" s="26" t="s">
        <v>13</v>
      </c>
      <c r="L5" s="20"/>
      <c r="M5" s="21"/>
      <c r="N5" s="21"/>
      <c r="O5" s="21"/>
      <c r="P5" s="21"/>
      <c r="Q5" s="21"/>
      <c r="R5" s="21"/>
      <c r="S5" s="27"/>
      <c r="T5" s="28"/>
    </row>
    <row r="6" spans="1:20" x14ac:dyDescent="0.25">
      <c r="A6" s="29" t="s">
        <v>18</v>
      </c>
      <c r="B6" s="34">
        <v>45553</v>
      </c>
      <c r="C6" s="30">
        <v>513619668</v>
      </c>
      <c r="D6" s="35" t="s">
        <v>15</v>
      </c>
      <c r="E6" s="38" t="s">
        <v>46</v>
      </c>
      <c r="F6" s="39">
        <v>22510.04</v>
      </c>
      <c r="G6" s="40">
        <v>3751.75</v>
      </c>
      <c r="H6" s="123"/>
      <c r="I6" s="124"/>
      <c r="J6" s="25"/>
      <c r="K6" s="42" t="s">
        <v>47</v>
      </c>
      <c r="L6" s="34">
        <v>45715</v>
      </c>
      <c r="M6" s="30">
        <v>1089522425</v>
      </c>
      <c r="N6" s="35" t="s">
        <v>48</v>
      </c>
      <c r="O6" s="35" t="s">
        <v>35</v>
      </c>
      <c r="P6" s="125" t="s">
        <v>17</v>
      </c>
      <c r="Q6" s="43">
        <v>7847</v>
      </c>
      <c r="R6" s="35">
        <v>7211.88</v>
      </c>
      <c r="S6" s="44">
        <v>721.1</v>
      </c>
      <c r="T6" s="37">
        <v>360.55</v>
      </c>
    </row>
    <row r="7" spans="1:20" x14ac:dyDescent="0.25">
      <c r="A7" s="29" t="s">
        <v>19</v>
      </c>
      <c r="B7" s="34">
        <v>45565</v>
      </c>
      <c r="C7" s="45">
        <v>506820204</v>
      </c>
      <c r="D7" s="35" t="s">
        <v>20</v>
      </c>
      <c r="E7" s="46" t="s">
        <v>46</v>
      </c>
      <c r="F7" s="32">
        <v>17633.13</v>
      </c>
      <c r="G7" s="40">
        <v>2938.93</v>
      </c>
      <c r="H7" s="123"/>
      <c r="I7" s="124"/>
      <c r="J7" s="25"/>
      <c r="K7" s="126"/>
      <c r="L7" s="127"/>
      <c r="M7" s="123"/>
      <c r="N7" s="123"/>
      <c r="O7" s="123"/>
      <c r="P7" s="123"/>
      <c r="Q7" s="123"/>
      <c r="R7" s="123"/>
      <c r="S7" s="128"/>
      <c r="T7" s="28"/>
    </row>
    <row r="8" spans="1:20" x14ac:dyDescent="0.25">
      <c r="A8" s="29" t="s">
        <v>14</v>
      </c>
      <c r="B8" s="34">
        <v>45600</v>
      </c>
      <c r="C8" s="30">
        <v>523532178</v>
      </c>
      <c r="D8" s="35" t="s">
        <v>15</v>
      </c>
      <c r="E8" s="50" t="s">
        <v>49</v>
      </c>
      <c r="F8" s="32">
        <v>15695.41</v>
      </c>
      <c r="G8" s="40">
        <v>2615.96</v>
      </c>
      <c r="H8" s="123"/>
      <c r="I8" s="124"/>
      <c r="J8" s="25"/>
      <c r="K8" s="126"/>
      <c r="L8" s="127"/>
      <c r="M8" s="123"/>
      <c r="N8" s="123"/>
      <c r="O8" s="123"/>
      <c r="P8" s="123"/>
      <c r="Q8" s="123"/>
      <c r="R8" s="123"/>
      <c r="S8" s="128"/>
      <c r="T8" s="28"/>
    </row>
    <row r="9" spans="1:20" x14ac:dyDescent="0.25">
      <c r="A9" s="29" t="s">
        <v>22</v>
      </c>
      <c r="B9" s="34">
        <v>45631</v>
      </c>
      <c r="C9" s="30">
        <v>529806844</v>
      </c>
      <c r="D9" s="35" t="s">
        <v>15</v>
      </c>
      <c r="E9" s="50" t="s">
        <v>33</v>
      </c>
      <c r="F9" s="32">
        <v>10955.95</v>
      </c>
      <c r="G9" s="40">
        <v>1826.05</v>
      </c>
      <c r="H9" s="123"/>
      <c r="I9" s="124"/>
      <c r="J9" s="25"/>
      <c r="K9" s="126"/>
      <c r="L9" s="127"/>
      <c r="M9" s="123"/>
      <c r="N9" s="123"/>
      <c r="O9" s="123"/>
      <c r="P9" s="123"/>
      <c r="Q9" s="123"/>
      <c r="R9" s="123"/>
      <c r="S9" s="128"/>
      <c r="T9" s="28"/>
    </row>
    <row r="10" spans="1:20" x14ac:dyDescent="0.25">
      <c r="A10" s="29" t="s">
        <v>36</v>
      </c>
      <c r="B10" s="34">
        <v>45679</v>
      </c>
      <c r="C10" s="30">
        <v>543824363</v>
      </c>
      <c r="D10" s="35" t="s">
        <v>15</v>
      </c>
      <c r="E10" s="50" t="s">
        <v>21</v>
      </c>
      <c r="F10" s="32">
        <v>22032.36</v>
      </c>
      <c r="G10" s="116">
        <f>F10/6</f>
        <v>3672.06</v>
      </c>
      <c r="H10" s="123"/>
      <c r="I10" s="124"/>
      <c r="J10" s="25"/>
      <c r="K10" s="126"/>
      <c r="L10" s="127"/>
      <c r="M10" s="123"/>
      <c r="N10" s="123"/>
      <c r="O10" s="123"/>
      <c r="P10" s="123"/>
      <c r="Q10" s="123"/>
      <c r="R10" s="123"/>
      <c r="S10" s="128"/>
      <c r="T10" s="28"/>
    </row>
    <row r="11" spans="1:20" x14ac:dyDescent="0.25">
      <c r="A11" s="29" t="s">
        <v>22</v>
      </c>
      <c r="B11" s="34">
        <v>45696</v>
      </c>
      <c r="C11" s="30">
        <v>5921527</v>
      </c>
      <c r="D11" s="35" t="s">
        <v>39</v>
      </c>
      <c r="E11" s="125" t="s">
        <v>17</v>
      </c>
      <c r="F11" s="39">
        <v>11774.98</v>
      </c>
      <c r="G11" s="40"/>
      <c r="H11" s="41">
        <v>1530.75</v>
      </c>
      <c r="I11" s="33">
        <f>H11/2</f>
        <v>765.375</v>
      </c>
      <c r="J11" s="3"/>
      <c r="K11" s="42"/>
      <c r="L11" s="34"/>
      <c r="M11" s="30"/>
      <c r="N11" s="35"/>
      <c r="O11" s="35"/>
      <c r="P11" s="129"/>
      <c r="Q11" s="35"/>
      <c r="R11" s="35"/>
      <c r="S11" s="44"/>
      <c r="T11" s="28"/>
    </row>
    <row r="12" spans="1:20" x14ac:dyDescent="0.25">
      <c r="A12" s="29" t="s">
        <v>50</v>
      </c>
      <c r="B12" s="34">
        <v>45706</v>
      </c>
      <c r="C12" s="45">
        <v>549954215</v>
      </c>
      <c r="D12" s="35" t="s">
        <v>15</v>
      </c>
      <c r="E12" s="125" t="s">
        <v>17</v>
      </c>
      <c r="F12" s="32">
        <v>24538.37</v>
      </c>
      <c r="G12" s="40"/>
      <c r="H12" s="47">
        <v>3037.97</v>
      </c>
      <c r="I12" s="33">
        <f t="shared" ref="I12:I23" si="0">H12/2</f>
        <v>1518.9849999999999</v>
      </c>
      <c r="J12" s="48"/>
      <c r="K12" s="49"/>
      <c r="L12" s="34"/>
      <c r="M12" s="30"/>
      <c r="N12" s="35"/>
      <c r="O12" s="35"/>
      <c r="P12" s="35"/>
      <c r="Q12" s="35"/>
      <c r="R12" s="35"/>
      <c r="S12" s="36"/>
      <c r="T12" s="28"/>
    </row>
    <row r="13" spans="1:20" x14ac:dyDescent="0.25">
      <c r="A13" s="29" t="s">
        <v>51</v>
      </c>
      <c r="B13" s="34">
        <v>45711</v>
      </c>
      <c r="C13" s="30">
        <v>550993538</v>
      </c>
      <c r="D13" s="35" t="s">
        <v>15</v>
      </c>
      <c r="E13" s="125" t="s">
        <v>17</v>
      </c>
      <c r="F13" s="32">
        <v>23423.45</v>
      </c>
      <c r="G13" s="40"/>
      <c r="H13" s="41">
        <v>2900.04</v>
      </c>
      <c r="I13" s="33">
        <f t="shared" si="0"/>
        <v>1450.02</v>
      </c>
      <c r="J13" s="48"/>
      <c r="K13" s="49"/>
      <c r="L13" s="34"/>
      <c r="M13" s="30"/>
      <c r="N13" s="35"/>
      <c r="O13" s="35"/>
      <c r="P13" s="35"/>
      <c r="Q13" s="35"/>
      <c r="R13" s="35"/>
      <c r="S13" s="36"/>
      <c r="T13" s="28"/>
    </row>
    <row r="14" spans="1:20" x14ac:dyDescent="0.25">
      <c r="A14" s="29" t="s">
        <v>51</v>
      </c>
      <c r="B14" s="34">
        <v>45712</v>
      </c>
      <c r="C14" s="30">
        <v>551019077</v>
      </c>
      <c r="D14" s="35" t="s">
        <v>35</v>
      </c>
      <c r="E14" s="125" t="s">
        <v>17</v>
      </c>
      <c r="F14" s="32">
        <v>19561.16</v>
      </c>
      <c r="G14" s="40"/>
      <c r="H14" s="41">
        <v>2934.15</v>
      </c>
      <c r="I14" s="33">
        <f t="shared" si="0"/>
        <v>1467.075</v>
      </c>
      <c r="J14" s="48"/>
      <c r="K14" s="49"/>
      <c r="L14" s="34"/>
      <c r="M14" s="30"/>
      <c r="N14" s="35"/>
      <c r="O14" s="35"/>
      <c r="P14" s="35"/>
      <c r="Q14" s="35"/>
      <c r="R14" s="35"/>
      <c r="S14" s="36"/>
      <c r="T14" s="28"/>
    </row>
    <row r="15" spans="1:20" x14ac:dyDescent="0.25">
      <c r="A15" s="29"/>
      <c r="B15" s="34"/>
      <c r="C15" s="30"/>
      <c r="D15" s="31"/>
      <c r="E15" s="35"/>
      <c r="F15" s="32"/>
      <c r="G15" s="116"/>
      <c r="H15" s="41"/>
      <c r="I15" s="33">
        <f t="shared" si="0"/>
        <v>0</v>
      </c>
      <c r="J15" s="48"/>
      <c r="K15" s="49"/>
      <c r="L15" s="34"/>
      <c r="M15" s="30"/>
      <c r="N15" s="35"/>
      <c r="O15" s="35"/>
      <c r="P15" s="35"/>
      <c r="Q15" s="35"/>
      <c r="R15" s="35"/>
      <c r="S15" s="36"/>
      <c r="T15" s="28"/>
    </row>
    <row r="16" spans="1:20" x14ac:dyDescent="0.25">
      <c r="A16" s="29"/>
      <c r="B16" s="34"/>
      <c r="C16" s="30"/>
      <c r="D16" s="31"/>
      <c r="E16" s="35"/>
      <c r="F16" s="32"/>
      <c r="G16" s="116"/>
      <c r="H16" s="41"/>
      <c r="I16" s="33">
        <f t="shared" si="0"/>
        <v>0</v>
      </c>
      <c r="J16" s="48"/>
      <c r="K16" s="49"/>
      <c r="L16" s="30"/>
      <c r="M16" s="30"/>
      <c r="N16" s="35"/>
      <c r="O16" s="35"/>
      <c r="P16" s="35"/>
      <c r="Q16" s="35"/>
      <c r="R16" s="35"/>
      <c r="S16" s="36"/>
      <c r="T16" s="51"/>
    </row>
    <row r="17" spans="1:20" x14ac:dyDescent="0.25">
      <c r="A17" s="29"/>
      <c r="B17" s="34"/>
      <c r="C17" s="30"/>
      <c r="D17" s="35"/>
      <c r="E17" s="35"/>
      <c r="F17" s="32"/>
      <c r="G17" s="116"/>
      <c r="H17" s="41"/>
      <c r="I17" s="33">
        <f t="shared" si="0"/>
        <v>0</v>
      </c>
      <c r="J17" s="48"/>
      <c r="K17" s="49"/>
      <c r="L17" s="30"/>
      <c r="M17" s="30"/>
      <c r="N17" s="35"/>
      <c r="O17" s="35"/>
      <c r="P17" s="35" t="s">
        <v>23</v>
      </c>
      <c r="Q17" s="35"/>
      <c r="R17" s="35" t="s">
        <v>16</v>
      </c>
      <c r="S17" s="52"/>
      <c r="T17" s="53">
        <f>T6+T7+T8+T9+T10+T11+T12+T13+T14+T15+T16</f>
        <v>360.55</v>
      </c>
    </row>
    <row r="18" spans="1:20" x14ac:dyDescent="0.25">
      <c r="A18" s="29"/>
      <c r="B18" s="34"/>
      <c r="C18" s="30"/>
      <c r="D18" s="35"/>
      <c r="E18" s="35"/>
      <c r="F18" s="32"/>
      <c r="G18" s="116"/>
      <c r="H18" s="41"/>
      <c r="I18" s="33">
        <f t="shared" si="0"/>
        <v>0</v>
      </c>
      <c r="J18" s="48"/>
      <c r="K18" s="49"/>
      <c r="L18" s="30"/>
      <c r="M18" s="30"/>
      <c r="N18" s="35"/>
      <c r="O18" s="35"/>
      <c r="P18" s="35"/>
      <c r="Q18" s="35"/>
      <c r="R18" s="35"/>
      <c r="S18" s="52"/>
      <c r="T18" s="54"/>
    </row>
    <row r="19" spans="1:20" x14ac:dyDescent="0.25">
      <c r="A19" s="29"/>
      <c r="B19" s="34"/>
      <c r="C19" s="30"/>
      <c r="D19" s="35"/>
      <c r="E19" s="35"/>
      <c r="F19" s="32"/>
      <c r="G19" s="116"/>
      <c r="H19" s="41"/>
      <c r="I19" s="33">
        <f t="shared" si="0"/>
        <v>0</v>
      </c>
      <c r="J19" s="48"/>
      <c r="K19" s="49"/>
      <c r="L19" s="30"/>
      <c r="M19" s="30"/>
      <c r="N19" s="35"/>
      <c r="O19" s="35"/>
      <c r="P19" s="35"/>
      <c r="Q19" s="35"/>
      <c r="R19" s="35"/>
      <c r="S19" s="52"/>
      <c r="T19" s="54"/>
    </row>
    <row r="20" spans="1:20" x14ac:dyDescent="0.25">
      <c r="A20" s="30"/>
      <c r="B20" s="34"/>
      <c r="C20" s="30"/>
      <c r="D20" s="35"/>
      <c r="E20" s="35"/>
      <c r="F20" s="32"/>
      <c r="G20" s="116"/>
      <c r="H20" s="55"/>
      <c r="I20" s="33">
        <f t="shared" si="0"/>
        <v>0</v>
      </c>
      <c r="J20" s="48"/>
      <c r="K20" s="49"/>
      <c r="L20" s="30"/>
      <c r="M20" s="30"/>
      <c r="N20" s="35"/>
      <c r="O20" s="35"/>
      <c r="P20" s="35"/>
      <c r="Q20" s="35"/>
      <c r="R20" s="35"/>
      <c r="S20" s="52"/>
      <c r="T20" s="54"/>
    </row>
    <row r="21" spans="1:20" x14ac:dyDescent="0.25">
      <c r="A21" s="30"/>
      <c r="B21" s="34"/>
      <c r="C21" s="30"/>
      <c r="D21" s="35"/>
      <c r="E21" s="35"/>
      <c r="F21" s="32"/>
      <c r="G21" s="116"/>
      <c r="H21" s="55"/>
      <c r="I21" s="33">
        <f t="shared" si="0"/>
        <v>0</v>
      </c>
      <c r="J21" s="48"/>
      <c r="K21" s="49"/>
      <c r="L21" s="30"/>
      <c r="M21" s="30"/>
      <c r="N21" s="35"/>
      <c r="O21" s="35"/>
      <c r="P21" s="35"/>
      <c r="Q21" s="35"/>
      <c r="R21" s="35"/>
      <c r="S21" s="52"/>
      <c r="T21" s="54"/>
    </row>
    <row r="22" spans="1:20" x14ac:dyDescent="0.25">
      <c r="A22" s="30"/>
      <c r="B22" s="34"/>
      <c r="C22" s="30"/>
      <c r="D22" s="35"/>
      <c r="E22" s="35"/>
      <c r="F22" s="32"/>
      <c r="G22" s="116"/>
      <c r="H22" s="55"/>
      <c r="I22" s="33">
        <f t="shared" si="0"/>
        <v>0</v>
      </c>
      <c r="J22" s="48"/>
      <c r="K22" s="56"/>
      <c r="L22" s="57"/>
      <c r="M22" s="58"/>
      <c r="N22" s="59"/>
      <c r="O22" s="59"/>
      <c r="P22" s="59"/>
      <c r="Q22" s="59"/>
      <c r="R22" s="59"/>
      <c r="S22" s="60"/>
      <c r="T22" s="61"/>
    </row>
    <row r="23" spans="1:20" x14ac:dyDescent="0.25">
      <c r="A23" s="30"/>
      <c r="B23" s="34"/>
      <c r="C23" s="30"/>
      <c r="D23" s="35"/>
      <c r="E23" s="35"/>
      <c r="F23" s="62"/>
      <c r="G23" s="116"/>
      <c r="H23" s="55"/>
      <c r="I23" s="33">
        <f t="shared" si="0"/>
        <v>0</v>
      </c>
      <c r="J23" s="48"/>
      <c r="K23" s="56"/>
      <c r="L23" s="57"/>
      <c r="M23" s="58"/>
      <c r="N23" s="59"/>
      <c r="O23" s="59"/>
      <c r="P23" s="59"/>
      <c r="Q23" s="59"/>
      <c r="R23" s="59"/>
      <c r="S23" s="60"/>
      <c r="T23" s="61"/>
    </row>
    <row r="24" spans="1:20" x14ac:dyDescent="0.25">
      <c r="A24" s="30"/>
      <c r="B24" s="34"/>
      <c r="C24" s="30"/>
      <c r="D24" s="35"/>
      <c r="E24" s="35" t="s">
        <v>23</v>
      </c>
      <c r="F24" s="117">
        <f>SUM(F6:F19)</f>
        <v>168124.85</v>
      </c>
      <c r="G24" s="116">
        <f>G6+G7+G8+G9+G10</f>
        <v>14804.749999999998</v>
      </c>
      <c r="H24" s="130">
        <f>H11+H12+H13+H14</f>
        <v>10402.91</v>
      </c>
      <c r="I24" s="119">
        <f>I11+I12+I13+I14</f>
        <v>5201.4549999999999</v>
      </c>
      <c r="J24" s="48"/>
      <c r="K24" s="49"/>
      <c r="L24" s="30"/>
      <c r="M24" s="30"/>
      <c r="N24" s="35"/>
      <c r="O24" s="35"/>
      <c r="P24" s="35"/>
      <c r="Q24" s="35"/>
      <c r="R24" s="35"/>
      <c r="S24" s="52"/>
      <c r="T24" s="54"/>
    </row>
    <row r="25" spans="1:20" x14ac:dyDescent="0.25">
      <c r="A25" s="63"/>
      <c r="B25" s="64"/>
      <c r="C25" s="63"/>
      <c r="D25" s="65"/>
      <c r="E25" s="65"/>
      <c r="F25" s="66"/>
      <c r="G25" s="67"/>
      <c r="H25" s="68"/>
      <c r="I25" s="69"/>
      <c r="J25" s="48"/>
      <c r="K25" s="49"/>
      <c r="L25" s="30"/>
      <c r="M25" s="30"/>
      <c r="N25" s="35"/>
      <c r="O25" s="35"/>
      <c r="P25" s="35"/>
      <c r="Q25" s="35"/>
      <c r="R25" s="35"/>
      <c r="S25" s="52"/>
      <c r="T25" s="70"/>
    </row>
    <row r="26" spans="1:20" x14ac:dyDescent="0.25">
      <c r="A26" s="63"/>
      <c r="B26" s="64"/>
      <c r="C26" s="63"/>
      <c r="D26" s="65"/>
      <c r="E26" s="65"/>
      <c r="F26" s="66"/>
      <c r="G26" s="67"/>
      <c r="H26" s="71"/>
      <c r="I26" s="69"/>
      <c r="J26" s="48"/>
      <c r="K26" s="49"/>
      <c r="L26" s="30"/>
      <c r="M26" s="30"/>
      <c r="N26" s="35"/>
      <c r="O26" s="35"/>
      <c r="P26" s="35"/>
      <c r="Q26" s="35"/>
      <c r="R26" s="35"/>
      <c r="S26" s="52"/>
      <c r="T26" s="70"/>
    </row>
    <row r="27" spans="1:20" x14ac:dyDescent="0.25">
      <c r="A27" s="63"/>
      <c r="B27" s="64"/>
      <c r="C27" s="63"/>
      <c r="D27" s="65"/>
      <c r="E27" s="65"/>
      <c r="F27" s="66"/>
      <c r="G27" s="67"/>
      <c r="H27" s="71"/>
      <c r="I27" s="69"/>
      <c r="J27" s="48"/>
      <c r="K27" s="49"/>
      <c r="L27" s="30"/>
      <c r="M27" s="30"/>
      <c r="N27" s="35"/>
      <c r="O27" s="35"/>
      <c r="P27" s="35"/>
      <c r="Q27" s="35"/>
      <c r="R27" s="35"/>
      <c r="S27" s="52"/>
      <c r="T27" s="70"/>
    </row>
    <row r="28" spans="1:20" x14ac:dyDescent="0.25">
      <c r="A28" s="63"/>
      <c r="B28" s="64"/>
      <c r="C28" s="63"/>
      <c r="D28" s="65"/>
      <c r="E28" s="65"/>
      <c r="F28" s="66"/>
      <c r="G28" s="67"/>
      <c r="H28" s="71"/>
      <c r="I28" s="69"/>
      <c r="J28" s="48"/>
      <c r="K28" s="49"/>
      <c r="L28" s="30"/>
      <c r="M28" s="35"/>
      <c r="N28" s="35"/>
      <c r="O28" s="35"/>
      <c r="P28" s="35"/>
      <c r="Q28" s="35"/>
      <c r="R28" s="35"/>
      <c r="S28" s="52"/>
      <c r="T28" s="70"/>
    </row>
    <row r="29" spans="1:20" x14ac:dyDescent="0.25">
      <c r="A29" s="63"/>
      <c r="B29" s="64"/>
      <c r="C29" s="63"/>
      <c r="D29" s="65"/>
      <c r="E29" s="65"/>
      <c r="F29" s="66"/>
      <c r="G29" s="67"/>
      <c r="H29" s="71"/>
      <c r="I29" s="69"/>
      <c r="J29" s="48"/>
      <c r="K29" s="49"/>
      <c r="L29" s="30"/>
      <c r="M29" s="35"/>
      <c r="N29" s="35"/>
      <c r="O29" s="35"/>
      <c r="P29" s="35"/>
      <c r="Q29" s="35"/>
      <c r="R29" s="35"/>
      <c r="S29" s="52"/>
      <c r="T29" s="70"/>
    </row>
    <row r="30" spans="1:20" x14ac:dyDescent="0.25">
      <c r="A30" s="72" t="s">
        <v>24</v>
      </c>
      <c r="B30" s="73"/>
      <c r="C30" s="74">
        <f>F5</f>
        <v>3515.16</v>
      </c>
      <c r="D30" s="2"/>
      <c r="E30" s="2"/>
      <c r="F30" s="66"/>
      <c r="G30" s="75"/>
      <c r="H30" s="76"/>
      <c r="I30" s="69"/>
      <c r="J30" s="48"/>
      <c r="K30" s="72" t="s">
        <v>24</v>
      </c>
      <c r="L30" s="73"/>
      <c r="M30" s="74"/>
      <c r="N30" s="77">
        <f>Q5</f>
        <v>0</v>
      </c>
      <c r="O30" s="65"/>
      <c r="P30" s="65"/>
      <c r="Q30" s="65"/>
      <c r="R30" s="65"/>
      <c r="S30" s="78"/>
      <c r="T30" s="79"/>
    </row>
    <row r="31" spans="1:20" x14ac:dyDescent="0.25">
      <c r="A31" s="1" t="s">
        <v>25</v>
      </c>
      <c r="B31" s="80"/>
      <c r="C31" s="81">
        <f>I24</f>
        <v>5201.4549999999999</v>
      </c>
      <c r="D31" s="2"/>
      <c r="E31" s="2"/>
      <c r="F31" s="66"/>
      <c r="G31" s="67"/>
      <c r="H31" s="82"/>
      <c r="I31" s="83"/>
      <c r="J31" s="48"/>
      <c r="K31" s="1" t="s">
        <v>26</v>
      </c>
      <c r="L31" s="80"/>
      <c r="M31" s="81"/>
      <c r="N31" s="2">
        <f>T17</f>
        <v>360.55</v>
      </c>
      <c r="O31" s="65"/>
      <c r="P31" s="65"/>
      <c r="Q31" s="65"/>
      <c r="R31" s="65"/>
      <c r="S31" s="78"/>
      <c r="T31" s="79"/>
    </row>
    <row r="32" spans="1:20" x14ac:dyDescent="0.25">
      <c r="A32" s="1" t="s">
        <v>27</v>
      </c>
      <c r="B32" s="80"/>
      <c r="C32" s="81"/>
      <c r="D32" s="65"/>
      <c r="E32" s="65"/>
      <c r="F32" s="84"/>
      <c r="G32" s="85"/>
      <c r="H32" s="65"/>
      <c r="I32" s="78"/>
      <c r="J32" s="48"/>
      <c r="K32" s="1" t="s">
        <v>28</v>
      </c>
      <c r="L32" s="80"/>
      <c r="M32" s="81"/>
      <c r="N32" s="2">
        <f>G6+G7+G8+G9+G10</f>
        <v>14804.749999999998</v>
      </c>
      <c r="O32" s="65"/>
      <c r="P32" s="65"/>
      <c r="Q32" s="65"/>
      <c r="R32" s="65"/>
      <c r="S32" s="78"/>
      <c r="T32" s="79"/>
    </row>
    <row r="33" spans="1:20" x14ac:dyDescent="0.25">
      <c r="A33" s="86" t="s">
        <v>52</v>
      </c>
      <c r="B33" s="1"/>
      <c r="C33" s="87">
        <v>485</v>
      </c>
      <c r="D33" s="87"/>
      <c r="E33" s="65"/>
      <c r="F33" s="78"/>
      <c r="G33" s="65"/>
      <c r="H33" s="65"/>
      <c r="I33" s="78"/>
      <c r="J33" s="48"/>
      <c r="K33" s="1"/>
      <c r="L33" s="63"/>
      <c r="M33" s="65"/>
      <c r="N33" s="65"/>
      <c r="O33" s="65"/>
      <c r="P33" s="65"/>
      <c r="Q33" s="65"/>
      <c r="R33" s="65"/>
      <c r="S33" s="78"/>
      <c r="T33" s="79"/>
    </row>
    <row r="34" spans="1:20" x14ac:dyDescent="0.25">
      <c r="A34" s="88" t="s">
        <v>53</v>
      </c>
      <c r="B34" s="89"/>
      <c r="C34" s="90">
        <v>3000</v>
      </c>
      <c r="D34" s="65"/>
      <c r="E34" s="65"/>
      <c r="F34" s="78"/>
      <c r="G34" s="65"/>
      <c r="H34" s="65"/>
      <c r="I34" s="91"/>
      <c r="J34" s="3"/>
      <c r="K34" s="86"/>
      <c r="L34" s="1"/>
      <c r="M34" s="87"/>
      <c r="N34" s="87"/>
      <c r="O34" s="87"/>
      <c r="P34" s="65"/>
      <c r="Q34" s="65"/>
      <c r="R34" s="65"/>
      <c r="S34" s="78"/>
      <c r="T34" s="79"/>
    </row>
    <row r="35" spans="1:20" x14ac:dyDescent="0.25">
      <c r="A35" s="1"/>
      <c r="B35" s="80"/>
      <c r="C35" s="4"/>
      <c r="D35" s="65"/>
      <c r="E35" s="65"/>
      <c r="F35" s="65"/>
      <c r="G35" s="65"/>
      <c r="H35" s="65"/>
      <c r="I35" s="65"/>
      <c r="J35" s="48"/>
      <c r="K35" s="63"/>
      <c r="L35" s="63"/>
      <c r="M35" s="65"/>
      <c r="N35" s="65"/>
      <c r="O35" s="65"/>
      <c r="P35" s="65"/>
      <c r="Q35" s="65"/>
      <c r="R35" s="63"/>
      <c r="S35" s="63"/>
      <c r="T35" s="63"/>
    </row>
    <row r="36" spans="1:20" x14ac:dyDescent="0.25">
      <c r="A36" s="1"/>
      <c r="B36" s="80"/>
      <c r="C36" s="1"/>
      <c r="D36" s="2"/>
      <c r="E36" s="2"/>
      <c r="F36" s="2"/>
      <c r="G36" s="2"/>
      <c r="H36" s="2"/>
      <c r="I36" s="2"/>
      <c r="J36" s="3"/>
      <c r="K36" s="1"/>
      <c r="L36" s="1"/>
      <c r="M36" s="2"/>
      <c r="N36" s="2"/>
      <c r="O36" s="2"/>
      <c r="P36" s="65"/>
      <c r="Q36" s="65"/>
      <c r="R36" s="63"/>
      <c r="S36" s="63"/>
      <c r="T36" s="63"/>
    </row>
    <row r="37" spans="1:20" x14ac:dyDescent="0.25">
      <c r="A37" s="1"/>
      <c r="B37" s="80"/>
      <c r="C37" s="1"/>
      <c r="D37" s="2"/>
      <c r="E37" s="2"/>
      <c r="F37" s="2"/>
      <c r="G37" s="2"/>
      <c r="H37" s="2"/>
      <c r="I37" s="2"/>
      <c r="J37" s="3"/>
      <c r="K37" s="1"/>
      <c r="L37" s="80"/>
      <c r="M37" s="81"/>
      <c r="N37" s="2"/>
      <c r="O37" s="2"/>
      <c r="P37" s="65"/>
      <c r="Q37" s="65"/>
      <c r="R37" s="65"/>
      <c r="S37" s="78"/>
      <c r="T37" s="79"/>
    </row>
    <row r="38" spans="1:20" x14ac:dyDescent="0.25">
      <c r="A38" s="92"/>
      <c r="B38" s="92" t="s">
        <v>29</v>
      </c>
      <c r="C38" s="93">
        <f>C30+C31+C33+C34</f>
        <v>12201.615</v>
      </c>
      <c r="D38" s="93"/>
      <c r="E38" s="93"/>
      <c r="F38" s="93"/>
      <c r="G38" s="93"/>
      <c r="H38" s="93"/>
      <c r="I38" s="93"/>
      <c r="J38" s="94"/>
      <c r="K38" s="92"/>
      <c r="L38" s="95"/>
      <c r="M38" s="92" t="s">
        <v>29</v>
      </c>
      <c r="N38" s="93">
        <f>N30+N31+N32+N33+N34</f>
        <v>15165.299999999997</v>
      </c>
      <c r="O38" s="2"/>
      <c r="P38" s="65"/>
      <c r="Q38" s="65"/>
      <c r="R38" s="65"/>
      <c r="S38" s="78"/>
      <c r="T38" s="79"/>
    </row>
    <row r="39" spans="1:20" x14ac:dyDescent="0.25">
      <c r="A39" s="1"/>
      <c r="B39" s="80"/>
      <c r="C39" s="81"/>
      <c r="D39" s="2"/>
      <c r="E39" s="2"/>
      <c r="F39" s="2"/>
      <c r="G39" s="2"/>
      <c r="H39" s="2"/>
      <c r="I39" s="2"/>
      <c r="J39" s="3"/>
      <c r="K39" s="1"/>
      <c r="L39" s="80"/>
      <c r="M39" s="81"/>
      <c r="N39" s="2"/>
      <c r="O39" s="2"/>
      <c r="P39" s="65"/>
      <c r="Q39" s="65"/>
      <c r="R39" s="65"/>
      <c r="S39" s="78"/>
      <c r="T39" s="79"/>
    </row>
    <row r="40" spans="1:20" x14ac:dyDescent="0.25">
      <c r="A40" s="88"/>
      <c r="B40" s="89"/>
      <c r="C40" s="90"/>
      <c r="D40" s="2"/>
      <c r="E40" s="2"/>
      <c r="F40" s="2"/>
      <c r="G40" s="2"/>
      <c r="H40" s="2"/>
      <c r="I40" s="2"/>
      <c r="J40" s="3"/>
      <c r="K40" s="1"/>
      <c r="L40" s="80"/>
      <c r="M40" s="81"/>
      <c r="N40" s="2"/>
      <c r="O40" s="2"/>
      <c r="P40" s="65"/>
      <c r="Q40" s="65"/>
      <c r="R40" s="65"/>
      <c r="S40" s="78"/>
      <c r="T40" s="79"/>
    </row>
    <row r="41" spans="1:20" x14ac:dyDescent="0.25">
      <c r="A41" s="88"/>
      <c r="B41" s="89"/>
      <c r="C41" s="65"/>
      <c r="D41" s="65"/>
      <c r="E41" s="65"/>
      <c r="F41" s="2"/>
      <c r="G41" s="2"/>
      <c r="H41" s="2"/>
      <c r="I41" s="2"/>
      <c r="J41" s="3"/>
      <c r="K41" s="1"/>
      <c r="L41" s="80"/>
      <c r="M41" s="81"/>
      <c r="N41" s="2"/>
      <c r="O41" s="2"/>
      <c r="P41" s="65"/>
      <c r="Q41" s="65"/>
      <c r="R41" s="65"/>
      <c r="S41" s="78"/>
      <c r="T41" s="79"/>
    </row>
    <row r="42" spans="1:20" x14ac:dyDescent="0.25">
      <c r="A42" s="96"/>
      <c r="B42" s="97"/>
      <c r="C42" s="98"/>
      <c r="D42" s="99"/>
      <c r="E42" s="99"/>
      <c r="F42" s="99"/>
      <c r="G42" s="99"/>
      <c r="H42" s="99"/>
      <c r="I42" s="99"/>
      <c r="J42" s="100"/>
      <c r="K42" s="96"/>
      <c r="L42" s="97"/>
      <c r="M42" s="101"/>
      <c r="N42" s="102"/>
      <c r="O42" s="102"/>
      <c r="P42" s="103"/>
      <c r="Q42" s="104"/>
      <c r="R42" s="104"/>
      <c r="S42" s="105"/>
      <c r="T42" s="106"/>
    </row>
    <row r="43" spans="1:20" x14ac:dyDescent="0.25">
      <c r="A43" s="107"/>
      <c r="B43" s="107"/>
      <c r="C43" s="107"/>
      <c r="D43" s="107"/>
      <c r="E43" s="107"/>
      <c r="F43" s="107"/>
      <c r="G43" s="107"/>
      <c r="H43" s="107"/>
      <c r="I43" s="107"/>
      <c r="J43" s="100"/>
      <c r="K43" s="107"/>
      <c r="L43" s="107"/>
      <c r="M43" s="107"/>
      <c r="N43" s="108"/>
      <c r="O43" s="108"/>
      <c r="P43" s="109"/>
      <c r="Q43" s="107"/>
      <c r="R43" s="107"/>
      <c r="S43" s="107"/>
      <c r="T43" s="107"/>
    </row>
    <row r="44" spans="1:20" x14ac:dyDescent="0.25">
      <c r="A44" s="107"/>
      <c r="B44" s="107"/>
      <c r="C44" s="107"/>
      <c r="D44" s="107"/>
      <c r="E44" s="107"/>
      <c r="F44" s="107"/>
      <c r="G44" s="107"/>
      <c r="H44" s="107"/>
      <c r="I44" s="107"/>
      <c r="J44" s="100"/>
      <c r="K44" s="107"/>
      <c r="L44" s="107"/>
      <c r="M44" s="107"/>
      <c r="N44" s="108"/>
      <c r="O44" s="108"/>
      <c r="P44" s="108"/>
      <c r="Q44" s="107"/>
      <c r="R44" s="107"/>
      <c r="S44" s="107"/>
      <c r="T44" s="107"/>
    </row>
    <row r="45" spans="1:20" x14ac:dyDescent="0.25">
      <c r="A45" s="107"/>
      <c r="B45" s="107"/>
      <c r="C45" s="107"/>
      <c r="D45" s="107"/>
      <c r="E45" s="107"/>
      <c r="F45" s="107"/>
      <c r="G45" s="107"/>
      <c r="H45" s="107"/>
      <c r="I45" s="107"/>
      <c r="J45" s="100"/>
      <c r="K45" s="107"/>
      <c r="L45" s="107"/>
      <c r="M45" s="110"/>
      <c r="N45" s="111"/>
      <c r="O45" s="108"/>
      <c r="P45" s="108"/>
      <c r="Q45" s="107"/>
      <c r="R45" s="107"/>
      <c r="S45" s="107"/>
      <c r="T45" s="107"/>
    </row>
    <row r="46" spans="1:20" x14ac:dyDescent="0.25">
      <c r="A46" s="107"/>
      <c r="B46" s="107"/>
      <c r="C46" s="107"/>
      <c r="D46" s="107"/>
      <c r="E46" s="107"/>
      <c r="F46" s="107"/>
      <c r="G46" s="107"/>
      <c r="H46" s="107"/>
      <c r="I46" s="107"/>
      <c r="J46" s="100"/>
      <c r="K46" s="107"/>
      <c r="L46" s="107"/>
      <c r="M46" s="112" t="s">
        <v>30</v>
      </c>
      <c r="N46" s="113">
        <f>N38-C38</f>
        <v>2963.6849999999977</v>
      </c>
      <c r="O46" s="114"/>
      <c r="P46" s="107"/>
      <c r="Q46" s="107"/>
      <c r="R46" s="107"/>
      <c r="S46" s="107"/>
      <c r="T46" s="107"/>
    </row>
    <row r="47" spans="1:20" x14ac:dyDescent="0.25">
      <c r="A47" s="107"/>
      <c r="B47" s="107"/>
      <c r="C47" s="107"/>
      <c r="D47" s="107"/>
      <c r="E47" s="107"/>
      <c r="F47" s="107"/>
      <c r="G47" s="107"/>
      <c r="H47" s="107"/>
      <c r="I47" s="107"/>
      <c r="J47" s="100"/>
      <c r="K47" s="107"/>
      <c r="L47" s="107"/>
      <c r="M47" s="110"/>
      <c r="N47" s="110"/>
      <c r="O47" s="107"/>
      <c r="P47" s="107"/>
      <c r="Q47" s="107"/>
      <c r="R47" s="107"/>
      <c r="S47" s="107"/>
      <c r="T47" s="107"/>
    </row>
    <row r="48" spans="1:20" x14ac:dyDescent="0.25">
      <c r="A48" s="107"/>
      <c r="B48" s="107"/>
      <c r="C48" s="107"/>
      <c r="D48" s="107"/>
      <c r="E48" s="107"/>
      <c r="F48" s="107"/>
      <c r="G48" s="107"/>
      <c r="H48" s="107"/>
      <c r="I48" s="107"/>
      <c r="J48" s="100"/>
      <c r="K48" s="107"/>
      <c r="L48" s="107"/>
      <c r="M48" s="107"/>
      <c r="N48" s="107"/>
      <c r="O48" s="107"/>
      <c r="P48" s="107"/>
      <c r="Q48" s="107"/>
      <c r="R48" s="107"/>
      <c r="S48" s="107"/>
      <c r="T48" s="107"/>
    </row>
  </sheetData>
  <conditionalFormatting sqref="C1:C6">
    <cfRule type="cellIs" dxfId="470" priority="10" operator="equal">
      <formula>15698.2</formula>
    </cfRule>
  </conditionalFormatting>
  <conditionalFormatting sqref="C11">
    <cfRule type="cellIs" dxfId="469" priority="17" operator="equal">
      <formula>15698.2</formula>
    </cfRule>
  </conditionalFormatting>
  <conditionalFormatting sqref="C41:F41 D42:F42">
    <cfRule type="cellIs" dxfId="468" priority="36" operator="equal">
      <formula>15698.2</formula>
    </cfRule>
    <cfRule type="cellIs" dxfId="467" priority="37" operator="equal">
      <formula>"kapalı"</formula>
    </cfRule>
  </conditionalFormatting>
  <conditionalFormatting sqref="D6">
    <cfRule type="cellIs" dxfId="466" priority="11" operator="equal">
      <formula>"K.KART"</formula>
    </cfRule>
  </conditionalFormatting>
  <conditionalFormatting sqref="D6:D7 F7">
    <cfRule type="cellIs" dxfId="465" priority="8" operator="equal">
      <formula>"kapalı"</formula>
    </cfRule>
  </conditionalFormatting>
  <conditionalFormatting sqref="D11 G14:G18">
    <cfRule type="cellIs" dxfId="464" priority="18" operator="equal">
      <formula>"K.KART"</formula>
    </cfRule>
  </conditionalFormatting>
  <conditionalFormatting sqref="D11:D14 F12:F14">
    <cfRule type="cellIs" dxfId="463" priority="16" operator="equal">
      <formula>"kapalı"</formula>
    </cfRule>
  </conditionalFormatting>
  <conditionalFormatting sqref="D8:F10">
    <cfRule type="cellIs" dxfId="462" priority="3" operator="equal">
      <formula>"kapalı"</formula>
    </cfRule>
  </conditionalFormatting>
  <conditionalFormatting sqref="D17:F32">
    <cfRule type="cellIs" dxfId="461" priority="12" operator="equal">
      <formula>"kapalı"</formula>
    </cfRule>
  </conditionalFormatting>
  <conditionalFormatting sqref="D34:F40">
    <cfRule type="cellIs" dxfId="460" priority="22" operator="equal">
      <formula>15698.2</formula>
    </cfRule>
  </conditionalFormatting>
  <conditionalFormatting sqref="D1:H4 D5:E5 G5:H5 H6:H10 G20:G23 G25:G31 G32:H42">
    <cfRule type="cellIs" dxfId="459" priority="44" operator="equal">
      <formula>"K.KART"</formula>
    </cfRule>
  </conditionalFormatting>
  <conditionalFormatting sqref="E7">
    <cfRule type="cellIs" dxfId="458" priority="7" operator="equal">
      <formula>"K.KART"</formula>
    </cfRule>
  </conditionalFormatting>
  <conditionalFormatting sqref="E15:F16">
    <cfRule type="cellIs" dxfId="457" priority="14" operator="equal">
      <formula>"kapalı"</formula>
    </cfRule>
  </conditionalFormatting>
  <conditionalFormatting sqref="E33:F33 D34:F40">
    <cfRule type="cellIs" dxfId="456" priority="23" operator="equal">
      <formula>"kapalı"</formula>
    </cfRule>
  </conditionalFormatting>
  <conditionalFormatting sqref="F5">
    <cfRule type="cellIs" dxfId="455" priority="27" operator="equal">
      <formula>"kapalı"</formula>
    </cfRule>
    <cfRule type="cellIs" dxfId="454" priority="26" operator="equal">
      <formula>15698.2</formula>
    </cfRule>
  </conditionalFormatting>
  <conditionalFormatting sqref="F7">
    <cfRule type="cellIs" dxfId="453" priority="9" operator="equal">
      <formula>"K.KART"</formula>
    </cfRule>
  </conditionalFormatting>
  <conditionalFormatting sqref="F9">
    <cfRule type="cellIs" dxfId="452" priority="5" operator="equal">
      <formula>"K.KART"</formula>
    </cfRule>
  </conditionalFormatting>
  <conditionalFormatting sqref="F12">
    <cfRule type="cellIs" dxfId="451" priority="49" operator="equal">
      <formula>"K.KART"</formula>
    </cfRule>
  </conditionalFormatting>
  <conditionalFormatting sqref="F14">
    <cfRule type="cellIs" dxfId="450" priority="50" operator="equal">
      <formula>"K.KART"</formula>
    </cfRule>
  </conditionalFormatting>
  <conditionalFormatting sqref="G6:G8">
    <cfRule type="cellIs" dxfId="449" priority="6" operator="equal">
      <formula>"K.KART"</formula>
    </cfRule>
  </conditionalFormatting>
  <conditionalFormatting sqref="G9:G10">
    <cfRule type="cellIs" dxfId="448" priority="4" operator="equal">
      <formula>"K.KART"</formula>
    </cfRule>
  </conditionalFormatting>
  <conditionalFormatting sqref="G11:G13">
    <cfRule type="cellIs" dxfId="447" priority="13" operator="equal">
      <formula>"K.KART"</formula>
    </cfRule>
  </conditionalFormatting>
  <conditionalFormatting sqref="G19">
    <cfRule type="cellIs" dxfId="446" priority="31" operator="equal">
      <formula>"K.KART"</formula>
    </cfRule>
  </conditionalFormatting>
  <conditionalFormatting sqref="H12">
    <cfRule type="cellIs" dxfId="445" priority="15" operator="equal">
      <formula>"K.KART"</formula>
    </cfRule>
  </conditionalFormatting>
  <conditionalFormatting sqref="H25:H29 H31">
    <cfRule type="cellIs" dxfId="444" priority="32" operator="equal">
      <formula>"K.KART"</formula>
    </cfRule>
  </conditionalFormatting>
  <conditionalFormatting sqref="M4:N4">
    <cfRule type="cellIs" dxfId="443" priority="33" operator="equal">
      <formula>15698.2</formula>
    </cfRule>
    <cfRule type="cellIs" dxfId="442" priority="34" operator="equal">
      <formula>"kapalı"</formula>
    </cfRule>
  </conditionalFormatting>
  <conditionalFormatting sqref="M12:N12">
    <cfRule type="cellIs" dxfId="441" priority="39" operator="equal">
      <formula>"kapalı"</formula>
    </cfRule>
    <cfRule type="cellIs" dxfId="440" priority="38" operator="equal">
      <formula>15698.2</formula>
    </cfRule>
  </conditionalFormatting>
  <conditionalFormatting sqref="M1:O3 M13:O13">
    <cfRule type="cellIs" dxfId="439" priority="47" operator="equal">
      <formula>"KAPALI"</formula>
    </cfRule>
    <cfRule type="cellIs" dxfId="438" priority="48" operator="equal">
      <formula>"açık"</formula>
    </cfRule>
  </conditionalFormatting>
  <conditionalFormatting sqref="M1:O3 N12:O42 M13 M28:M37 M39:M41">
    <cfRule type="cellIs" dxfId="437" priority="45" operator="equal">
      <formula>15698.2</formula>
    </cfRule>
  </conditionalFormatting>
  <conditionalFormatting sqref="M5:O11 C33:D33">
    <cfRule type="cellIs" dxfId="436" priority="20" operator="equal">
      <formula>"açık"</formula>
    </cfRule>
    <cfRule type="cellIs" dxfId="435" priority="19" operator="equal">
      <formula>"KAPALI"</formula>
    </cfRule>
  </conditionalFormatting>
  <conditionalFormatting sqref="M5:O11 C33:F33">
    <cfRule type="cellIs" dxfId="434" priority="21" operator="equal">
      <formula>15698.2</formula>
    </cfRule>
  </conditionalFormatting>
  <conditionalFormatting sqref="M28:O37 N38:O38 M39:O39 M40:M41">
    <cfRule type="cellIs" dxfId="433" priority="42" operator="equal">
      <formula>"KAPALI"</formula>
    </cfRule>
    <cfRule type="cellIs" dxfId="432" priority="43" operator="equal">
      <formula>"açık"</formula>
    </cfRule>
  </conditionalFormatting>
  <conditionalFormatting sqref="N6:O6">
    <cfRule type="cellIs" dxfId="431" priority="2" operator="equal">
      <formula>"kapalı"</formula>
    </cfRule>
  </conditionalFormatting>
  <conditionalFormatting sqref="N11:O29 O30:O31">
    <cfRule type="cellIs" dxfId="430" priority="41" operator="equal">
      <formula>"kapalı"</formula>
    </cfRule>
  </conditionalFormatting>
  <conditionalFormatting sqref="N40:O42">
    <cfRule type="cellIs" dxfId="429" priority="25" operator="equal">
      <formula>"açık"</formula>
    </cfRule>
    <cfRule type="cellIs" dxfId="428" priority="24" operator="equal">
      <formula>"KAPALI"</formula>
    </cfRule>
  </conditionalFormatting>
  <conditionalFormatting sqref="O12 Q12:S12">
    <cfRule type="cellIs" dxfId="427" priority="40" operator="equal">
      <formula>"K.KART"</formula>
    </cfRule>
  </conditionalFormatting>
  <conditionalFormatting sqref="O4:T4">
    <cfRule type="cellIs" dxfId="426" priority="35" operator="equal">
      <formula>"K.KART"</formula>
    </cfRule>
  </conditionalFormatting>
  <conditionalFormatting sqref="P12:P18 C38">
    <cfRule type="cellIs" dxfId="425" priority="29" operator="equal">
      <formula>15698.2</formula>
    </cfRule>
    <cfRule type="cellIs" dxfId="424" priority="30" operator="equal">
      <formula>"kapalı"</formula>
    </cfRule>
  </conditionalFormatting>
  <conditionalFormatting sqref="P1:Q3 P5 P7:P10 P16:P42">
    <cfRule type="cellIs" dxfId="423" priority="46" operator="equal">
      <formula>"K.KART"</formula>
    </cfRule>
  </conditionalFormatting>
  <conditionalFormatting sqref="Q6">
    <cfRule type="cellIs" dxfId="422" priority="1" operator="equal">
      <formula>"K.KART"</formula>
    </cfRule>
  </conditionalFormatting>
  <conditionalFormatting sqref="Q11:Q42 C41:E41">
    <cfRule type="cellIs" dxfId="421" priority="28" operator="equal">
      <formula>"K.KART"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E1F6-76A7-443A-82EA-5895F6EBF341}">
  <dimension ref="A1:T45"/>
  <sheetViews>
    <sheetView topLeftCell="A7" workbookViewId="0">
      <selection activeCell="E29" sqref="E29"/>
    </sheetView>
  </sheetViews>
  <sheetFormatPr defaultRowHeight="15" x14ac:dyDescent="0.25"/>
  <cols>
    <col min="1" max="1" width="18" customWidth="1"/>
    <col min="2" max="2" width="12" customWidth="1"/>
    <col min="3" max="3" width="14.7109375" customWidth="1"/>
    <col min="6" max="6" width="12.28515625" customWidth="1"/>
    <col min="7" max="7" width="13.28515625" customWidth="1"/>
    <col min="8" max="8" width="15" customWidth="1"/>
    <col min="10" max="10" width="2" customWidth="1"/>
    <col min="14" max="14" width="12.28515625" customWidth="1"/>
  </cols>
  <sheetData>
    <row r="1" spans="1:20" x14ac:dyDescent="0.25">
      <c r="A1" s="1"/>
      <c r="B1" s="1"/>
      <c r="C1" s="2"/>
      <c r="D1" s="2"/>
      <c r="E1" s="2"/>
      <c r="F1" s="2"/>
      <c r="G1" s="2"/>
      <c r="H1" s="2"/>
      <c r="I1" s="2"/>
      <c r="J1" s="3"/>
      <c r="K1" s="1"/>
      <c r="L1" s="1"/>
      <c r="M1" s="2"/>
      <c r="N1" s="2"/>
      <c r="O1" s="2"/>
      <c r="P1" s="2"/>
      <c r="Q1" s="2"/>
      <c r="R1" s="2"/>
      <c r="S1" s="4"/>
      <c r="T1" s="5"/>
    </row>
    <row r="2" spans="1:20" x14ac:dyDescent="0.25">
      <c r="A2" s="6" t="s">
        <v>0</v>
      </c>
      <c r="B2" s="6"/>
      <c r="C2" s="7"/>
      <c r="D2" s="7"/>
      <c r="E2" s="7"/>
      <c r="F2" s="7"/>
      <c r="G2" s="7"/>
      <c r="H2" s="7"/>
      <c r="I2" s="7"/>
      <c r="J2" s="3"/>
      <c r="K2" s="6" t="s">
        <v>1</v>
      </c>
      <c r="L2" s="6"/>
      <c r="M2" s="7"/>
      <c r="N2" s="7"/>
      <c r="O2" s="7"/>
      <c r="P2" s="7"/>
      <c r="Q2" s="7"/>
      <c r="R2" s="7"/>
      <c r="S2" s="8"/>
      <c r="T2" s="9"/>
    </row>
    <row r="3" spans="1:20" x14ac:dyDescent="0.25">
      <c r="A3" s="10" t="s">
        <v>54</v>
      </c>
      <c r="B3" s="10">
        <v>2025</v>
      </c>
      <c r="C3" s="11"/>
      <c r="D3" s="11"/>
      <c r="E3" s="11"/>
      <c r="F3" s="11"/>
      <c r="G3" s="11"/>
      <c r="H3" s="11"/>
      <c r="I3" s="11"/>
      <c r="J3" s="12"/>
      <c r="K3" s="10" t="s">
        <v>54</v>
      </c>
      <c r="L3" s="10">
        <v>2025</v>
      </c>
      <c r="M3" s="11"/>
      <c r="N3" s="11"/>
      <c r="O3" s="11"/>
      <c r="P3" s="11"/>
      <c r="Q3" s="11"/>
      <c r="R3" s="11"/>
      <c r="S3" s="13"/>
      <c r="T3" s="14"/>
    </row>
    <row r="4" spans="1:20" ht="38.25" x14ac:dyDescent="0.25">
      <c r="A4" s="15" t="s">
        <v>2</v>
      </c>
      <c r="B4" s="15" t="s">
        <v>3</v>
      </c>
      <c r="C4" s="16" t="s">
        <v>4</v>
      </c>
      <c r="D4" s="16" t="s">
        <v>5</v>
      </c>
      <c r="E4" s="16" t="s">
        <v>6</v>
      </c>
      <c r="F4" s="17" t="s">
        <v>7</v>
      </c>
      <c r="G4" s="16" t="s">
        <v>8</v>
      </c>
      <c r="H4" s="16" t="s">
        <v>9</v>
      </c>
      <c r="I4" s="18" t="s">
        <v>10</v>
      </c>
      <c r="J4" s="19"/>
      <c r="K4" s="15" t="s">
        <v>2</v>
      </c>
      <c r="L4" s="15" t="s">
        <v>3</v>
      </c>
      <c r="M4" s="16" t="s">
        <v>4</v>
      </c>
      <c r="N4" s="16" t="s">
        <v>11</v>
      </c>
      <c r="O4" s="16" t="s">
        <v>5</v>
      </c>
      <c r="P4" s="16" t="s">
        <v>6</v>
      </c>
      <c r="Q4" s="16" t="s">
        <v>7</v>
      </c>
      <c r="R4" s="16" t="s">
        <v>8</v>
      </c>
      <c r="S4" s="18" t="s">
        <v>9</v>
      </c>
      <c r="T4" s="18" t="s">
        <v>12</v>
      </c>
    </row>
    <row r="5" spans="1:20" x14ac:dyDescent="0.25">
      <c r="A5" s="20" t="s">
        <v>13</v>
      </c>
      <c r="B5" s="20"/>
      <c r="C5" s="21"/>
      <c r="D5" s="21"/>
      <c r="E5" s="21"/>
      <c r="F5" s="22"/>
      <c r="G5" s="23"/>
      <c r="H5" s="21"/>
      <c r="I5" s="24"/>
      <c r="J5" s="25"/>
      <c r="K5" s="26" t="s">
        <v>13</v>
      </c>
      <c r="L5" s="20"/>
      <c r="M5" s="21"/>
      <c r="N5" s="21"/>
      <c r="O5" s="21"/>
      <c r="P5" s="21"/>
      <c r="Q5" s="21">
        <v>2963.69</v>
      </c>
      <c r="R5" s="21"/>
      <c r="S5" s="27"/>
      <c r="T5" s="28"/>
    </row>
    <row r="6" spans="1:20" x14ac:dyDescent="0.25">
      <c r="A6" s="29" t="s">
        <v>14</v>
      </c>
      <c r="B6" s="34">
        <v>45600</v>
      </c>
      <c r="C6" s="30">
        <v>523532178</v>
      </c>
      <c r="D6" s="35" t="s">
        <v>15</v>
      </c>
      <c r="E6" s="50" t="s">
        <v>32</v>
      </c>
      <c r="F6" s="32">
        <v>15695.41</v>
      </c>
      <c r="G6" s="40">
        <v>2615.96</v>
      </c>
      <c r="H6" s="123"/>
      <c r="I6" s="124"/>
      <c r="J6" s="19"/>
      <c r="K6" s="126"/>
      <c r="L6" s="127"/>
      <c r="M6" s="123"/>
      <c r="N6" s="123"/>
      <c r="O6" s="123"/>
      <c r="P6" s="123"/>
      <c r="Q6" s="123"/>
      <c r="R6" s="123"/>
      <c r="S6" s="128"/>
      <c r="T6" s="33">
        <f t="shared" ref="T6:T15" si="0">S6/2</f>
        <v>0</v>
      </c>
    </row>
    <row r="7" spans="1:20" x14ac:dyDescent="0.25">
      <c r="A7" s="29" t="s">
        <v>22</v>
      </c>
      <c r="B7" s="34">
        <v>45631</v>
      </c>
      <c r="C7" s="30">
        <v>529806844</v>
      </c>
      <c r="D7" s="35" t="s">
        <v>15</v>
      </c>
      <c r="E7" s="50" t="s">
        <v>49</v>
      </c>
      <c r="F7" s="32">
        <v>10955.95</v>
      </c>
      <c r="G7" s="40">
        <v>1826.05</v>
      </c>
      <c r="H7" s="123"/>
      <c r="I7" s="124"/>
      <c r="J7" s="19"/>
      <c r="K7" s="126"/>
      <c r="L7" s="127"/>
      <c r="M7" s="123"/>
      <c r="N7" s="123"/>
      <c r="O7" s="123"/>
      <c r="P7" s="123"/>
      <c r="Q7" s="123"/>
      <c r="R7" s="123"/>
      <c r="S7" s="128"/>
      <c r="T7" s="33">
        <f t="shared" si="0"/>
        <v>0</v>
      </c>
    </row>
    <row r="8" spans="1:20" x14ac:dyDescent="0.25">
      <c r="A8" s="29" t="s">
        <v>36</v>
      </c>
      <c r="B8" s="34">
        <v>45679</v>
      </c>
      <c r="C8" s="30">
        <v>543824363</v>
      </c>
      <c r="D8" s="35" t="s">
        <v>15</v>
      </c>
      <c r="E8" s="50" t="s">
        <v>33</v>
      </c>
      <c r="F8" s="32">
        <v>22032.36</v>
      </c>
      <c r="G8" s="116">
        <f>F8/6</f>
        <v>3672.06</v>
      </c>
      <c r="H8" s="123"/>
      <c r="I8" s="124"/>
      <c r="J8" s="19"/>
      <c r="K8" s="126"/>
      <c r="L8" s="127"/>
      <c r="M8" s="123"/>
      <c r="N8" s="123"/>
      <c r="O8" s="123"/>
      <c r="P8" s="123"/>
      <c r="Q8" s="123"/>
      <c r="R8" s="123"/>
      <c r="S8" s="128"/>
      <c r="T8" s="33">
        <f t="shared" si="0"/>
        <v>0</v>
      </c>
    </row>
    <row r="9" spans="1:20" x14ac:dyDescent="0.25">
      <c r="A9" s="29" t="s">
        <v>55</v>
      </c>
      <c r="B9" s="34">
        <v>45731</v>
      </c>
      <c r="C9" s="30">
        <v>555322211</v>
      </c>
      <c r="D9" s="35" t="s">
        <v>15</v>
      </c>
      <c r="E9" s="131" t="s">
        <v>17</v>
      </c>
      <c r="F9" s="39">
        <v>14130.74</v>
      </c>
      <c r="G9" s="40"/>
      <c r="H9" s="40">
        <v>1749.41</v>
      </c>
      <c r="I9" s="33">
        <f t="shared" ref="I9:I21" si="1">H9/2</f>
        <v>874.70500000000004</v>
      </c>
      <c r="J9" s="19"/>
      <c r="K9" s="42"/>
      <c r="L9" s="34"/>
      <c r="M9" s="30"/>
      <c r="N9" s="35"/>
      <c r="O9" s="35"/>
      <c r="P9" s="129"/>
      <c r="Q9" s="35"/>
      <c r="R9" s="35"/>
      <c r="S9" s="44"/>
      <c r="T9" s="33">
        <f t="shared" si="0"/>
        <v>0</v>
      </c>
    </row>
    <row r="10" spans="1:20" x14ac:dyDescent="0.25">
      <c r="A10" s="29" t="s">
        <v>56</v>
      </c>
      <c r="B10" s="34">
        <v>45744</v>
      </c>
      <c r="C10" s="45">
        <v>557447878</v>
      </c>
      <c r="D10" s="35" t="s">
        <v>35</v>
      </c>
      <c r="E10" s="131" t="s">
        <v>17</v>
      </c>
      <c r="F10" s="32">
        <v>9743.86</v>
      </c>
      <c r="G10" s="40"/>
      <c r="H10" s="40">
        <v>881.6</v>
      </c>
      <c r="I10" s="33">
        <f t="shared" si="1"/>
        <v>440.8</v>
      </c>
      <c r="J10" s="48"/>
      <c r="K10" s="49"/>
      <c r="L10" s="34"/>
      <c r="M10" s="30"/>
      <c r="N10" s="35"/>
      <c r="O10" s="35"/>
      <c r="P10" s="35"/>
      <c r="Q10" s="35"/>
      <c r="R10" s="35"/>
      <c r="S10" s="36"/>
      <c r="T10" s="33">
        <f t="shared" si="0"/>
        <v>0</v>
      </c>
    </row>
    <row r="11" spans="1:20" x14ac:dyDescent="0.25">
      <c r="A11" s="29" t="s">
        <v>57</v>
      </c>
      <c r="B11" s="34">
        <v>45736</v>
      </c>
      <c r="C11" s="30">
        <v>557898337</v>
      </c>
      <c r="D11" s="35" t="s">
        <v>35</v>
      </c>
      <c r="E11" s="131" t="s">
        <v>17</v>
      </c>
      <c r="F11" s="32">
        <v>15243.08</v>
      </c>
      <c r="G11" s="40"/>
      <c r="H11" s="40">
        <v>1361</v>
      </c>
      <c r="I11" s="33">
        <f t="shared" si="1"/>
        <v>680.5</v>
      </c>
      <c r="J11" s="48"/>
      <c r="K11" s="49"/>
      <c r="L11" s="34"/>
      <c r="M11" s="30"/>
      <c r="N11" s="35"/>
      <c r="O11" s="35"/>
      <c r="P11" s="35"/>
      <c r="Q11" s="35"/>
      <c r="R11" s="35"/>
      <c r="S11" s="36"/>
      <c r="T11" s="33">
        <f t="shared" si="0"/>
        <v>0</v>
      </c>
    </row>
    <row r="12" spans="1:20" x14ac:dyDescent="0.25">
      <c r="A12" s="29" t="s">
        <v>57</v>
      </c>
      <c r="B12" s="34">
        <v>45736</v>
      </c>
      <c r="C12" s="30">
        <v>556893070</v>
      </c>
      <c r="D12" s="35" t="s">
        <v>15</v>
      </c>
      <c r="E12" s="131" t="s">
        <v>17</v>
      </c>
      <c r="F12" s="32">
        <v>12647.41</v>
      </c>
      <c r="G12" s="40"/>
      <c r="H12" s="40">
        <v>1565.85</v>
      </c>
      <c r="I12" s="33">
        <f t="shared" si="1"/>
        <v>782.92499999999995</v>
      </c>
      <c r="J12" s="48"/>
      <c r="K12" s="49"/>
      <c r="L12" s="34"/>
      <c r="M12" s="30"/>
      <c r="N12" s="35"/>
      <c r="O12" s="35"/>
      <c r="P12" s="35"/>
      <c r="Q12" s="35"/>
      <c r="R12" s="35"/>
      <c r="S12" s="36"/>
      <c r="T12" s="33">
        <f t="shared" si="0"/>
        <v>0</v>
      </c>
    </row>
    <row r="13" spans="1:20" x14ac:dyDescent="0.25">
      <c r="A13" s="29" t="s">
        <v>58</v>
      </c>
      <c r="B13" s="34">
        <v>45745</v>
      </c>
      <c r="C13" s="30">
        <v>7522493</v>
      </c>
      <c r="D13" s="31" t="s">
        <v>39</v>
      </c>
      <c r="E13" s="131" t="s">
        <v>17</v>
      </c>
      <c r="F13" s="32">
        <v>106413.92</v>
      </c>
      <c r="G13" s="116"/>
      <c r="H13" s="41">
        <v>13833.69</v>
      </c>
      <c r="I13" s="33">
        <v>13833</v>
      </c>
      <c r="J13" s="48"/>
      <c r="K13" s="49"/>
      <c r="L13" s="34"/>
      <c r="M13" s="30"/>
      <c r="N13" s="35"/>
      <c r="O13" s="35"/>
      <c r="P13" s="35"/>
      <c r="Q13" s="35"/>
      <c r="R13" s="35"/>
      <c r="S13" s="36"/>
      <c r="T13" s="33">
        <f t="shared" si="0"/>
        <v>0</v>
      </c>
    </row>
    <row r="14" spans="1:20" x14ac:dyDescent="0.25">
      <c r="A14" s="29"/>
      <c r="B14" s="34"/>
      <c r="C14" s="30"/>
      <c r="D14" s="31"/>
      <c r="E14" s="35"/>
      <c r="F14" s="32"/>
      <c r="G14" s="116"/>
      <c r="H14" s="41"/>
      <c r="I14" s="33">
        <f t="shared" si="1"/>
        <v>0</v>
      </c>
      <c r="J14" s="48"/>
      <c r="K14" s="49"/>
      <c r="L14" s="30"/>
      <c r="M14" s="30"/>
      <c r="N14" s="35"/>
      <c r="O14" s="35"/>
      <c r="P14" s="35"/>
      <c r="Q14" s="35"/>
      <c r="R14" s="35"/>
      <c r="S14" s="36"/>
      <c r="T14" s="33">
        <f t="shared" si="0"/>
        <v>0</v>
      </c>
    </row>
    <row r="15" spans="1:20" x14ac:dyDescent="0.25">
      <c r="A15" s="29"/>
      <c r="B15" s="34"/>
      <c r="C15" s="30"/>
      <c r="D15" s="35"/>
      <c r="E15" s="35"/>
      <c r="F15" s="32"/>
      <c r="G15" s="116"/>
      <c r="H15" s="41"/>
      <c r="I15" s="33">
        <f t="shared" si="1"/>
        <v>0</v>
      </c>
      <c r="J15" s="48"/>
      <c r="K15" s="49"/>
      <c r="L15" s="30"/>
      <c r="M15" s="30"/>
      <c r="N15" s="35"/>
      <c r="O15" s="35"/>
      <c r="P15" s="35" t="s">
        <v>23</v>
      </c>
      <c r="Q15" s="35"/>
      <c r="R15" s="35" t="s">
        <v>16</v>
      </c>
      <c r="S15" s="52"/>
      <c r="T15" s="33">
        <f t="shared" si="0"/>
        <v>0</v>
      </c>
    </row>
    <row r="16" spans="1:20" x14ac:dyDescent="0.25">
      <c r="A16" s="29"/>
      <c r="B16" s="34"/>
      <c r="C16" s="30"/>
      <c r="D16" s="35"/>
      <c r="E16" s="35"/>
      <c r="F16" s="32"/>
      <c r="G16" s="116"/>
      <c r="H16" s="41"/>
      <c r="I16" s="33">
        <f t="shared" si="1"/>
        <v>0</v>
      </c>
      <c r="J16" s="48"/>
      <c r="K16" s="49"/>
      <c r="L16" s="30"/>
      <c r="M16" s="30"/>
      <c r="N16" s="35"/>
      <c r="O16" s="35"/>
      <c r="P16" s="35"/>
      <c r="Q16" s="35"/>
      <c r="R16" s="35"/>
      <c r="S16" s="52"/>
      <c r="T16" s="54"/>
    </row>
    <row r="17" spans="1:20" x14ac:dyDescent="0.25">
      <c r="A17" s="29"/>
      <c r="B17" s="34"/>
      <c r="C17" s="30"/>
      <c r="D17" s="35"/>
      <c r="E17" s="35"/>
      <c r="F17" s="32"/>
      <c r="G17" s="116"/>
      <c r="H17" s="41"/>
      <c r="I17" s="33">
        <f t="shared" si="1"/>
        <v>0</v>
      </c>
      <c r="J17" s="48"/>
      <c r="K17" s="49"/>
      <c r="L17" s="30"/>
      <c r="M17" s="30"/>
      <c r="N17" s="35"/>
      <c r="O17" s="35"/>
      <c r="P17" s="35"/>
      <c r="Q17" s="35"/>
      <c r="R17" s="35"/>
      <c r="S17" s="52"/>
      <c r="T17" s="54"/>
    </row>
    <row r="18" spans="1:20" x14ac:dyDescent="0.25">
      <c r="A18" s="30"/>
      <c r="B18" s="34"/>
      <c r="C18" s="30"/>
      <c r="D18" s="35"/>
      <c r="E18" s="35"/>
      <c r="F18" s="32"/>
      <c r="G18" s="116"/>
      <c r="H18" s="55"/>
      <c r="I18" s="33">
        <f t="shared" si="1"/>
        <v>0</v>
      </c>
      <c r="J18" s="48"/>
      <c r="K18" s="49"/>
      <c r="L18" s="30"/>
      <c r="M18" s="30"/>
      <c r="N18" s="35"/>
      <c r="O18" s="35"/>
      <c r="P18" s="35"/>
      <c r="Q18" s="35"/>
      <c r="R18" s="35"/>
      <c r="S18" s="52"/>
      <c r="T18" s="54"/>
    </row>
    <row r="19" spans="1:20" x14ac:dyDescent="0.25">
      <c r="A19" s="30"/>
      <c r="B19" s="34"/>
      <c r="C19" s="30"/>
      <c r="D19" s="35"/>
      <c r="E19" s="35"/>
      <c r="F19" s="32"/>
      <c r="G19" s="116"/>
      <c r="H19" s="55"/>
      <c r="I19" s="33">
        <f t="shared" si="1"/>
        <v>0</v>
      </c>
      <c r="J19" s="48"/>
      <c r="K19" s="49"/>
      <c r="L19" s="30"/>
      <c r="M19" s="30"/>
      <c r="N19" s="35"/>
      <c r="O19" s="35"/>
      <c r="P19" s="35"/>
      <c r="Q19" s="35"/>
      <c r="R19" s="35"/>
      <c r="S19" s="52"/>
      <c r="T19" s="54"/>
    </row>
    <row r="20" spans="1:20" x14ac:dyDescent="0.25">
      <c r="A20" s="30"/>
      <c r="B20" s="34"/>
      <c r="C20" s="30"/>
      <c r="D20" s="35"/>
      <c r="E20" s="35"/>
      <c r="F20" s="32"/>
      <c r="G20" s="116"/>
      <c r="H20" s="55"/>
      <c r="I20" s="33">
        <f t="shared" si="1"/>
        <v>0</v>
      </c>
      <c r="J20" s="48"/>
      <c r="K20" s="56"/>
      <c r="L20" s="57"/>
      <c r="M20" s="58"/>
      <c r="N20" s="59"/>
      <c r="O20" s="59"/>
      <c r="P20" s="59"/>
      <c r="Q20" s="59"/>
      <c r="R20" s="59"/>
      <c r="S20" s="60"/>
      <c r="T20" s="61"/>
    </row>
    <row r="21" spans="1:20" x14ac:dyDescent="0.25">
      <c r="A21" s="30"/>
      <c r="B21" s="34"/>
      <c r="C21" s="30"/>
      <c r="D21" s="35"/>
      <c r="E21" s="35"/>
      <c r="F21" s="62"/>
      <c r="G21" s="116"/>
      <c r="H21" s="55"/>
      <c r="I21" s="33">
        <f t="shared" si="1"/>
        <v>0</v>
      </c>
      <c r="J21" s="48"/>
      <c r="K21" s="56"/>
      <c r="L21" s="57"/>
      <c r="M21" s="58"/>
      <c r="N21" s="59"/>
      <c r="O21" s="59"/>
      <c r="P21" s="59"/>
      <c r="Q21" s="59"/>
      <c r="R21" s="59"/>
      <c r="S21" s="60"/>
      <c r="T21" s="61"/>
    </row>
    <row r="22" spans="1:20" x14ac:dyDescent="0.25">
      <c r="A22" s="30"/>
      <c r="B22" s="34"/>
      <c r="C22" s="30"/>
      <c r="D22" s="35"/>
      <c r="E22" s="35" t="s">
        <v>23</v>
      </c>
      <c r="F22" s="117">
        <f>SUM(F9:F17)</f>
        <v>158179.01</v>
      </c>
      <c r="G22" s="116">
        <f>G6+G7+G8</f>
        <v>8114.07</v>
      </c>
      <c r="H22" s="130">
        <f>H9+H10+H11+H12+H13</f>
        <v>19391.550000000003</v>
      </c>
      <c r="I22" s="119">
        <f>I9+I10+I11+I12+I13</f>
        <v>16611.93</v>
      </c>
      <c r="J22" s="48"/>
      <c r="K22" s="49"/>
      <c r="L22" s="30"/>
      <c r="M22" s="30"/>
      <c r="N22" s="35"/>
      <c r="O22" s="35"/>
      <c r="P22" s="35"/>
      <c r="Q22" s="35"/>
      <c r="R22" s="35"/>
      <c r="S22" s="52"/>
      <c r="T22" s="54"/>
    </row>
    <row r="23" spans="1:20" x14ac:dyDescent="0.25">
      <c r="A23" s="63"/>
      <c r="B23" s="64"/>
      <c r="C23" s="63"/>
      <c r="D23" s="65"/>
      <c r="E23" s="65"/>
      <c r="F23" s="66"/>
      <c r="G23" s="67"/>
      <c r="H23" s="68"/>
      <c r="I23" s="69"/>
      <c r="J23" s="48"/>
      <c r="K23" s="49"/>
      <c r="L23" s="30"/>
      <c r="M23" s="30"/>
      <c r="N23" s="35"/>
      <c r="O23" s="35"/>
      <c r="P23" s="35"/>
      <c r="Q23" s="35"/>
      <c r="R23" s="35"/>
      <c r="S23" s="52"/>
      <c r="T23" s="70"/>
    </row>
    <row r="24" spans="1:20" x14ac:dyDescent="0.25">
      <c r="A24" s="63"/>
      <c r="B24" s="64"/>
      <c r="C24" s="63"/>
      <c r="D24" s="65"/>
      <c r="E24" s="65"/>
      <c r="F24" s="66"/>
      <c r="G24" s="67"/>
      <c r="H24" s="71"/>
      <c r="I24" s="69"/>
      <c r="J24" s="48"/>
      <c r="K24" s="49"/>
      <c r="L24" s="30"/>
      <c r="M24" s="30"/>
      <c r="N24" s="35"/>
      <c r="O24" s="35"/>
      <c r="P24" s="35"/>
      <c r="Q24" s="35"/>
      <c r="R24" s="35"/>
      <c r="S24" s="52"/>
      <c r="T24" s="70"/>
    </row>
    <row r="25" spans="1:20" x14ac:dyDescent="0.25">
      <c r="A25" s="63"/>
      <c r="B25" s="64"/>
      <c r="C25" s="63"/>
      <c r="D25" s="65"/>
      <c r="E25" s="65"/>
      <c r="F25" s="66"/>
      <c r="G25" s="67"/>
      <c r="H25" s="71"/>
      <c r="I25" s="69"/>
      <c r="J25" s="48"/>
      <c r="K25" s="49"/>
      <c r="L25" s="30"/>
      <c r="M25" s="30"/>
      <c r="N25" s="35"/>
      <c r="O25" s="35"/>
      <c r="P25" s="35"/>
      <c r="Q25" s="35"/>
      <c r="R25" s="35"/>
      <c r="S25" s="52"/>
      <c r="T25" s="70"/>
    </row>
    <row r="26" spans="1:20" x14ac:dyDescent="0.25">
      <c r="A26" s="63"/>
      <c r="B26" s="64"/>
      <c r="C26" s="63"/>
      <c r="D26" s="65"/>
      <c r="E26" s="65"/>
      <c r="F26" s="66"/>
      <c r="G26" s="67"/>
      <c r="H26" s="71"/>
      <c r="I26" s="69"/>
      <c r="J26" s="48"/>
      <c r="K26" s="49"/>
      <c r="L26" s="30"/>
      <c r="M26" s="35"/>
      <c r="N26" s="35"/>
      <c r="O26" s="35"/>
      <c r="P26" s="35"/>
      <c r="Q26" s="35"/>
      <c r="R26" s="35"/>
      <c r="S26" s="52"/>
      <c r="T26" s="70"/>
    </row>
    <row r="27" spans="1:20" x14ac:dyDescent="0.25">
      <c r="A27" s="63"/>
      <c r="B27" s="64"/>
      <c r="C27" s="63"/>
      <c r="D27" s="65"/>
      <c r="E27" s="65"/>
      <c r="F27" s="66"/>
      <c r="G27" s="67"/>
      <c r="H27" s="71"/>
      <c r="I27" s="69"/>
      <c r="J27" s="48"/>
      <c r="K27" s="49"/>
      <c r="L27" s="30"/>
      <c r="M27" s="35"/>
      <c r="N27" s="35"/>
      <c r="O27" s="35"/>
      <c r="P27" s="35"/>
      <c r="Q27" s="35"/>
      <c r="R27" s="35"/>
      <c r="S27" s="52"/>
      <c r="T27" s="70"/>
    </row>
    <row r="28" spans="1:20" x14ac:dyDescent="0.25">
      <c r="A28" s="72" t="s">
        <v>24</v>
      </c>
      <c r="B28" s="73"/>
      <c r="C28" s="74">
        <f>F5</f>
        <v>0</v>
      </c>
      <c r="D28" s="2"/>
      <c r="E28" s="2"/>
      <c r="F28" s="66"/>
      <c r="G28" s="75"/>
      <c r="H28" s="76"/>
      <c r="I28" s="69"/>
      <c r="J28" s="48"/>
      <c r="K28" s="72" t="s">
        <v>24</v>
      </c>
      <c r="L28" s="73"/>
      <c r="M28" s="74"/>
      <c r="N28" s="77">
        <f>Q5</f>
        <v>2963.69</v>
      </c>
      <c r="O28" s="65"/>
      <c r="P28" s="65"/>
      <c r="Q28" s="65"/>
      <c r="R28" s="65"/>
      <c r="S28" s="78"/>
      <c r="T28" s="79"/>
    </row>
    <row r="29" spans="1:20" x14ac:dyDescent="0.25">
      <c r="A29" s="1" t="s">
        <v>25</v>
      </c>
      <c r="B29" s="80"/>
      <c r="C29" s="81">
        <f>I22</f>
        <v>16611.93</v>
      </c>
      <c r="D29" s="2"/>
      <c r="E29" s="2"/>
      <c r="F29" s="66"/>
      <c r="G29" s="67"/>
      <c r="H29" s="82"/>
      <c r="I29" s="83"/>
      <c r="J29" s="48"/>
      <c r="K29" s="1" t="s">
        <v>26</v>
      </c>
      <c r="L29" s="80"/>
      <c r="M29" s="81"/>
      <c r="N29" s="2">
        <f>T15</f>
        <v>0</v>
      </c>
      <c r="O29" s="65"/>
      <c r="P29" s="65"/>
      <c r="Q29" s="65"/>
      <c r="R29" s="65"/>
      <c r="S29" s="78"/>
      <c r="T29" s="79"/>
    </row>
    <row r="30" spans="1:20" x14ac:dyDescent="0.25">
      <c r="A30" s="1" t="s">
        <v>27</v>
      </c>
      <c r="B30" s="80"/>
      <c r="C30" s="81"/>
      <c r="D30" s="65"/>
      <c r="E30" s="65"/>
      <c r="F30" s="84"/>
      <c r="G30" s="85"/>
      <c r="H30" s="65"/>
      <c r="I30" s="78"/>
      <c r="J30" s="48"/>
      <c r="K30" s="1" t="s">
        <v>28</v>
      </c>
      <c r="L30" s="80"/>
      <c r="M30" s="81"/>
      <c r="N30" s="2">
        <f>G6+G7+G8</f>
        <v>8114.07</v>
      </c>
      <c r="O30" s="65"/>
      <c r="P30" s="65"/>
      <c r="Q30" s="65"/>
      <c r="R30" s="65"/>
      <c r="S30" s="78"/>
      <c r="T30" s="79"/>
    </row>
    <row r="31" spans="1:20" x14ac:dyDescent="0.25">
      <c r="A31" s="86" t="s">
        <v>59</v>
      </c>
      <c r="B31" s="1"/>
      <c r="C31" s="87">
        <v>7876</v>
      </c>
      <c r="D31" s="87"/>
      <c r="E31" s="65"/>
      <c r="F31" s="78"/>
      <c r="G31" s="65"/>
      <c r="H31" s="65"/>
      <c r="I31" s="78"/>
      <c r="J31" s="48"/>
      <c r="K31" s="86" t="s">
        <v>60</v>
      </c>
      <c r="L31" s="1"/>
      <c r="M31" s="87"/>
      <c r="N31" s="65">
        <v>682</v>
      </c>
      <c r="O31" s="65"/>
      <c r="P31" s="65"/>
      <c r="Q31" s="65"/>
      <c r="R31" s="65"/>
      <c r="S31" s="78"/>
      <c r="T31" s="79"/>
    </row>
    <row r="32" spans="1:20" x14ac:dyDescent="0.25">
      <c r="A32" s="88"/>
      <c r="B32" s="89"/>
      <c r="C32" s="90"/>
      <c r="D32" s="65"/>
      <c r="E32" s="65"/>
      <c r="F32" s="78"/>
      <c r="G32" s="65"/>
      <c r="H32" s="65"/>
      <c r="I32" s="91"/>
      <c r="J32" s="3"/>
      <c r="K32" s="86"/>
      <c r="L32" s="1"/>
      <c r="M32" s="87"/>
      <c r="N32" s="87"/>
      <c r="O32" s="87"/>
      <c r="P32" s="65"/>
      <c r="Q32" s="65"/>
      <c r="R32" s="65"/>
      <c r="S32" s="78"/>
      <c r="T32" s="79"/>
    </row>
    <row r="33" spans="1:20" x14ac:dyDescent="0.25">
      <c r="A33" s="1"/>
      <c r="B33" s="80"/>
      <c r="C33" s="4"/>
      <c r="D33" s="65"/>
      <c r="E33" s="65"/>
      <c r="F33" s="65"/>
      <c r="G33" s="65"/>
      <c r="H33" s="65"/>
      <c r="I33" s="65"/>
      <c r="J33" s="48"/>
      <c r="K33" s="63"/>
      <c r="L33" s="63"/>
      <c r="M33" s="65"/>
      <c r="N33" s="65"/>
      <c r="O33" s="65"/>
      <c r="P33" s="65"/>
      <c r="Q33" s="65"/>
      <c r="R33" s="63"/>
      <c r="S33" s="63"/>
      <c r="T33" s="63"/>
    </row>
    <row r="34" spans="1:20" x14ac:dyDescent="0.25">
      <c r="A34" s="1"/>
      <c r="B34" s="80"/>
      <c r="C34" s="1"/>
      <c r="D34" s="2"/>
      <c r="E34" s="2"/>
      <c r="F34" s="2"/>
      <c r="G34" s="2"/>
      <c r="H34" s="2"/>
      <c r="I34" s="2"/>
      <c r="J34" s="3"/>
      <c r="K34" s="1"/>
      <c r="L34" s="1"/>
      <c r="M34" s="2"/>
      <c r="N34" s="2"/>
      <c r="O34" s="2"/>
      <c r="P34" s="65"/>
      <c r="Q34" s="65"/>
      <c r="R34" s="63"/>
      <c r="S34" s="63"/>
      <c r="T34" s="63"/>
    </row>
    <row r="35" spans="1:20" x14ac:dyDescent="0.25">
      <c r="A35" s="1"/>
      <c r="B35" s="80"/>
      <c r="C35" s="1"/>
      <c r="D35" s="2"/>
      <c r="E35" s="2"/>
      <c r="F35" s="2"/>
      <c r="G35" s="2"/>
      <c r="H35" s="2"/>
      <c r="I35" s="2"/>
      <c r="J35" s="3"/>
      <c r="K35" s="1"/>
      <c r="L35" s="80"/>
      <c r="M35" s="81"/>
      <c r="N35" s="2"/>
      <c r="O35" s="2"/>
      <c r="P35" s="65"/>
      <c r="Q35" s="65"/>
      <c r="R35" s="65"/>
      <c r="S35" s="78"/>
      <c r="T35" s="79"/>
    </row>
    <row r="36" spans="1:20" x14ac:dyDescent="0.25">
      <c r="A36" s="92"/>
      <c r="B36" s="92" t="s">
        <v>29</v>
      </c>
      <c r="C36" s="93">
        <f>C29+C30+C31</f>
        <v>24487.93</v>
      </c>
      <c r="D36" s="93"/>
      <c r="E36" s="93"/>
      <c r="F36" s="93"/>
      <c r="G36" s="93"/>
      <c r="H36" s="93"/>
      <c r="I36" s="93"/>
      <c r="J36" s="94"/>
      <c r="K36" s="92"/>
      <c r="L36" s="95"/>
      <c r="M36" s="92" t="s">
        <v>29</v>
      </c>
      <c r="N36" s="93">
        <f>N28+N29+N30+N31+N32</f>
        <v>11759.76</v>
      </c>
      <c r="O36" s="2"/>
      <c r="P36" s="65"/>
      <c r="Q36" s="65"/>
      <c r="R36" s="65"/>
      <c r="S36" s="78"/>
      <c r="T36" s="79"/>
    </row>
    <row r="37" spans="1:20" x14ac:dyDescent="0.25">
      <c r="A37" s="1"/>
      <c r="B37" s="80"/>
      <c r="C37" s="81"/>
      <c r="D37" s="2"/>
      <c r="E37" s="2"/>
      <c r="F37" s="2"/>
      <c r="G37" s="2"/>
      <c r="H37" s="2"/>
      <c r="I37" s="2"/>
      <c r="J37" s="3"/>
      <c r="K37" s="1"/>
      <c r="L37" s="80"/>
      <c r="M37" s="81"/>
      <c r="N37" s="2"/>
      <c r="O37" s="2"/>
      <c r="P37" s="65"/>
      <c r="Q37" s="65"/>
      <c r="R37" s="65"/>
      <c r="S37" s="78"/>
      <c r="T37" s="79"/>
    </row>
    <row r="38" spans="1:20" x14ac:dyDescent="0.25">
      <c r="A38" s="88"/>
      <c r="B38" s="89"/>
      <c r="C38" s="90"/>
      <c r="D38" s="2"/>
      <c r="E38" s="2"/>
      <c r="F38" s="2"/>
      <c r="G38" s="2"/>
      <c r="H38" s="2"/>
      <c r="I38" s="2"/>
      <c r="J38" s="3"/>
      <c r="K38" s="1"/>
      <c r="L38" s="80"/>
      <c r="M38" s="81"/>
      <c r="N38" s="2"/>
      <c r="O38" s="2"/>
      <c r="P38" s="65"/>
      <c r="Q38" s="65"/>
      <c r="R38" s="65"/>
      <c r="S38" s="78"/>
      <c r="T38" s="79"/>
    </row>
    <row r="39" spans="1:20" x14ac:dyDescent="0.25">
      <c r="A39" s="88"/>
      <c r="B39" s="89"/>
      <c r="C39" s="65"/>
      <c r="D39" s="65"/>
      <c r="E39" s="65"/>
      <c r="F39" s="2"/>
      <c r="G39" s="2"/>
      <c r="H39" s="2"/>
      <c r="I39" s="2"/>
      <c r="J39" s="3"/>
      <c r="K39" s="1"/>
      <c r="L39" s="80"/>
      <c r="M39" s="81"/>
      <c r="N39" s="2"/>
      <c r="O39" s="2"/>
      <c r="P39" s="65"/>
      <c r="Q39" s="65"/>
      <c r="R39" s="65"/>
      <c r="S39" s="78"/>
      <c r="T39" s="79"/>
    </row>
    <row r="40" spans="1:20" x14ac:dyDescent="0.25">
      <c r="A40" s="96"/>
      <c r="B40" s="97"/>
      <c r="C40" s="98"/>
      <c r="D40" s="99"/>
      <c r="E40" s="99"/>
      <c r="F40" s="99"/>
      <c r="G40" s="99"/>
      <c r="H40" s="99"/>
      <c r="I40" s="99"/>
      <c r="J40" s="100"/>
      <c r="K40" s="96"/>
      <c r="L40" s="97"/>
      <c r="M40" s="101"/>
      <c r="N40" s="102"/>
      <c r="O40" s="102"/>
      <c r="P40" s="103"/>
      <c r="Q40" s="104"/>
      <c r="R40" s="104"/>
      <c r="S40" s="105"/>
      <c r="T40" s="106"/>
    </row>
    <row r="41" spans="1:20" x14ac:dyDescent="0.25">
      <c r="A41" s="107"/>
      <c r="B41" s="107"/>
      <c r="C41" s="107"/>
      <c r="D41" s="107"/>
      <c r="E41" s="107"/>
      <c r="F41" s="107"/>
      <c r="G41" s="107"/>
      <c r="H41" s="107"/>
      <c r="I41" s="107"/>
      <c r="J41" s="100"/>
      <c r="K41" s="107"/>
      <c r="L41" s="107"/>
      <c r="M41" s="107"/>
      <c r="N41" s="108"/>
      <c r="O41" s="108"/>
      <c r="P41" s="109"/>
      <c r="Q41" s="107"/>
      <c r="R41" s="107"/>
      <c r="S41" s="107"/>
      <c r="T41" s="107"/>
    </row>
    <row r="42" spans="1:20" x14ac:dyDescent="0.25">
      <c r="A42" s="107"/>
      <c r="B42" s="107"/>
      <c r="C42" s="107"/>
      <c r="D42" s="107"/>
      <c r="E42" s="107"/>
      <c r="F42" s="107"/>
      <c r="G42" s="108"/>
      <c r="H42" s="107"/>
      <c r="I42" s="107"/>
      <c r="J42" s="100"/>
      <c r="K42" s="107"/>
      <c r="L42" s="107"/>
      <c r="M42" s="107"/>
      <c r="N42" s="108"/>
      <c r="O42" s="108"/>
      <c r="P42" s="108"/>
      <c r="Q42" s="107"/>
      <c r="R42" s="107"/>
      <c r="S42" s="107"/>
      <c r="T42" s="107"/>
    </row>
    <row r="43" spans="1:20" x14ac:dyDescent="0.25">
      <c r="A43" s="107"/>
      <c r="B43" s="107"/>
      <c r="C43" s="107"/>
      <c r="D43" s="107"/>
      <c r="E43" s="107"/>
      <c r="F43" s="110"/>
      <c r="G43" s="111"/>
      <c r="H43" s="107"/>
      <c r="I43" s="107"/>
      <c r="J43" s="100"/>
      <c r="K43" s="107"/>
      <c r="L43" s="107"/>
      <c r="M43" s="107"/>
      <c r="N43" s="108"/>
      <c r="O43" s="108"/>
      <c r="P43" s="108"/>
      <c r="Q43" s="107"/>
      <c r="R43" s="107"/>
      <c r="S43" s="107"/>
      <c r="T43" s="107"/>
    </row>
    <row r="44" spans="1:20" x14ac:dyDescent="0.25">
      <c r="A44" s="107"/>
      <c r="B44" s="107"/>
      <c r="C44" s="107"/>
      <c r="D44" s="107"/>
      <c r="E44" s="107"/>
      <c r="F44" s="112" t="s">
        <v>30</v>
      </c>
      <c r="G44" s="113">
        <f>C36-N36</f>
        <v>12728.17</v>
      </c>
      <c r="H44" s="107"/>
      <c r="I44" s="107"/>
      <c r="J44" s="100"/>
      <c r="K44" s="107"/>
      <c r="L44" s="107"/>
      <c r="M44" s="114"/>
      <c r="N44" s="122"/>
      <c r="O44" s="114"/>
      <c r="P44" s="107"/>
      <c r="Q44" s="107"/>
      <c r="R44" s="107"/>
      <c r="S44" s="107"/>
      <c r="T44" s="107"/>
    </row>
    <row r="45" spans="1:20" x14ac:dyDescent="0.25">
      <c r="A45" s="107"/>
      <c r="B45" s="107"/>
      <c r="C45" s="107"/>
      <c r="D45" s="107"/>
      <c r="E45" s="107"/>
      <c r="F45" s="110"/>
      <c r="G45" s="110"/>
      <c r="H45" s="107"/>
      <c r="I45" s="107"/>
      <c r="J45" s="100"/>
      <c r="K45" s="107"/>
      <c r="L45" s="107"/>
      <c r="M45" s="107"/>
      <c r="N45" s="107"/>
      <c r="O45" s="107"/>
      <c r="P45" s="107"/>
      <c r="Q45" s="107"/>
      <c r="R45" s="107"/>
      <c r="S45" s="107"/>
      <c r="T45" s="107"/>
    </row>
  </sheetData>
  <conditionalFormatting sqref="C1:C5 M5:O9 C9">
    <cfRule type="cellIs" dxfId="420" priority="16" operator="equal">
      <formula>15698.2</formula>
    </cfRule>
  </conditionalFormatting>
  <conditionalFormatting sqref="C31">
    <cfRule type="cellIs" dxfId="419" priority="3" operator="equal">
      <formula>15698.2</formula>
    </cfRule>
  </conditionalFormatting>
  <conditionalFormatting sqref="C31:D31">
    <cfRule type="cellIs" dxfId="418" priority="1" operator="equal">
      <formula>"KAPALI"</formula>
    </cfRule>
    <cfRule type="cellIs" dxfId="417" priority="2" operator="equal">
      <formula>"açık"</formula>
    </cfRule>
  </conditionalFormatting>
  <conditionalFormatting sqref="C39:F39 D40:F40">
    <cfRule type="cellIs" dxfId="416" priority="33" operator="equal">
      <formula>"kapalı"</formula>
    </cfRule>
    <cfRule type="cellIs" dxfId="415" priority="32" operator="equal">
      <formula>15698.2</formula>
    </cfRule>
  </conditionalFormatting>
  <conditionalFormatting sqref="D9 G12:G16">
    <cfRule type="cellIs" dxfId="414" priority="17" operator="equal">
      <formula>"K.KART"</formula>
    </cfRule>
  </conditionalFormatting>
  <conditionalFormatting sqref="D9:D12">
    <cfRule type="cellIs" dxfId="413" priority="15" operator="equal">
      <formula>"kapalı"</formula>
    </cfRule>
  </conditionalFormatting>
  <conditionalFormatting sqref="D6:F8">
    <cfRule type="cellIs" dxfId="412" priority="7" operator="equal">
      <formula>"kapalı"</formula>
    </cfRule>
  </conditionalFormatting>
  <conditionalFormatting sqref="D15:F30">
    <cfRule type="cellIs" dxfId="411" priority="13" operator="equal">
      <formula>"kapalı"</formula>
    </cfRule>
  </conditionalFormatting>
  <conditionalFormatting sqref="D31:F38">
    <cfRule type="cellIs" dxfId="410" priority="18" operator="equal">
      <formula>15698.2</formula>
    </cfRule>
  </conditionalFormatting>
  <conditionalFormatting sqref="D1:H4 D5:E5 G5:H5 H6:H8 G18:G21 G23:G29 G30:H40">
    <cfRule type="cellIs" dxfId="409" priority="40" operator="equal">
      <formula>"K.KART"</formula>
    </cfRule>
  </conditionalFormatting>
  <conditionalFormatting sqref="E31:F31 D32:F38">
    <cfRule type="cellIs" dxfId="408" priority="19" operator="equal">
      <formula>"kapalı"</formula>
    </cfRule>
  </conditionalFormatting>
  <conditionalFormatting sqref="F5">
    <cfRule type="cellIs" dxfId="407" priority="22" operator="equal">
      <formula>15698.2</formula>
    </cfRule>
    <cfRule type="cellIs" dxfId="406" priority="23" operator="equal">
      <formula>"kapalı"</formula>
    </cfRule>
  </conditionalFormatting>
  <conditionalFormatting sqref="F7">
    <cfRule type="cellIs" dxfId="405" priority="9" operator="equal">
      <formula>"K.KART"</formula>
    </cfRule>
  </conditionalFormatting>
  <conditionalFormatting sqref="F10">
    <cfRule type="cellIs" dxfId="404" priority="45" operator="equal">
      <formula>"K.KART"</formula>
    </cfRule>
  </conditionalFormatting>
  <conditionalFormatting sqref="F10:F13 E14:F14">
    <cfRule type="cellIs" dxfId="403" priority="14" operator="equal">
      <formula>"kapalı"</formula>
    </cfRule>
  </conditionalFormatting>
  <conditionalFormatting sqref="F12">
    <cfRule type="cellIs" dxfId="402" priority="46" operator="equal">
      <formula>"K.KART"</formula>
    </cfRule>
  </conditionalFormatting>
  <conditionalFormatting sqref="G6">
    <cfRule type="cellIs" dxfId="401" priority="10" operator="equal">
      <formula>"K.KART"</formula>
    </cfRule>
  </conditionalFormatting>
  <conditionalFormatting sqref="G7:G8">
    <cfRule type="cellIs" dxfId="400" priority="8" operator="equal">
      <formula>"K.KART"</formula>
    </cfRule>
  </conditionalFormatting>
  <conditionalFormatting sqref="G17">
    <cfRule type="cellIs" dxfId="399" priority="27" operator="equal">
      <formula>"K.KART"</formula>
    </cfRule>
  </conditionalFormatting>
  <conditionalFormatting sqref="G9:H11">
    <cfRule type="cellIs" dxfId="398" priority="11" operator="equal">
      <formula>"K.KART"</formula>
    </cfRule>
  </conditionalFormatting>
  <conditionalFormatting sqref="H12">
    <cfRule type="cellIs" dxfId="397" priority="12" operator="equal">
      <formula>"K.KART"</formula>
    </cfRule>
  </conditionalFormatting>
  <conditionalFormatting sqref="H23:H27 H29">
    <cfRule type="cellIs" dxfId="396" priority="28" operator="equal">
      <formula>"K.KART"</formula>
    </cfRule>
  </conditionalFormatting>
  <conditionalFormatting sqref="M26:M35">
    <cfRule type="cellIs" dxfId="395" priority="6" operator="equal">
      <formula>15698.2</formula>
    </cfRule>
  </conditionalFormatting>
  <conditionalFormatting sqref="M4:N4">
    <cfRule type="cellIs" dxfId="394" priority="30" operator="equal">
      <formula>"kapalı"</formula>
    </cfRule>
    <cfRule type="cellIs" dxfId="393" priority="29" operator="equal">
      <formula>15698.2</formula>
    </cfRule>
  </conditionalFormatting>
  <conditionalFormatting sqref="M10:N10">
    <cfRule type="cellIs" dxfId="392" priority="34" operator="equal">
      <formula>15698.2</formula>
    </cfRule>
    <cfRule type="cellIs" dxfId="391" priority="35" operator="equal">
      <formula>"kapalı"</formula>
    </cfRule>
  </conditionalFormatting>
  <conditionalFormatting sqref="M1:O3 M5:O9 M11:O11">
    <cfRule type="cellIs" dxfId="390" priority="43" operator="equal">
      <formula>"KAPALI"</formula>
    </cfRule>
    <cfRule type="cellIs" dxfId="389" priority="44" operator="equal">
      <formula>"açık"</formula>
    </cfRule>
  </conditionalFormatting>
  <conditionalFormatting sqref="M1:O3 N10:O40 M11 M37:M39">
    <cfRule type="cellIs" dxfId="388" priority="41" operator="equal">
      <formula>15698.2</formula>
    </cfRule>
  </conditionalFormatting>
  <conditionalFormatting sqref="M26:O35">
    <cfRule type="cellIs" dxfId="387" priority="5" operator="equal">
      <formula>"açık"</formula>
    </cfRule>
    <cfRule type="cellIs" dxfId="386" priority="4" operator="equal">
      <formula>"KAPALI"</formula>
    </cfRule>
  </conditionalFormatting>
  <conditionalFormatting sqref="N9:O27 O28:O29">
    <cfRule type="cellIs" dxfId="385" priority="37" operator="equal">
      <formula>"kapalı"</formula>
    </cfRule>
  </conditionalFormatting>
  <conditionalFormatting sqref="N36:O36 M37:O37 M38:M39">
    <cfRule type="cellIs" dxfId="384" priority="38" operator="equal">
      <formula>"KAPALI"</formula>
    </cfRule>
    <cfRule type="cellIs" dxfId="383" priority="39" operator="equal">
      <formula>"açık"</formula>
    </cfRule>
  </conditionalFormatting>
  <conditionalFormatting sqref="N38:O40">
    <cfRule type="cellIs" dxfId="382" priority="21" operator="equal">
      <formula>"açık"</formula>
    </cfRule>
    <cfRule type="cellIs" dxfId="381" priority="20" operator="equal">
      <formula>"KAPALI"</formula>
    </cfRule>
  </conditionalFormatting>
  <conditionalFormatting sqref="O10 Q10:S10">
    <cfRule type="cellIs" dxfId="380" priority="36" operator="equal">
      <formula>"K.KART"</formula>
    </cfRule>
  </conditionalFormatting>
  <conditionalFormatting sqref="O4:T4">
    <cfRule type="cellIs" dxfId="379" priority="31" operator="equal">
      <formula>"K.KART"</formula>
    </cfRule>
  </conditionalFormatting>
  <conditionalFormatting sqref="P10:P16 C36">
    <cfRule type="cellIs" dxfId="378" priority="25" operator="equal">
      <formula>15698.2</formula>
    </cfRule>
    <cfRule type="cellIs" dxfId="377" priority="26" operator="equal">
      <formula>"kapalı"</formula>
    </cfRule>
  </conditionalFormatting>
  <conditionalFormatting sqref="P1:Q3 P5:P8 P14:P40">
    <cfRule type="cellIs" dxfId="376" priority="42" operator="equal">
      <formula>"K.KART"</formula>
    </cfRule>
  </conditionalFormatting>
  <conditionalFormatting sqref="Q9:Q40 C39:E39">
    <cfRule type="cellIs" dxfId="375" priority="24" operator="equal">
      <formula>"K.KART"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BFA8-BD07-40C4-B4BF-8E5C29F1BBCA}">
  <dimension ref="A1:T44"/>
  <sheetViews>
    <sheetView topLeftCell="A10" workbookViewId="0">
      <selection activeCell="H41" sqref="H41"/>
    </sheetView>
  </sheetViews>
  <sheetFormatPr defaultRowHeight="15" x14ac:dyDescent="0.25"/>
  <cols>
    <col min="1" max="1" width="17.140625" customWidth="1"/>
    <col min="2" max="2" width="11.7109375" customWidth="1"/>
    <col min="3" max="3" width="12.7109375" customWidth="1"/>
    <col min="6" max="6" width="11" customWidth="1"/>
    <col min="7" max="7" width="10.5703125" customWidth="1"/>
    <col min="8" max="8" width="13" customWidth="1"/>
    <col min="10" max="10" width="2.28515625" customWidth="1"/>
  </cols>
  <sheetData>
    <row r="1" spans="1:20" x14ac:dyDescent="0.25">
      <c r="A1" s="1"/>
      <c r="B1" s="1"/>
      <c r="C1" s="2"/>
      <c r="D1" s="2"/>
      <c r="E1" s="2"/>
      <c r="F1" s="2"/>
      <c r="G1" s="2"/>
      <c r="H1" s="2"/>
      <c r="I1" s="2"/>
      <c r="J1" s="3"/>
      <c r="K1" s="1"/>
      <c r="L1" s="1"/>
      <c r="M1" s="2"/>
      <c r="N1" s="2"/>
      <c r="O1" s="2"/>
      <c r="P1" s="2"/>
      <c r="Q1" s="2"/>
      <c r="R1" s="2"/>
      <c r="S1" s="4"/>
      <c r="T1" s="5"/>
    </row>
    <row r="2" spans="1:20" x14ac:dyDescent="0.25">
      <c r="A2" s="6" t="s">
        <v>0</v>
      </c>
      <c r="B2" s="6"/>
      <c r="C2" s="7"/>
      <c r="D2" s="7"/>
      <c r="E2" s="7"/>
      <c r="F2" s="7"/>
      <c r="G2" s="7"/>
      <c r="H2" s="7"/>
      <c r="I2" s="7"/>
      <c r="J2" s="3"/>
      <c r="K2" s="6" t="s">
        <v>1</v>
      </c>
      <c r="L2" s="6"/>
      <c r="M2" s="7"/>
      <c r="N2" s="7"/>
      <c r="O2" s="7"/>
      <c r="P2" s="7"/>
      <c r="Q2" s="7"/>
      <c r="R2" s="7"/>
      <c r="S2" s="8"/>
      <c r="T2" s="9"/>
    </row>
    <row r="3" spans="1:20" x14ac:dyDescent="0.25">
      <c r="A3" s="10" t="s">
        <v>61</v>
      </c>
      <c r="B3" s="10">
        <v>2025</v>
      </c>
      <c r="C3" s="11"/>
      <c r="D3" s="11"/>
      <c r="E3" s="11"/>
      <c r="F3" s="11"/>
      <c r="G3" s="11"/>
      <c r="H3" s="11"/>
      <c r="I3" s="11"/>
      <c r="J3" s="12"/>
      <c r="K3" s="10" t="s">
        <v>61</v>
      </c>
      <c r="L3" s="10">
        <v>2025</v>
      </c>
      <c r="M3" s="11"/>
      <c r="N3" s="11"/>
      <c r="O3" s="11"/>
      <c r="P3" s="11"/>
      <c r="Q3" s="11"/>
      <c r="R3" s="11"/>
      <c r="S3" s="13"/>
      <c r="T3" s="14"/>
    </row>
    <row r="4" spans="1:20" ht="38.25" x14ac:dyDescent="0.25">
      <c r="A4" s="15" t="s">
        <v>2</v>
      </c>
      <c r="B4" s="15" t="s">
        <v>3</v>
      </c>
      <c r="C4" s="16" t="s">
        <v>4</v>
      </c>
      <c r="D4" s="16" t="s">
        <v>5</v>
      </c>
      <c r="E4" s="16" t="s">
        <v>6</v>
      </c>
      <c r="F4" s="17" t="s">
        <v>7</v>
      </c>
      <c r="G4" s="16" t="s">
        <v>8</v>
      </c>
      <c r="H4" s="16" t="s">
        <v>9</v>
      </c>
      <c r="I4" s="18" t="s">
        <v>10</v>
      </c>
      <c r="J4" s="19"/>
      <c r="K4" s="15" t="s">
        <v>2</v>
      </c>
      <c r="L4" s="15" t="s">
        <v>3</v>
      </c>
      <c r="M4" s="16" t="s">
        <v>4</v>
      </c>
      <c r="N4" s="16" t="s">
        <v>11</v>
      </c>
      <c r="O4" s="16" t="s">
        <v>5</v>
      </c>
      <c r="P4" s="16" t="s">
        <v>6</v>
      </c>
      <c r="Q4" s="16" t="s">
        <v>7</v>
      </c>
      <c r="R4" s="16" t="s">
        <v>8</v>
      </c>
      <c r="S4" s="18" t="s">
        <v>9</v>
      </c>
      <c r="T4" s="18" t="s">
        <v>12</v>
      </c>
    </row>
    <row r="5" spans="1:20" x14ac:dyDescent="0.25">
      <c r="A5" s="20" t="s">
        <v>13</v>
      </c>
      <c r="B5" s="20"/>
      <c r="C5" s="21"/>
      <c r="D5" s="21"/>
      <c r="E5" s="21"/>
      <c r="F5" s="22">
        <v>12728.17</v>
      </c>
      <c r="G5" s="23"/>
      <c r="H5" s="21"/>
      <c r="I5" s="24"/>
      <c r="J5" s="25"/>
      <c r="K5" s="26" t="s">
        <v>13</v>
      </c>
      <c r="L5" s="20"/>
      <c r="M5" s="21"/>
      <c r="N5" s="21"/>
      <c r="O5" s="21"/>
      <c r="P5" s="21"/>
      <c r="Q5" s="21"/>
      <c r="R5" s="21"/>
      <c r="S5" s="27"/>
      <c r="T5" s="28"/>
    </row>
    <row r="6" spans="1:20" x14ac:dyDescent="0.25">
      <c r="A6" s="29" t="s">
        <v>22</v>
      </c>
      <c r="B6" s="34">
        <v>45631</v>
      </c>
      <c r="C6" s="30">
        <v>529806844</v>
      </c>
      <c r="D6" s="35" t="s">
        <v>15</v>
      </c>
      <c r="E6" s="50" t="s">
        <v>32</v>
      </c>
      <c r="F6" s="32">
        <v>10955.95</v>
      </c>
      <c r="G6" s="40">
        <v>1826.05</v>
      </c>
      <c r="H6" s="123"/>
      <c r="I6" s="119"/>
      <c r="J6" s="25"/>
      <c r="K6" s="126"/>
      <c r="L6" s="127"/>
      <c r="M6" s="123"/>
      <c r="N6" s="123"/>
      <c r="O6" s="123"/>
      <c r="P6" s="123"/>
      <c r="Q6" s="123"/>
      <c r="R6" s="123"/>
      <c r="S6" s="128"/>
      <c r="T6" s="33"/>
    </row>
    <row r="7" spans="1:20" x14ac:dyDescent="0.25">
      <c r="A7" s="29" t="s">
        <v>36</v>
      </c>
      <c r="B7" s="34">
        <v>45679</v>
      </c>
      <c r="C7" s="30">
        <v>543824363</v>
      </c>
      <c r="D7" s="35" t="s">
        <v>15</v>
      </c>
      <c r="E7" s="50" t="s">
        <v>49</v>
      </c>
      <c r="F7" s="32">
        <v>22032.36</v>
      </c>
      <c r="G7" s="116">
        <f>F7/6</f>
        <v>3672.06</v>
      </c>
      <c r="H7" s="123"/>
      <c r="I7" s="119"/>
      <c r="J7" s="25"/>
      <c r="K7" s="126"/>
      <c r="L7" s="127"/>
      <c r="M7" s="123"/>
      <c r="N7" s="123"/>
      <c r="O7" s="123"/>
      <c r="P7" s="123"/>
      <c r="Q7" s="123"/>
      <c r="R7" s="123"/>
      <c r="S7" s="128"/>
      <c r="T7" s="33"/>
    </row>
    <row r="8" spans="1:20" x14ac:dyDescent="0.25">
      <c r="A8" s="29" t="s">
        <v>62</v>
      </c>
      <c r="B8" s="34">
        <v>45764</v>
      </c>
      <c r="C8" s="30">
        <v>5283239</v>
      </c>
      <c r="D8" s="35" t="s">
        <v>39</v>
      </c>
      <c r="E8" s="131" t="s">
        <v>17</v>
      </c>
      <c r="F8" s="32">
        <v>53803.93</v>
      </c>
      <c r="G8" s="40"/>
      <c r="H8" s="123">
        <v>6994.39</v>
      </c>
      <c r="I8" s="119">
        <v>3497</v>
      </c>
      <c r="J8" s="19"/>
      <c r="K8" s="126"/>
      <c r="L8" s="127"/>
      <c r="M8" s="123"/>
      <c r="N8" s="123"/>
      <c r="O8" s="123"/>
      <c r="P8" s="123"/>
      <c r="Q8" s="123"/>
      <c r="R8" s="123"/>
      <c r="S8" s="128"/>
      <c r="T8" s="33"/>
    </row>
    <row r="9" spans="1:20" x14ac:dyDescent="0.25">
      <c r="A9" s="29" t="s">
        <v>63</v>
      </c>
      <c r="B9" s="34">
        <v>45764</v>
      </c>
      <c r="C9" s="30">
        <v>564419555</v>
      </c>
      <c r="D9" s="35" t="s">
        <v>15</v>
      </c>
      <c r="E9" s="131" t="s">
        <v>17</v>
      </c>
      <c r="F9" s="32">
        <v>15483.77</v>
      </c>
      <c r="G9" s="40"/>
      <c r="H9" s="123">
        <v>1916.98</v>
      </c>
      <c r="I9" s="119">
        <v>958.5</v>
      </c>
      <c r="J9" s="19"/>
      <c r="K9" s="126"/>
      <c r="L9" s="127"/>
      <c r="M9" s="123"/>
      <c r="N9" s="123"/>
      <c r="O9" s="123"/>
      <c r="P9" s="123"/>
      <c r="Q9" s="123"/>
      <c r="R9" s="123"/>
      <c r="S9" s="128"/>
      <c r="T9" s="33"/>
    </row>
    <row r="10" spans="1:20" x14ac:dyDescent="0.25">
      <c r="A10" s="29" t="s">
        <v>64</v>
      </c>
      <c r="B10" s="34">
        <v>45773</v>
      </c>
      <c r="C10" s="30">
        <v>566718149</v>
      </c>
      <c r="D10" s="35" t="s">
        <v>35</v>
      </c>
      <c r="E10" s="131" t="s">
        <v>17</v>
      </c>
      <c r="F10" s="32">
        <v>8092.98</v>
      </c>
      <c r="G10" s="116"/>
      <c r="H10" s="123">
        <v>722.5</v>
      </c>
      <c r="I10" s="119">
        <v>361.5</v>
      </c>
      <c r="J10" s="19"/>
      <c r="K10" s="126"/>
      <c r="L10" s="127"/>
      <c r="M10" s="123"/>
      <c r="N10" s="123"/>
      <c r="O10" s="123"/>
      <c r="P10" s="123"/>
      <c r="Q10" s="123"/>
      <c r="R10" s="123"/>
      <c r="S10" s="128"/>
      <c r="T10" s="33"/>
    </row>
    <row r="11" spans="1:20" x14ac:dyDescent="0.25">
      <c r="A11" s="29"/>
      <c r="B11" s="34"/>
      <c r="C11" s="30"/>
      <c r="D11" s="35"/>
      <c r="E11" s="129"/>
      <c r="F11" s="39"/>
      <c r="G11" s="40"/>
      <c r="H11" s="40"/>
      <c r="I11" s="33"/>
      <c r="J11" s="19"/>
      <c r="K11" s="42"/>
      <c r="L11" s="34"/>
      <c r="M11" s="30"/>
      <c r="N11" s="35"/>
      <c r="O11" s="35"/>
      <c r="P11" s="129"/>
      <c r="Q11" s="35"/>
      <c r="R11" s="35"/>
      <c r="S11" s="44"/>
      <c r="T11" s="33"/>
    </row>
    <row r="12" spans="1:20" x14ac:dyDescent="0.25">
      <c r="A12" s="29"/>
      <c r="B12" s="34"/>
      <c r="C12" s="45"/>
      <c r="D12" s="35"/>
      <c r="E12" s="129"/>
      <c r="F12" s="32"/>
      <c r="G12" s="40"/>
      <c r="H12" s="40"/>
      <c r="I12" s="33"/>
      <c r="J12" s="48"/>
      <c r="K12" s="49"/>
      <c r="L12" s="34"/>
      <c r="M12" s="30"/>
      <c r="N12" s="35"/>
      <c r="O12" s="35"/>
      <c r="P12" s="35"/>
      <c r="Q12" s="35"/>
      <c r="R12" s="35"/>
      <c r="S12" s="36"/>
      <c r="T12" s="33"/>
    </row>
    <row r="13" spans="1:20" x14ac:dyDescent="0.25">
      <c r="A13" s="29"/>
      <c r="B13" s="34"/>
      <c r="C13" s="30"/>
      <c r="D13" s="35"/>
      <c r="E13" s="129"/>
      <c r="F13" s="32"/>
      <c r="G13" s="40"/>
      <c r="H13" s="40"/>
      <c r="I13" s="33"/>
      <c r="J13" s="48"/>
      <c r="K13" s="49"/>
      <c r="L13" s="34"/>
      <c r="M13" s="30"/>
      <c r="N13" s="35"/>
      <c r="O13" s="35"/>
      <c r="P13" s="35"/>
      <c r="Q13" s="35"/>
      <c r="R13" s="35"/>
      <c r="S13" s="36"/>
      <c r="T13" s="33"/>
    </row>
    <row r="14" spans="1:20" x14ac:dyDescent="0.25">
      <c r="A14" s="29"/>
      <c r="B14" s="34"/>
      <c r="C14" s="30"/>
      <c r="D14" s="35"/>
      <c r="E14" s="129"/>
      <c r="F14" s="32"/>
      <c r="G14" s="40"/>
      <c r="H14" s="40"/>
      <c r="I14" s="33"/>
      <c r="J14" s="48"/>
      <c r="K14" s="49"/>
      <c r="L14" s="34"/>
      <c r="M14" s="30"/>
      <c r="N14" s="35"/>
      <c r="O14" s="35"/>
      <c r="P14" s="35"/>
      <c r="Q14" s="35"/>
      <c r="R14" s="35"/>
      <c r="S14" s="36"/>
      <c r="T14" s="33"/>
    </row>
    <row r="15" spans="1:20" x14ac:dyDescent="0.25">
      <c r="A15" s="29"/>
      <c r="B15" s="34"/>
      <c r="C15" s="30"/>
      <c r="D15" s="31"/>
      <c r="E15" s="35"/>
      <c r="F15" s="32"/>
      <c r="G15" s="116"/>
      <c r="H15" s="41"/>
      <c r="I15" s="33"/>
      <c r="J15" s="48"/>
      <c r="K15" s="49"/>
      <c r="L15" s="34"/>
      <c r="M15" s="30"/>
      <c r="N15" s="35"/>
      <c r="O15" s="35"/>
      <c r="P15" s="35"/>
      <c r="Q15" s="35"/>
      <c r="R15" s="35"/>
      <c r="S15" s="36"/>
      <c r="T15" s="33"/>
    </row>
    <row r="16" spans="1:20" x14ac:dyDescent="0.25">
      <c r="A16" s="29"/>
      <c r="B16" s="34"/>
      <c r="C16" s="30"/>
      <c r="D16" s="31"/>
      <c r="E16" s="35"/>
      <c r="F16" s="32"/>
      <c r="G16" s="116"/>
      <c r="H16" s="41"/>
      <c r="I16" s="33"/>
      <c r="J16" s="48"/>
      <c r="K16" s="49"/>
      <c r="L16" s="30"/>
      <c r="M16" s="30"/>
      <c r="N16" s="35"/>
      <c r="O16" s="35"/>
      <c r="P16" s="35"/>
      <c r="Q16" s="35"/>
      <c r="R16" s="35"/>
      <c r="S16" s="36"/>
      <c r="T16" s="33"/>
    </row>
    <row r="17" spans="1:20" x14ac:dyDescent="0.25">
      <c r="A17" s="29"/>
      <c r="B17" s="34"/>
      <c r="C17" s="30"/>
      <c r="D17" s="35"/>
      <c r="E17" s="35"/>
      <c r="F17" s="32"/>
      <c r="G17" s="116"/>
      <c r="H17" s="41"/>
      <c r="I17" s="33"/>
      <c r="J17" s="48"/>
      <c r="K17" s="49"/>
      <c r="L17" s="30"/>
      <c r="M17" s="30"/>
      <c r="N17" s="35"/>
      <c r="O17" s="35"/>
      <c r="P17" s="35" t="s">
        <v>23</v>
      </c>
      <c r="Q17" s="35"/>
      <c r="R17" s="35" t="s">
        <v>16</v>
      </c>
      <c r="S17" s="52"/>
      <c r="T17" s="33"/>
    </row>
    <row r="18" spans="1:20" x14ac:dyDescent="0.25">
      <c r="A18" s="29"/>
      <c r="B18" s="34"/>
      <c r="C18" s="30"/>
      <c r="D18" s="35"/>
      <c r="E18" s="35"/>
      <c r="F18" s="32"/>
      <c r="G18" s="116"/>
      <c r="H18" s="41"/>
      <c r="I18" s="33"/>
      <c r="J18" s="48"/>
      <c r="K18" s="49"/>
      <c r="L18" s="30"/>
      <c r="M18" s="30"/>
      <c r="N18" s="35"/>
      <c r="O18" s="35"/>
      <c r="P18" s="35"/>
      <c r="Q18" s="35"/>
      <c r="R18" s="35"/>
      <c r="S18" s="52"/>
      <c r="T18" s="54"/>
    </row>
    <row r="19" spans="1:20" x14ac:dyDescent="0.25">
      <c r="A19" s="29"/>
      <c r="B19" s="34"/>
      <c r="C19" s="30"/>
      <c r="D19" s="35"/>
      <c r="E19" s="35"/>
      <c r="F19" s="32"/>
      <c r="G19" s="116"/>
      <c r="H19" s="41"/>
      <c r="I19" s="33"/>
      <c r="J19" s="48"/>
      <c r="K19" s="49"/>
      <c r="L19" s="30"/>
      <c r="M19" s="30"/>
      <c r="N19" s="35"/>
      <c r="O19" s="35"/>
      <c r="P19" s="35"/>
      <c r="Q19" s="35"/>
      <c r="R19" s="35"/>
      <c r="S19" s="52"/>
      <c r="T19" s="54"/>
    </row>
    <row r="20" spans="1:20" x14ac:dyDescent="0.25">
      <c r="A20" s="30"/>
      <c r="B20" s="34"/>
      <c r="C20" s="30"/>
      <c r="D20" s="35"/>
      <c r="E20" s="35"/>
      <c r="F20" s="32"/>
      <c r="G20" s="116"/>
      <c r="H20" s="55"/>
      <c r="I20" s="33"/>
      <c r="J20" s="48"/>
      <c r="K20" s="49"/>
      <c r="L20" s="30"/>
      <c r="M20" s="30"/>
      <c r="N20" s="35"/>
      <c r="O20" s="35"/>
      <c r="P20" s="35"/>
      <c r="Q20" s="35"/>
      <c r="R20" s="35"/>
      <c r="S20" s="52"/>
      <c r="T20" s="54"/>
    </row>
    <row r="21" spans="1:20" x14ac:dyDescent="0.25">
      <c r="A21" s="30"/>
      <c r="B21" s="34"/>
      <c r="C21" s="30"/>
      <c r="D21" s="35"/>
      <c r="E21" s="35"/>
      <c r="F21" s="32"/>
      <c r="G21" s="116"/>
      <c r="H21" s="55"/>
      <c r="I21" s="33"/>
      <c r="J21" s="48"/>
      <c r="K21" s="49"/>
      <c r="L21" s="30"/>
      <c r="M21" s="30"/>
      <c r="N21" s="35"/>
      <c r="O21" s="35"/>
      <c r="P21" s="35"/>
      <c r="Q21" s="35"/>
      <c r="R21" s="35"/>
      <c r="S21" s="52"/>
      <c r="T21" s="54"/>
    </row>
    <row r="22" spans="1:20" x14ac:dyDescent="0.25">
      <c r="A22" s="30"/>
      <c r="B22" s="34"/>
      <c r="C22" s="30"/>
      <c r="D22" s="35"/>
      <c r="E22" s="35"/>
      <c r="F22" s="32"/>
      <c r="G22" s="116"/>
      <c r="H22" s="55"/>
      <c r="I22" s="33"/>
      <c r="J22" s="48"/>
      <c r="K22" s="56"/>
      <c r="L22" s="57"/>
      <c r="M22" s="58"/>
      <c r="N22" s="59"/>
      <c r="O22" s="59"/>
      <c r="P22" s="59"/>
      <c r="Q22" s="59"/>
      <c r="R22" s="59"/>
      <c r="S22" s="60"/>
      <c r="T22" s="61"/>
    </row>
    <row r="23" spans="1:20" x14ac:dyDescent="0.25">
      <c r="A23" s="30"/>
      <c r="B23" s="34"/>
      <c r="C23" s="30"/>
      <c r="D23" s="35"/>
      <c r="E23" s="35"/>
      <c r="F23" s="62"/>
      <c r="G23" s="116"/>
      <c r="H23" s="55"/>
      <c r="I23" s="33"/>
      <c r="J23" s="48"/>
      <c r="K23" s="56"/>
      <c r="L23" s="57"/>
      <c r="M23" s="58"/>
      <c r="N23" s="59"/>
      <c r="O23" s="59"/>
      <c r="P23" s="59"/>
      <c r="Q23" s="59"/>
      <c r="R23" s="59"/>
      <c r="S23" s="60"/>
      <c r="T23" s="61"/>
    </row>
    <row r="24" spans="1:20" x14ac:dyDescent="0.25">
      <c r="A24" s="30"/>
      <c r="B24" s="34"/>
      <c r="C24" s="30"/>
      <c r="D24" s="35"/>
      <c r="E24" s="35" t="s">
        <v>23</v>
      </c>
      <c r="F24" s="117">
        <f>SUM(F6:F23)</f>
        <v>110368.98999999999</v>
      </c>
      <c r="G24" s="116">
        <f>G6+G7</f>
        <v>5498.11</v>
      </c>
      <c r="H24" s="130">
        <f>SUM(H6:H23)</f>
        <v>9633.8700000000008</v>
      </c>
      <c r="I24" s="119">
        <f>SUM(I6:I23)</f>
        <v>4817</v>
      </c>
      <c r="J24" s="48"/>
      <c r="K24" s="49"/>
      <c r="L24" s="30"/>
      <c r="M24" s="30"/>
      <c r="N24" s="35"/>
      <c r="O24" s="35"/>
      <c r="P24" s="35"/>
      <c r="Q24" s="35"/>
      <c r="R24" s="35"/>
      <c r="S24" s="52"/>
      <c r="T24" s="54"/>
    </row>
    <row r="25" spans="1:20" x14ac:dyDescent="0.25">
      <c r="A25" s="63"/>
      <c r="B25" s="64"/>
      <c r="C25" s="63"/>
      <c r="D25" s="65"/>
      <c r="E25" s="65"/>
      <c r="F25" s="66"/>
      <c r="G25" s="67"/>
      <c r="H25" s="68"/>
      <c r="I25" s="69"/>
      <c r="J25" s="48"/>
      <c r="K25" s="49"/>
      <c r="L25" s="30"/>
      <c r="M25" s="30"/>
      <c r="N25" s="35"/>
      <c r="O25" s="35"/>
      <c r="P25" s="35"/>
      <c r="Q25" s="35"/>
      <c r="R25" s="35"/>
      <c r="S25" s="52"/>
      <c r="T25" s="70"/>
    </row>
    <row r="26" spans="1:20" x14ac:dyDescent="0.25">
      <c r="A26" s="63"/>
      <c r="B26" s="64"/>
      <c r="C26" s="63"/>
      <c r="D26" s="65"/>
      <c r="E26" s="65"/>
      <c r="F26" s="66"/>
      <c r="G26" s="67"/>
      <c r="H26" s="71"/>
      <c r="I26" s="69"/>
      <c r="J26" s="48"/>
      <c r="K26" s="49"/>
      <c r="L26" s="30"/>
      <c r="M26" s="30"/>
      <c r="N26" s="35"/>
      <c r="O26" s="35"/>
      <c r="P26" s="35"/>
      <c r="Q26" s="35"/>
      <c r="R26" s="35"/>
      <c r="S26" s="52"/>
      <c r="T26" s="70"/>
    </row>
    <row r="27" spans="1:20" x14ac:dyDescent="0.25">
      <c r="A27" s="63"/>
      <c r="B27" s="64"/>
      <c r="C27" s="63"/>
      <c r="D27" s="65"/>
      <c r="E27" s="65"/>
      <c r="F27" s="66"/>
      <c r="G27" s="67"/>
      <c r="H27" s="71"/>
      <c r="I27" s="69"/>
      <c r="J27" s="48"/>
      <c r="K27" s="49"/>
      <c r="L27" s="30"/>
      <c r="M27" s="30"/>
      <c r="N27" s="35"/>
      <c r="O27" s="35"/>
      <c r="P27" s="35"/>
      <c r="Q27" s="35"/>
      <c r="R27" s="35"/>
      <c r="S27" s="52"/>
      <c r="T27" s="70"/>
    </row>
    <row r="28" spans="1:20" x14ac:dyDescent="0.25">
      <c r="A28" s="63"/>
      <c r="B28" s="64"/>
      <c r="C28" s="63"/>
      <c r="D28" s="65"/>
      <c r="E28" s="65"/>
      <c r="F28" s="66"/>
      <c r="G28" s="67"/>
      <c r="H28" s="71"/>
      <c r="I28" s="69"/>
      <c r="J28" s="48"/>
      <c r="K28" s="49"/>
      <c r="L28" s="30"/>
      <c r="M28" s="35"/>
      <c r="N28" s="35"/>
      <c r="O28" s="35"/>
      <c r="P28" s="35"/>
      <c r="Q28" s="35"/>
      <c r="R28" s="35"/>
      <c r="S28" s="52"/>
      <c r="T28" s="70"/>
    </row>
    <row r="29" spans="1:20" x14ac:dyDescent="0.25">
      <c r="A29" s="63"/>
      <c r="B29" s="64"/>
      <c r="C29" s="63"/>
      <c r="D29" s="65"/>
      <c r="E29" s="65"/>
      <c r="F29" s="66"/>
      <c r="G29" s="67"/>
      <c r="H29" s="71"/>
      <c r="I29" s="69"/>
      <c r="J29" s="48"/>
      <c r="K29" s="49"/>
      <c r="L29" s="30"/>
      <c r="M29" s="35"/>
      <c r="N29" s="35"/>
      <c r="O29" s="35"/>
      <c r="P29" s="35"/>
      <c r="Q29" s="35"/>
      <c r="R29" s="35"/>
      <c r="S29" s="52"/>
      <c r="T29" s="70"/>
    </row>
    <row r="30" spans="1:20" x14ac:dyDescent="0.25">
      <c r="A30" s="72" t="s">
        <v>24</v>
      </c>
      <c r="B30" s="73"/>
      <c r="C30" s="74">
        <f>F5</f>
        <v>12728.17</v>
      </c>
      <c r="D30" s="2"/>
      <c r="E30" s="2"/>
      <c r="F30" s="66"/>
      <c r="G30" s="75"/>
      <c r="H30" s="76"/>
      <c r="I30" s="69"/>
      <c r="J30" s="48"/>
      <c r="K30" s="72" t="s">
        <v>24</v>
      </c>
      <c r="L30" s="73"/>
      <c r="M30" s="74"/>
      <c r="N30" s="77">
        <f>Q5</f>
        <v>0</v>
      </c>
      <c r="O30" s="65"/>
      <c r="P30" s="65"/>
      <c r="Q30" s="65"/>
      <c r="R30" s="65"/>
      <c r="S30" s="78"/>
      <c r="T30" s="79"/>
    </row>
    <row r="31" spans="1:20" x14ac:dyDescent="0.25">
      <c r="A31" s="1" t="s">
        <v>25</v>
      </c>
      <c r="B31" s="80"/>
      <c r="C31" s="81">
        <f>I24</f>
        <v>4817</v>
      </c>
      <c r="D31" s="2"/>
      <c r="E31" s="2"/>
      <c r="F31" s="66"/>
      <c r="G31" s="67"/>
      <c r="H31" s="82"/>
      <c r="I31" s="83"/>
      <c r="J31" s="48"/>
      <c r="K31" s="1" t="s">
        <v>26</v>
      </c>
      <c r="L31" s="80"/>
      <c r="M31" s="81"/>
      <c r="N31" s="2">
        <f>T17</f>
        <v>0</v>
      </c>
      <c r="O31" s="65"/>
      <c r="P31" s="65"/>
      <c r="Q31" s="65"/>
      <c r="R31" s="65"/>
      <c r="S31" s="78"/>
      <c r="T31" s="79"/>
    </row>
    <row r="32" spans="1:20" x14ac:dyDescent="0.25">
      <c r="A32" s="1" t="s">
        <v>27</v>
      </c>
      <c r="B32" s="80"/>
      <c r="C32" s="81"/>
      <c r="D32" s="65"/>
      <c r="E32" s="65"/>
      <c r="F32" s="84"/>
      <c r="G32" s="85"/>
      <c r="H32" s="65"/>
      <c r="I32" s="78"/>
      <c r="J32" s="48"/>
      <c r="K32" s="1" t="s">
        <v>28</v>
      </c>
      <c r="L32" s="80"/>
      <c r="M32" s="81"/>
      <c r="N32" s="2">
        <f>G24</f>
        <v>5498.11</v>
      </c>
      <c r="O32" s="65"/>
      <c r="P32" s="65"/>
      <c r="Q32" s="65"/>
      <c r="R32" s="65"/>
      <c r="S32" s="78"/>
      <c r="T32" s="79"/>
    </row>
    <row r="33" spans="1:20" x14ac:dyDescent="0.25">
      <c r="A33" s="86" t="s">
        <v>65</v>
      </c>
      <c r="B33" s="1"/>
      <c r="C33" s="87">
        <v>702</v>
      </c>
      <c r="D33" s="87"/>
      <c r="E33" s="65"/>
      <c r="F33" s="78"/>
      <c r="G33" s="65"/>
      <c r="H33" s="65"/>
      <c r="I33" s="78"/>
      <c r="J33" s="48"/>
      <c r="K33" s="1"/>
      <c r="L33" s="63"/>
      <c r="M33" s="65"/>
      <c r="N33" s="65"/>
      <c r="O33" s="65"/>
      <c r="P33" s="65"/>
      <c r="Q33" s="65"/>
      <c r="R33" s="65"/>
      <c r="S33" s="78"/>
      <c r="T33" s="79"/>
    </row>
    <row r="34" spans="1:20" x14ac:dyDescent="0.25">
      <c r="A34" s="86" t="s">
        <v>66</v>
      </c>
      <c r="B34" s="1"/>
      <c r="C34" s="90">
        <v>145</v>
      </c>
      <c r="D34" s="65"/>
      <c r="E34" s="65"/>
      <c r="F34" s="78"/>
      <c r="G34" s="65"/>
      <c r="H34" s="65"/>
      <c r="I34" s="91"/>
      <c r="J34" s="3"/>
      <c r="K34" s="86"/>
      <c r="L34" s="1"/>
      <c r="M34" s="87"/>
      <c r="N34" s="87"/>
      <c r="O34" s="87"/>
      <c r="P34" s="65"/>
      <c r="Q34" s="65"/>
      <c r="R34" s="65"/>
      <c r="S34" s="78"/>
      <c r="T34" s="79"/>
    </row>
    <row r="35" spans="1:20" x14ac:dyDescent="0.25">
      <c r="A35" s="1"/>
      <c r="B35" s="80"/>
      <c r="C35" s="4"/>
      <c r="D35" s="65"/>
      <c r="E35" s="65"/>
      <c r="F35" s="65"/>
      <c r="G35" s="65"/>
      <c r="H35" s="65"/>
      <c r="I35" s="65"/>
      <c r="J35" s="48"/>
      <c r="K35" s="63"/>
      <c r="L35" s="63"/>
      <c r="M35" s="65"/>
      <c r="N35" s="65"/>
      <c r="O35" s="65"/>
      <c r="P35" s="65"/>
      <c r="Q35" s="65"/>
      <c r="R35" s="63"/>
      <c r="S35" s="63"/>
      <c r="T35" s="63"/>
    </row>
    <row r="36" spans="1:20" x14ac:dyDescent="0.25">
      <c r="A36" s="1"/>
      <c r="B36" s="80"/>
      <c r="C36" s="1"/>
      <c r="D36" s="2"/>
      <c r="E36" s="2"/>
      <c r="F36" s="2"/>
      <c r="G36" s="2"/>
      <c r="H36" s="2"/>
      <c r="I36" s="2"/>
      <c r="J36" s="3"/>
      <c r="K36" s="1"/>
      <c r="L36" s="1"/>
      <c r="M36" s="2"/>
      <c r="N36" s="2"/>
      <c r="O36" s="2"/>
      <c r="P36" s="65"/>
      <c r="Q36" s="65"/>
      <c r="R36" s="63"/>
      <c r="S36" s="63"/>
      <c r="T36" s="63"/>
    </row>
    <row r="37" spans="1:20" x14ac:dyDescent="0.25">
      <c r="A37" s="1"/>
      <c r="B37" s="80"/>
      <c r="C37" s="1"/>
      <c r="D37" s="2"/>
      <c r="E37" s="2"/>
      <c r="F37" s="2"/>
      <c r="G37" s="2"/>
      <c r="H37" s="2"/>
      <c r="I37" s="2"/>
      <c r="J37" s="3"/>
      <c r="K37" s="1"/>
      <c r="L37" s="80"/>
      <c r="M37" s="81"/>
      <c r="N37" s="2"/>
      <c r="O37" s="2"/>
      <c r="P37" s="65"/>
      <c r="Q37" s="65"/>
      <c r="R37" s="65"/>
      <c r="S37" s="78"/>
      <c r="T37" s="79"/>
    </row>
    <row r="38" spans="1:20" x14ac:dyDescent="0.25">
      <c r="A38" s="92"/>
      <c r="B38" s="92" t="s">
        <v>29</v>
      </c>
      <c r="C38" s="93">
        <f>C30+C31+C32+C33+C34</f>
        <v>18392.169999999998</v>
      </c>
      <c r="D38" s="93"/>
      <c r="E38" s="93"/>
      <c r="F38" s="93"/>
      <c r="G38" s="93"/>
      <c r="H38" s="93"/>
      <c r="I38" s="93"/>
      <c r="J38" s="94"/>
      <c r="K38" s="92"/>
      <c r="L38" s="95"/>
      <c r="M38" s="92" t="s">
        <v>29</v>
      </c>
      <c r="N38" s="93">
        <f>N30+N31+N32+N33+N34</f>
        <v>5498.11</v>
      </c>
      <c r="O38" s="2"/>
      <c r="P38" s="65"/>
      <c r="Q38" s="65"/>
      <c r="R38" s="65"/>
      <c r="S38" s="78"/>
      <c r="T38" s="79"/>
    </row>
    <row r="39" spans="1:20" x14ac:dyDescent="0.25">
      <c r="A39" s="1"/>
      <c r="B39" s="80"/>
      <c r="C39" s="81"/>
      <c r="D39" s="2"/>
      <c r="E39" s="2"/>
      <c r="F39" s="2"/>
      <c r="G39" s="2"/>
      <c r="H39" s="2"/>
      <c r="I39" s="2"/>
      <c r="J39" s="3"/>
      <c r="K39" s="1"/>
      <c r="L39" s="80"/>
      <c r="M39" s="81"/>
      <c r="N39" s="2"/>
      <c r="O39" s="2"/>
      <c r="P39" s="65"/>
      <c r="Q39" s="65"/>
      <c r="R39" s="65"/>
      <c r="S39" s="78"/>
      <c r="T39" s="79"/>
    </row>
    <row r="40" spans="1:20" x14ac:dyDescent="0.25">
      <c r="A40" s="107"/>
      <c r="B40" s="107"/>
      <c r="C40" s="107"/>
      <c r="D40" s="107"/>
      <c r="E40" s="107"/>
      <c r="F40" s="107"/>
      <c r="G40" s="132"/>
      <c r="H40" s="132"/>
      <c r="I40" s="107"/>
      <c r="J40" s="3"/>
      <c r="K40" s="107"/>
      <c r="L40" s="107"/>
      <c r="M40" s="107"/>
      <c r="N40" s="107"/>
      <c r="O40" s="107"/>
      <c r="P40" s="107"/>
      <c r="Q40" s="107"/>
      <c r="R40" s="107"/>
      <c r="S40" s="107"/>
      <c r="T40" s="107"/>
    </row>
    <row r="41" spans="1:20" x14ac:dyDescent="0.25">
      <c r="A41" s="107"/>
      <c r="B41" s="107"/>
      <c r="C41" s="107"/>
      <c r="D41" s="107"/>
      <c r="E41" s="107"/>
      <c r="F41" s="107"/>
      <c r="G41" s="133" t="s">
        <v>30</v>
      </c>
      <c r="H41" s="134">
        <f>C38-N38</f>
        <v>12894.059999999998</v>
      </c>
      <c r="I41" s="107"/>
      <c r="J41" s="3"/>
      <c r="K41" s="107"/>
      <c r="L41" s="107"/>
      <c r="M41" s="107"/>
      <c r="N41" s="107"/>
      <c r="O41" s="107"/>
      <c r="P41" s="107"/>
      <c r="Q41" s="107"/>
      <c r="R41" s="107"/>
      <c r="S41" s="107"/>
      <c r="T41" s="107"/>
    </row>
    <row r="42" spans="1:20" x14ac:dyDescent="0.25">
      <c r="A42" s="107"/>
      <c r="B42" s="107"/>
      <c r="C42" s="107"/>
      <c r="D42" s="107"/>
      <c r="E42" s="107"/>
      <c r="F42" s="107"/>
      <c r="G42" s="132"/>
      <c r="H42" s="132"/>
      <c r="I42" s="107"/>
      <c r="J42" s="3"/>
      <c r="K42" s="107"/>
      <c r="L42" s="107"/>
      <c r="M42" s="107"/>
      <c r="N42" s="107"/>
      <c r="O42" s="107"/>
      <c r="P42" s="107"/>
      <c r="Q42" s="107"/>
      <c r="R42" s="107"/>
      <c r="S42" s="107"/>
      <c r="T42" s="107"/>
    </row>
    <row r="43" spans="1:20" x14ac:dyDescent="0.25">
      <c r="A43" s="107"/>
      <c r="B43" s="107"/>
      <c r="C43" s="107"/>
      <c r="D43" s="107"/>
      <c r="E43" s="107"/>
      <c r="F43" s="107"/>
      <c r="G43" s="107"/>
      <c r="H43" s="107"/>
      <c r="I43" s="107"/>
      <c r="J43" s="3"/>
      <c r="K43" s="107"/>
      <c r="L43" s="107"/>
      <c r="M43" s="107"/>
      <c r="N43" s="107"/>
      <c r="O43" s="107"/>
      <c r="P43" s="107"/>
      <c r="Q43" s="107"/>
      <c r="R43" s="107"/>
      <c r="S43" s="107"/>
      <c r="T43" s="107"/>
    </row>
    <row r="44" spans="1:20" x14ac:dyDescent="0.25">
      <c r="A44" s="107"/>
      <c r="B44" s="107"/>
      <c r="C44" s="107"/>
      <c r="D44" s="107"/>
      <c r="E44" s="107"/>
      <c r="F44" s="107"/>
      <c r="G44" s="107"/>
      <c r="H44" s="107"/>
      <c r="I44" s="107"/>
      <c r="J44" s="3"/>
      <c r="K44" s="107"/>
      <c r="L44" s="107"/>
      <c r="M44" s="107"/>
      <c r="N44" s="107"/>
      <c r="O44" s="107"/>
      <c r="P44" s="107"/>
      <c r="Q44" s="107"/>
      <c r="R44" s="107"/>
      <c r="S44" s="107"/>
      <c r="T44" s="107"/>
    </row>
  </sheetData>
  <conditionalFormatting sqref="C1:C5 M5:O11 C11">
    <cfRule type="cellIs" dxfId="374" priority="13" operator="equal">
      <formula>15698.2</formula>
    </cfRule>
  </conditionalFormatting>
  <conditionalFormatting sqref="C33:D33">
    <cfRule type="cellIs" dxfId="373" priority="15" operator="equal">
      <formula>"KAPALI"</formula>
    </cfRule>
    <cfRule type="cellIs" dxfId="372" priority="16" operator="equal">
      <formula>"açık"</formula>
    </cfRule>
  </conditionalFormatting>
  <conditionalFormatting sqref="C33:F33">
    <cfRule type="cellIs" dxfId="371" priority="17" operator="equal">
      <formula>15698.2</formula>
    </cfRule>
  </conditionalFormatting>
  <conditionalFormatting sqref="D6:F7">
    <cfRule type="cellIs" dxfId="370" priority="1" operator="equal">
      <formula>"kapalı"</formula>
    </cfRule>
  </conditionalFormatting>
  <conditionalFormatting sqref="D17:F32">
    <cfRule type="cellIs" dxfId="369" priority="10" operator="equal">
      <formula>"kapalı"</formula>
    </cfRule>
  </conditionalFormatting>
  <conditionalFormatting sqref="D34:F39">
    <cfRule type="cellIs" dxfId="368" priority="18" operator="equal">
      <formula>15698.2</formula>
    </cfRule>
  </conditionalFormatting>
  <conditionalFormatting sqref="D1:H4 D5:E5 G5:H5 P5:P10 G20:G23 G25:G31 G32:H39">
    <cfRule type="cellIs" dxfId="367" priority="36" operator="equal">
      <formula>"K.KART"</formula>
    </cfRule>
  </conditionalFormatting>
  <conditionalFormatting sqref="E15:F16">
    <cfRule type="cellIs" dxfId="366" priority="11" operator="equal">
      <formula>"kapalı"</formula>
    </cfRule>
  </conditionalFormatting>
  <conditionalFormatting sqref="E33:F33 D34:F39">
    <cfRule type="cellIs" dxfId="365" priority="19" operator="equal">
      <formula>"kapalı"</formula>
    </cfRule>
  </conditionalFormatting>
  <conditionalFormatting sqref="F5">
    <cfRule type="cellIs" dxfId="364" priority="20" operator="equal">
      <formula>15698.2</formula>
    </cfRule>
    <cfRule type="cellIs" dxfId="363" priority="21" operator="equal">
      <formula>"kapalı"</formula>
    </cfRule>
  </conditionalFormatting>
  <conditionalFormatting sqref="F6">
    <cfRule type="cellIs" dxfId="362" priority="3" operator="equal">
      <formula>"K.KART"</formula>
    </cfRule>
  </conditionalFormatting>
  <conditionalFormatting sqref="F8:F10 D8:D14">
    <cfRule type="cellIs" dxfId="361" priority="4" operator="equal">
      <formula>"kapalı"</formula>
    </cfRule>
  </conditionalFormatting>
  <conditionalFormatting sqref="F9">
    <cfRule type="cellIs" dxfId="360" priority="6" operator="equal">
      <formula>"K.KART"</formula>
    </cfRule>
  </conditionalFormatting>
  <conditionalFormatting sqref="F12">
    <cfRule type="cellIs" dxfId="359" priority="41" operator="equal">
      <formula>"K.KART"</formula>
    </cfRule>
  </conditionalFormatting>
  <conditionalFormatting sqref="F12:F14">
    <cfRule type="cellIs" dxfId="358" priority="12" operator="equal">
      <formula>"kapalı"</formula>
    </cfRule>
  </conditionalFormatting>
  <conditionalFormatting sqref="F14">
    <cfRule type="cellIs" dxfId="357" priority="42" operator="equal">
      <formula>"K.KART"</formula>
    </cfRule>
  </conditionalFormatting>
  <conditionalFormatting sqref="G6:G7">
    <cfRule type="cellIs" dxfId="356" priority="2" operator="equal">
      <formula>"K.KART"</formula>
    </cfRule>
  </conditionalFormatting>
  <conditionalFormatting sqref="G8">
    <cfRule type="cellIs" dxfId="355" priority="7" operator="equal">
      <formula>"K.KART"</formula>
    </cfRule>
  </conditionalFormatting>
  <conditionalFormatting sqref="G9:G10">
    <cfRule type="cellIs" dxfId="354" priority="5" operator="equal">
      <formula>"K.KART"</formula>
    </cfRule>
  </conditionalFormatting>
  <conditionalFormatting sqref="G19">
    <cfRule type="cellIs" dxfId="353" priority="25" operator="equal">
      <formula>"K.KART"</formula>
    </cfRule>
  </conditionalFormatting>
  <conditionalFormatting sqref="G11:H13">
    <cfRule type="cellIs" dxfId="352" priority="8" operator="equal">
      <formula>"K.KART"</formula>
    </cfRule>
  </conditionalFormatting>
  <conditionalFormatting sqref="H6:H10 D11 G14:G18">
    <cfRule type="cellIs" dxfId="351" priority="14" operator="equal">
      <formula>"K.KART"</formula>
    </cfRule>
  </conditionalFormatting>
  <conditionalFormatting sqref="H14">
    <cfRule type="cellIs" dxfId="350" priority="9" operator="equal">
      <formula>"K.KART"</formula>
    </cfRule>
  </conditionalFormatting>
  <conditionalFormatting sqref="H25:H29 H31">
    <cfRule type="cellIs" dxfId="349" priority="26" operator="equal">
      <formula>"K.KART"</formula>
    </cfRule>
  </conditionalFormatting>
  <conditionalFormatting sqref="M4:N4">
    <cfRule type="cellIs" dxfId="348" priority="28" operator="equal">
      <formula>"kapalı"</formula>
    </cfRule>
    <cfRule type="cellIs" dxfId="347" priority="27" operator="equal">
      <formula>15698.2</formula>
    </cfRule>
  </conditionalFormatting>
  <conditionalFormatting sqref="M12:N12">
    <cfRule type="cellIs" dxfId="346" priority="30" operator="equal">
      <formula>15698.2</formula>
    </cfRule>
    <cfRule type="cellIs" dxfId="345" priority="31" operator="equal">
      <formula>"kapalı"</formula>
    </cfRule>
  </conditionalFormatting>
  <conditionalFormatting sqref="M1:O3 M5:O11 M13:O13">
    <cfRule type="cellIs" dxfId="344" priority="39" operator="equal">
      <formula>"KAPALI"</formula>
    </cfRule>
    <cfRule type="cellIs" dxfId="343" priority="40" operator="equal">
      <formula>"açık"</formula>
    </cfRule>
  </conditionalFormatting>
  <conditionalFormatting sqref="M1:O3 N12:O39 M13 M28:M37 M39">
    <cfRule type="cellIs" dxfId="342" priority="37" operator="equal">
      <formula>15698.2</formula>
    </cfRule>
  </conditionalFormatting>
  <conditionalFormatting sqref="M28:O37 N38:O38 M39:O39">
    <cfRule type="cellIs" dxfId="341" priority="34" operator="equal">
      <formula>"KAPALI"</formula>
    </cfRule>
    <cfRule type="cellIs" dxfId="340" priority="35" operator="equal">
      <formula>"açık"</formula>
    </cfRule>
  </conditionalFormatting>
  <conditionalFormatting sqref="N11:O29 O30:O31">
    <cfRule type="cellIs" dxfId="339" priority="33" operator="equal">
      <formula>"kapalı"</formula>
    </cfRule>
  </conditionalFormatting>
  <conditionalFormatting sqref="O12 Q12:S12">
    <cfRule type="cellIs" dxfId="338" priority="32" operator="equal">
      <formula>"K.KART"</formula>
    </cfRule>
  </conditionalFormatting>
  <conditionalFormatting sqref="O4:T4">
    <cfRule type="cellIs" dxfId="337" priority="29" operator="equal">
      <formula>"K.KART"</formula>
    </cfRule>
  </conditionalFormatting>
  <conditionalFormatting sqref="P12:P18 C38">
    <cfRule type="cellIs" dxfId="336" priority="24" operator="equal">
      <formula>"kapalı"</formula>
    </cfRule>
    <cfRule type="cellIs" dxfId="335" priority="23" operator="equal">
      <formula>15698.2</formula>
    </cfRule>
  </conditionalFormatting>
  <conditionalFormatting sqref="P1:Q3 P16:P39">
    <cfRule type="cellIs" dxfId="334" priority="38" operator="equal">
      <formula>"K.KART"</formula>
    </cfRule>
  </conditionalFormatting>
  <conditionalFormatting sqref="Q11:Q39">
    <cfRule type="cellIs" dxfId="333" priority="22" operator="equal">
      <formula>"K.KART"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63CD1-7F9F-48D8-8814-7D3201F77BF6}">
  <sheetPr>
    <pageSetUpPr fitToPage="1"/>
  </sheetPr>
  <dimension ref="A1:V46"/>
  <sheetViews>
    <sheetView topLeftCell="A13" workbookViewId="0">
      <selection activeCell="J5" sqref="J5"/>
    </sheetView>
  </sheetViews>
  <sheetFormatPr defaultRowHeight="15" x14ac:dyDescent="0.25"/>
  <cols>
    <col min="1" max="1" width="18.5703125" customWidth="1"/>
    <col min="2" max="2" width="10.7109375" customWidth="1"/>
    <col min="3" max="3" width="14.5703125" customWidth="1"/>
    <col min="6" max="6" width="10.140625" customWidth="1"/>
    <col min="7" max="7" width="10.28515625" customWidth="1"/>
    <col min="8" max="8" width="10.140625" customWidth="1"/>
    <col min="9" max="9" width="12.42578125" customWidth="1"/>
    <col min="11" max="11" width="2.28515625" customWidth="1"/>
    <col min="12" max="12" width="18.7109375" customWidth="1"/>
    <col min="13" max="13" width="11.5703125" customWidth="1"/>
    <col min="14" max="14" width="12.7109375" customWidth="1"/>
    <col min="15" max="15" width="13.28515625" customWidth="1"/>
    <col min="18" max="18" width="13.140625" customWidth="1"/>
    <col min="19" max="19" width="11.7109375" customWidth="1"/>
    <col min="21" max="21" width="11.42578125" customWidth="1"/>
  </cols>
  <sheetData>
    <row r="1" spans="1:22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3"/>
      <c r="L1" s="1"/>
      <c r="M1" s="1"/>
      <c r="N1" s="2"/>
      <c r="O1" s="2"/>
      <c r="P1" s="2"/>
      <c r="Q1" s="2"/>
      <c r="R1" s="2"/>
      <c r="S1" s="2"/>
      <c r="T1" s="2"/>
      <c r="U1" s="4"/>
      <c r="V1" s="5"/>
    </row>
    <row r="2" spans="1:22" x14ac:dyDescent="0.25">
      <c r="A2" s="6" t="s">
        <v>0</v>
      </c>
      <c r="B2" s="6"/>
      <c r="C2" s="7"/>
      <c r="D2" s="7"/>
      <c r="E2" s="7"/>
      <c r="F2" s="7"/>
      <c r="G2" s="7"/>
      <c r="H2" s="7"/>
      <c r="I2" s="7"/>
      <c r="J2" s="7"/>
      <c r="K2" s="3"/>
      <c r="L2" s="6" t="s">
        <v>1</v>
      </c>
      <c r="M2" s="6"/>
      <c r="N2" s="7"/>
      <c r="O2" s="7"/>
      <c r="P2" s="7"/>
      <c r="Q2" s="7"/>
      <c r="R2" s="7"/>
      <c r="S2" s="7"/>
      <c r="T2" s="7"/>
      <c r="U2" s="8"/>
      <c r="V2" s="9"/>
    </row>
    <row r="3" spans="1:22" x14ac:dyDescent="0.25">
      <c r="A3" s="10" t="s">
        <v>67</v>
      </c>
      <c r="B3" s="10">
        <v>2025</v>
      </c>
      <c r="C3" s="11"/>
      <c r="D3" s="11"/>
      <c r="E3" s="11"/>
      <c r="F3" s="11"/>
      <c r="G3" s="11"/>
      <c r="H3" s="11"/>
      <c r="I3" s="11"/>
      <c r="J3" s="11"/>
      <c r="K3" s="12"/>
      <c r="L3" s="10" t="s">
        <v>67</v>
      </c>
      <c r="M3" s="10">
        <v>2025</v>
      </c>
      <c r="N3" s="11"/>
      <c r="O3" s="11"/>
      <c r="P3" s="11"/>
      <c r="Q3" s="11"/>
      <c r="R3" s="11"/>
      <c r="S3" s="11"/>
      <c r="T3" s="11"/>
      <c r="U3" s="13"/>
      <c r="V3" s="14"/>
    </row>
    <row r="4" spans="1:22" ht="38.25" x14ac:dyDescent="0.25">
      <c r="A4" s="15" t="s">
        <v>2</v>
      </c>
      <c r="B4" s="15" t="s">
        <v>3</v>
      </c>
      <c r="C4" s="16" t="s">
        <v>4</v>
      </c>
      <c r="D4" s="16" t="s">
        <v>5</v>
      </c>
      <c r="E4" s="16" t="s">
        <v>6</v>
      </c>
      <c r="F4" s="17" t="s">
        <v>68</v>
      </c>
      <c r="G4" s="17" t="s">
        <v>69</v>
      </c>
      <c r="H4" s="16" t="s">
        <v>8</v>
      </c>
      <c r="I4" s="16" t="s">
        <v>9</v>
      </c>
      <c r="J4" s="18" t="s">
        <v>10</v>
      </c>
      <c r="K4" s="19"/>
      <c r="L4" s="15" t="s">
        <v>2</v>
      </c>
      <c r="M4" s="15" t="s">
        <v>3</v>
      </c>
      <c r="N4" s="16" t="s">
        <v>4</v>
      </c>
      <c r="O4" s="16" t="s">
        <v>11</v>
      </c>
      <c r="P4" s="16" t="s">
        <v>5</v>
      </c>
      <c r="Q4" s="16" t="s">
        <v>6</v>
      </c>
      <c r="R4" s="16" t="s">
        <v>68</v>
      </c>
      <c r="S4" s="16" t="s">
        <v>69</v>
      </c>
      <c r="T4" s="16" t="s">
        <v>8</v>
      </c>
      <c r="U4" s="18" t="s">
        <v>9</v>
      </c>
      <c r="V4" s="18" t="s">
        <v>12</v>
      </c>
    </row>
    <row r="5" spans="1:22" x14ac:dyDescent="0.25">
      <c r="A5" s="20" t="s">
        <v>13</v>
      </c>
      <c r="B5" s="20"/>
      <c r="C5" s="21"/>
      <c r="D5" s="21"/>
      <c r="E5" s="21"/>
      <c r="F5" s="22"/>
      <c r="G5" s="22"/>
      <c r="H5" s="23"/>
      <c r="I5" s="21"/>
      <c r="J5" s="24">
        <v>12894.06</v>
      </c>
      <c r="K5" s="25"/>
      <c r="L5" s="26" t="s">
        <v>13</v>
      </c>
      <c r="M5" s="20"/>
      <c r="N5" s="21"/>
      <c r="O5" s="21"/>
      <c r="P5" s="21"/>
      <c r="Q5" s="21"/>
      <c r="R5" s="21"/>
      <c r="S5" s="21"/>
      <c r="T5" s="21"/>
      <c r="U5" s="27"/>
      <c r="V5" s="28"/>
    </row>
    <row r="6" spans="1:22" x14ac:dyDescent="0.25">
      <c r="A6" s="29" t="s">
        <v>22</v>
      </c>
      <c r="B6" s="34">
        <v>45631</v>
      </c>
      <c r="C6" s="30">
        <v>529806844</v>
      </c>
      <c r="D6" s="35" t="s">
        <v>15</v>
      </c>
      <c r="E6" s="50" t="s">
        <v>46</v>
      </c>
      <c r="F6" s="32">
        <v>10955.95</v>
      </c>
      <c r="G6" s="40"/>
      <c r="H6" s="135">
        <v>1826.05</v>
      </c>
      <c r="I6" s="123"/>
      <c r="J6" s="24"/>
      <c r="K6" s="25"/>
      <c r="L6" s="126" t="s">
        <v>70</v>
      </c>
      <c r="M6" s="136">
        <v>45797</v>
      </c>
      <c r="N6" s="137">
        <v>1219891225</v>
      </c>
      <c r="O6" s="123" t="s">
        <v>48</v>
      </c>
      <c r="P6" s="123" t="s">
        <v>15</v>
      </c>
      <c r="Q6" s="123" t="s">
        <v>17</v>
      </c>
      <c r="R6" s="123">
        <v>96540</v>
      </c>
      <c r="S6" s="123">
        <v>91942.85</v>
      </c>
      <c r="T6" s="123"/>
      <c r="U6" s="123">
        <v>11952.59</v>
      </c>
      <c r="V6" s="27">
        <v>5976.5</v>
      </c>
    </row>
    <row r="7" spans="1:22" x14ac:dyDescent="0.25">
      <c r="A7" s="29" t="s">
        <v>36</v>
      </c>
      <c r="B7" s="34">
        <v>45679</v>
      </c>
      <c r="C7" s="30">
        <v>543824363</v>
      </c>
      <c r="D7" s="35" t="s">
        <v>15</v>
      </c>
      <c r="E7" s="50" t="s">
        <v>32</v>
      </c>
      <c r="F7" s="32">
        <v>22032.36</v>
      </c>
      <c r="G7" s="116"/>
      <c r="H7" s="135">
        <v>3672.06</v>
      </c>
      <c r="I7" s="123"/>
      <c r="J7" s="24"/>
      <c r="K7" s="25"/>
      <c r="L7" s="126" t="s">
        <v>70</v>
      </c>
      <c r="M7" s="136">
        <v>45799</v>
      </c>
      <c r="N7" s="137">
        <v>1219890325</v>
      </c>
      <c r="O7" s="123" t="s">
        <v>48</v>
      </c>
      <c r="P7" s="123" t="s">
        <v>15</v>
      </c>
      <c r="Q7" s="123" t="s">
        <v>17</v>
      </c>
      <c r="R7" s="123">
        <v>15260</v>
      </c>
      <c r="S7" s="123">
        <v>14533.33</v>
      </c>
      <c r="T7" s="123"/>
      <c r="U7" s="123">
        <v>1889.29</v>
      </c>
      <c r="V7" s="27">
        <v>944.5</v>
      </c>
    </row>
    <row r="8" spans="1:22" x14ac:dyDescent="0.25">
      <c r="A8" s="29" t="s">
        <v>71</v>
      </c>
      <c r="B8" s="34">
        <v>45796</v>
      </c>
      <c r="C8" s="30">
        <v>5631679</v>
      </c>
      <c r="D8" s="35" t="s">
        <v>39</v>
      </c>
      <c r="E8" s="123" t="s">
        <v>17</v>
      </c>
      <c r="F8" s="32">
        <v>58461.51</v>
      </c>
      <c r="G8" s="32">
        <v>58461.51</v>
      </c>
      <c r="H8" s="40"/>
      <c r="I8" s="123">
        <v>7599.93</v>
      </c>
      <c r="J8" s="119">
        <v>3799.96</v>
      </c>
      <c r="K8" s="25"/>
      <c r="L8" s="126" t="s">
        <v>72</v>
      </c>
      <c r="M8" s="136">
        <v>45808</v>
      </c>
      <c r="N8" s="137" t="s">
        <v>73</v>
      </c>
      <c r="O8" s="123" t="s">
        <v>48</v>
      </c>
      <c r="P8" s="123" t="s">
        <v>15</v>
      </c>
      <c r="Q8" s="123" t="s">
        <v>17</v>
      </c>
      <c r="R8" s="123">
        <v>42070</v>
      </c>
      <c r="S8" s="123">
        <v>40066.660000000003</v>
      </c>
      <c r="T8" s="123"/>
      <c r="U8" s="123">
        <v>5208.58</v>
      </c>
      <c r="V8" s="33">
        <v>2604.29</v>
      </c>
    </row>
    <row r="9" spans="1:22" x14ac:dyDescent="0.25">
      <c r="A9" s="29" t="s">
        <v>74</v>
      </c>
      <c r="B9" s="34">
        <v>45794</v>
      </c>
      <c r="C9" s="30">
        <v>572882654</v>
      </c>
      <c r="D9" s="35" t="s">
        <v>35</v>
      </c>
      <c r="E9" s="123" t="s">
        <v>17</v>
      </c>
      <c r="F9" s="32">
        <v>16994.13</v>
      </c>
      <c r="G9" s="32">
        <v>15173.32</v>
      </c>
      <c r="H9" s="116"/>
      <c r="I9" s="123">
        <v>1517.3</v>
      </c>
      <c r="J9" s="119">
        <v>758.5</v>
      </c>
      <c r="K9" s="25"/>
      <c r="L9" s="126" t="s">
        <v>86</v>
      </c>
      <c r="M9" s="136">
        <v>45799</v>
      </c>
      <c r="N9" s="137" t="s">
        <v>87</v>
      </c>
      <c r="O9" s="123" t="s">
        <v>48</v>
      </c>
      <c r="P9" s="123" t="s">
        <v>15</v>
      </c>
      <c r="Q9" s="123" t="s">
        <v>17</v>
      </c>
      <c r="R9" s="123">
        <v>49980</v>
      </c>
      <c r="S9" s="123">
        <v>47600</v>
      </c>
      <c r="T9" s="123"/>
      <c r="U9" s="123">
        <v>6188</v>
      </c>
      <c r="V9" s="33">
        <v>3094</v>
      </c>
    </row>
    <row r="10" spans="1:22" x14ac:dyDescent="0.25">
      <c r="A10" s="29" t="s">
        <v>74</v>
      </c>
      <c r="B10" s="34">
        <v>45794</v>
      </c>
      <c r="C10" s="30">
        <v>572737768</v>
      </c>
      <c r="D10" s="35" t="s">
        <v>15</v>
      </c>
      <c r="E10" s="123" t="s">
        <v>17</v>
      </c>
      <c r="F10" s="32">
        <v>28383.72</v>
      </c>
      <c r="G10" s="32">
        <v>27032.13</v>
      </c>
      <c r="H10" s="40"/>
      <c r="I10" s="123">
        <v>3514.16</v>
      </c>
      <c r="J10" s="119">
        <v>1757</v>
      </c>
      <c r="K10" s="19"/>
      <c r="L10" s="126"/>
      <c r="M10" s="127"/>
      <c r="N10" s="123"/>
      <c r="O10" s="123"/>
      <c r="P10" s="123"/>
      <c r="Q10" s="123"/>
      <c r="R10" s="123"/>
      <c r="S10" s="123"/>
      <c r="T10" s="123"/>
      <c r="U10" s="128"/>
      <c r="V10" s="33"/>
    </row>
    <row r="11" spans="1:22" x14ac:dyDescent="0.25">
      <c r="A11" s="29" t="s">
        <v>75</v>
      </c>
      <c r="B11" s="34">
        <v>45798</v>
      </c>
      <c r="C11" s="30">
        <v>7617018</v>
      </c>
      <c r="D11" s="35" t="s">
        <v>39</v>
      </c>
      <c r="E11" s="123" t="s">
        <v>17</v>
      </c>
      <c r="F11" s="32">
        <v>20966.59</v>
      </c>
      <c r="G11" s="32">
        <v>20966.59</v>
      </c>
      <c r="H11" s="40"/>
      <c r="I11" s="123">
        <v>2725.58</v>
      </c>
      <c r="J11" s="119">
        <v>1362.5</v>
      </c>
      <c r="K11" s="19"/>
      <c r="L11" s="126"/>
      <c r="M11" s="127"/>
      <c r="N11" s="123"/>
      <c r="O11" s="123"/>
      <c r="P11" s="123"/>
      <c r="Q11" s="123"/>
      <c r="R11" s="123"/>
      <c r="S11" s="123"/>
      <c r="T11" s="123"/>
      <c r="U11" s="128"/>
      <c r="V11" s="33"/>
    </row>
    <row r="12" spans="1:22" x14ac:dyDescent="0.25">
      <c r="A12" s="29" t="s">
        <v>76</v>
      </c>
      <c r="B12" s="34">
        <v>45801</v>
      </c>
      <c r="C12" s="30">
        <v>570974966</v>
      </c>
      <c r="D12" s="35" t="s">
        <v>15</v>
      </c>
      <c r="E12" s="123" t="s">
        <v>17</v>
      </c>
      <c r="F12" s="32">
        <v>29522.46</v>
      </c>
      <c r="G12" s="32">
        <v>28116.639999999999</v>
      </c>
      <c r="H12" s="116"/>
      <c r="I12" s="123">
        <v>3655.08</v>
      </c>
      <c r="J12" s="119">
        <v>1827.5</v>
      </c>
      <c r="K12" s="19"/>
      <c r="L12" s="126"/>
      <c r="M12" s="127"/>
      <c r="N12" s="123"/>
      <c r="O12" s="123"/>
      <c r="P12" s="123"/>
      <c r="Q12" s="123"/>
      <c r="R12" s="123"/>
      <c r="S12" s="123"/>
      <c r="T12" s="123"/>
      <c r="U12" s="128"/>
      <c r="V12" s="33"/>
    </row>
    <row r="13" spans="1:22" x14ac:dyDescent="0.25">
      <c r="A13" s="29" t="s">
        <v>77</v>
      </c>
      <c r="B13" s="34">
        <v>45805</v>
      </c>
      <c r="C13" s="30">
        <v>575646702</v>
      </c>
      <c r="D13" s="35" t="s">
        <v>78</v>
      </c>
      <c r="E13" s="123" t="s">
        <v>17</v>
      </c>
      <c r="F13" s="32">
        <v>1990.45</v>
      </c>
      <c r="G13" s="32">
        <v>1990.45</v>
      </c>
      <c r="H13" s="40"/>
      <c r="I13" s="40">
        <v>258.7</v>
      </c>
      <c r="J13" s="33">
        <v>129.35</v>
      </c>
      <c r="K13" s="19"/>
      <c r="L13" s="42"/>
      <c r="M13" s="34"/>
      <c r="N13" s="30"/>
      <c r="O13" s="35"/>
      <c r="P13" s="35"/>
      <c r="Q13" s="129"/>
      <c r="R13" s="35"/>
      <c r="S13" s="35"/>
      <c r="T13" s="35"/>
      <c r="U13" s="44"/>
      <c r="V13" s="33"/>
    </row>
    <row r="14" spans="1:22" x14ac:dyDescent="0.25">
      <c r="A14" s="29" t="s">
        <v>79</v>
      </c>
      <c r="B14" s="34">
        <v>45805</v>
      </c>
      <c r="C14" s="45">
        <v>575656023</v>
      </c>
      <c r="D14" s="35" t="s">
        <v>78</v>
      </c>
      <c r="E14" s="123" t="s">
        <v>17</v>
      </c>
      <c r="F14" s="32">
        <v>1990.45</v>
      </c>
      <c r="G14" s="32">
        <v>1990.45</v>
      </c>
      <c r="H14" s="40"/>
      <c r="I14" s="40">
        <v>258.7</v>
      </c>
      <c r="J14" s="33">
        <v>129.35</v>
      </c>
      <c r="K14" s="48"/>
      <c r="L14" s="49"/>
      <c r="M14" s="34"/>
      <c r="N14" s="30"/>
      <c r="O14" s="35"/>
      <c r="P14" s="35"/>
      <c r="Q14" s="128"/>
      <c r="R14" s="35"/>
      <c r="S14" s="35"/>
      <c r="T14" s="35"/>
      <c r="U14" s="36"/>
      <c r="V14" s="33"/>
    </row>
    <row r="15" spans="1:22" x14ac:dyDescent="0.25">
      <c r="A15" s="29"/>
      <c r="B15" s="34"/>
      <c r="C15" s="30"/>
      <c r="D15" s="35"/>
      <c r="E15" s="129"/>
      <c r="F15" s="32"/>
      <c r="G15" s="32"/>
      <c r="H15" s="40"/>
      <c r="I15" s="40"/>
      <c r="J15" s="33"/>
      <c r="K15" s="48"/>
      <c r="L15" s="49"/>
      <c r="M15" s="34"/>
      <c r="N15" s="30"/>
      <c r="O15" s="35"/>
      <c r="P15" s="35"/>
      <c r="Q15" s="128"/>
      <c r="R15" s="35"/>
      <c r="S15" s="35"/>
      <c r="T15" s="35"/>
      <c r="U15" s="36"/>
      <c r="V15" s="33"/>
    </row>
    <row r="16" spans="1:22" x14ac:dyDescent="0.25">
      <c r="A16" s="29"/>
      <c r="B16" s="34"/>
      <c r="C16" s="30"/>
      <c r="D16" s="35"/>
      <c r="E16" s="129"/>
      <c r="F16" s="32"/>
      <c r="G16" s="32"/>
      <c r="H16" s="40"/>
      <c r="I16" s="40"/>
      <c r="J16" s="33"/>
      <c r="K16" s="48"/>
      <c r="L16" s="49"/>
      <c r="M16" s="34"/>
      <c r="N16" s="30"/>
      <c r="O16" s="35"/>
      <c r="P16" s="35"/>
      <c r="Q16" s="35"/>
      <c r="R16" s="35"/>
      <c r="S16" s="35"/>
      <c r="T16" s="35"/>
      <c r="U16" s="36"/>
      <c r="V16" s="33"/>
    </row>
    <row r="17" spans="1:22" x14ac:dyDescent="0.25">
      <c r="A17" s="29"/>
      <c r="B17" s="34"/>
      <c r="C17" s="30"/>
      <c r="D17" s="31"/>
      <c r="E17" s="35"/>
      <c r="F17" s="32"/>
      <c r="G17" s="32"/>
      <c r="H17" s="116"/>
      <c r="I17" s="41"/>
      <c r="J17" s="33"/>
      <c r="K17" s="48"/>
      <c r="L17" s="49"/>
      <c r="M17" s="34"/>
      <c r="N17" s="30"/>
      <c r="O17" s="35"/>
      <c r="P17" s="35"/>
      <c r="Q17" s="35"/>
      <c r="R17" s="35"/>
      <c r="S17" s="35"/>
      <c r="T17" s="35"/>
      <c r="U17" s="36"/>
      <c r="V17" s="33"/>
    </row>
    <row r="18" spans="1:22" x14ac:dyDescent="0.25">
      <c r="A18" s="29"/>
      <c r="B18" s="34"/>
      <c r="C18" s="30"/>
      <c r="D18" s="31"/>
      <c r="E18" s="35"/>
      <c r="F18" s="32"/>
      <c r="G18" s="32"/>
      <c r="H18" s="116"/>
      <c r="I18" s="41"/>
      <c r="J18" s="33"/>
      <c r="K18" s="48"/>
      <c r="L18" s="49"/>
      <c r="M18" s="30"/>
      <c r="N18" s="30"/>
      <c r="O18" s="35"/>
      <c r="P18" s="35"/>
      <c r="Q18" s="35"/>
      <c r="R18" s="35"/>
      <c r="S18" s="35"/>
      <c r="T18" s="35"/>
      <c r="U18" s="36"/>
      <c r="V18" s="33"/>
    </row>
    <row r="19" spans="1:22" x14ac:dyDescent="0.25">
      <c r="A19" s="29"/>
      <c r="B19" s="34"/>
      <c r="C19" s="30"/>
      <c r="D19" s="35"/>
      <c r="E19" s="35"/>
      <c r="F19" s="32"/>
      <c r="G19" s="32"/>
      <c r="H19" s="116"/>
      <c r="I19" s="41"/>
      <c r="J19" s="33"/>
      <c r="K19" s="48"/>
      <c r="L19" s="49"/>
      <c r="M19" s="30"/>
      <c r="N19" s="30"/>
      <c r="O19" s="35"/>
      <c r="P19" s="35"/>
      <c r="Q19" s="35" t="s">
        <v>23</v>
      </c>
      <c r="R19" s="35">
        <f>R6+R7+R8+R9</f>
        <v>203850</v>
      </c>
      <c r="S19" s="35">
        <f>S6+S7+S8+S9</f>
        <v>194142.84000000003</v>
      </c>
      <c r="T19" s="35">
        <f>T8+T9</f>
        <v>0</v>
      </c>
      <c r="U19" s="52">
        <f>U6+U7+U8+U9</f>
        <v>25238.46</v>
      </c>
      <c r="V19" s="33">
        <f>V6+V7+V8+V9</f>
        <v>12619.29</v>
      </c>
    </row>
    <row r="20" spans="1:22" x14ac:dyDescent="0.25">
      <c r="A20" s="29"/>
      <c r="B20" s="34"/>
      <c r="C20" s="30"/>
      <c r="D20" s="35"/>
      <c r="E20" s="35"/>
      <c r="F20" s="32"/>
      <c r="G20" s="32"/>
      <c r="H20" s="116"/>
      <c r="I20" s="41"/>
      <c r="J20" s="33"/>
      <c r="K20" s="48"/>
      <c r="L20" s="49"/>
      <c r="M20" s="30"/>
      <c r="N20" s="30"/>
      <c r="O20" s="35"/>
      <c r="P20" s="35"/>
      <c r="Q20" s="35"/>
      <c r="R20" s="35"/>
      <c r="S20" s="35"/>
      <c r="T20" s="35"/>
      <c r="U20" s="52"/>
      <c r="V20" s="54"/>
    </row>
    <row r="21" spans="1:22" x14ac:dyDescent="0.25">
      <c r="A21" s="29"/>
      <c r="B21" s="34"/>
      <c r="C21" s="30"/>
      <c r="D21" s="35"/>
      <c r="E21" s="35"/>
      <c r="F21" s="32"/>
      <c r="G21" s="32"/>
      <c r="H21" s="116"/>
      <c r="I21" s="41"/>
      <c r="J21" s="33"/>
      <c r="K21" s="48"/>
      <c r="L21" s="49"/>
      <c r="M21" s="30"/>
      <c r="N21" s="30"/>
      <c r="O21" s="35"/>
      <c r="P21" s="35"/>
      <c r="Q21" s="35"/>
      <c r="R21" s="35"/>
      <c r="S21" s="35"/>
      <c r="T21" s="35"/>
      <c r="U21" s="52"/>
      <c r="V21" s="54"/>
    </row>
    <row r="22" spans="1:22" x14ac:dyDescent="0.25">
      <c r="A22" s="30"/>
      <c r="B22" s="34"/>
      <c r="C22" s="30"/>
      <c r="D22" s="35"/>
      <c r="E22" s="35"/>
      <c r="F22" s="32"/>
      <c r="G22" s="32"/>
      <c r="H22" s="116"/>
      <c r="I22" s="55"/>
      <c r="J22" s="33"/>
      <c r="K22" s="48"/>
      <c r="L22" s="49"/>
      <c r="M22" s="30"/>
      <c r="N22" s="30"/>
      <c r="O22" s="35"/>
      <c r="P22" s="35"/>
      <c r="Q22" s="35"/>
      <c r="R22" s="35"/>
      <c r="S22" s="35"/>
      <c r="T22" s="35"/>
      <c r="U22" s="52"/>
      <c r="V22" s="54"/>
    </row>
    <row r="23" spans="1:22" x14ac:dyDescent="0.25">
      <c r="A23" s="30"/>
      <c r="B23" s="34"/>
      <c r="C23" s="30"/>
      <c r="D23" s="35"/>
      <c r="E23" s="35"/>
      <c r="F23" s="32"/>
      <c r="G23" s="32"/>
      <c r="H23" s="116"/>
      <c r="I23" s="55"/>
      <c r="J23" s="33"/>
      <c r="K23" s="48"/>
      <c r="L23" s="49"/>
      <c r="M23" s="30"/>
      <c r="N23" s="30"/>
      <c r="O23" s="35"/>
      <c r="P23" s="35"/>
      <c r="Q23" s="35"/>
      <c r="R23" s="35"/>
      <c r="S23" s="35"/>
      <c r="T23" s="35"/>
      <c r="U23" s="52"/>
      <c r="V23" s="54"/>
    </row>
    <row r="24" spans="1:22" x14ac:dyDescent="0.25">
      <c r="A24" s="30"/>
      <c r="B24" s="34"/>
      <c r="C24" s="30"/>
      <c r="D24" s="35"/>
      <c r="E24" s="35"/>
      <c r="F24" s="32"/>
      <c r="G24" s="32"/>
      <c r="H24" s="116"/>
      <c r="I24" s="55"/>
      <c r="J24" s="33"/>
      <c r="K24" s="48"/>
      <c r="L24" s="56"/>
      <c r="M24" s="57"/>
      <c r="N24" s="58"/>
      <c r="O24" s="59"/>
      <c r="P24" s="59"/>
      <c r="Q24" s="59"/>
      <c r="R24" s="59"/>
      <c r="S24" s="59"/>
      <c r="T24" s="59"/>
      <c r="U24" s="60"/>
      <c r="V24" s="61"/>
    </row>
    <row r="25" spans="1:22" x14ac:dyDescent="0.25">
      <c r="A25" s="30"/>
      <c r="B25" s="34"/>
      <c r="C25" s="30"/>
      <c r="D25" s="35"/>
      <c r="E25" s="35"/>
      <c r="F25" s="62"/>
      <c r="G25" s="62"/>
      <c r="H25" s="116"/>
      <c r="I25" s="55"/>
      <c r="J25" s="33"/>
      <c r="K25" s="48"/>
      <c r="L25" s="56"/>
      <c r="M25" s="57"/>
      <c r="N25" s="58"/>
      <c r="O25" s="59"/>
      <c r="P25" s="59"/>
      <c r="Q25" s="59"/>
      <c r="R25" s="59"/>
      <c r="S25" s="59"/>
      <c r="T25" s="59"/>
      <c r="U25" s="60"/>
      <c r="V25" s="61"/>
    </row>
    <row r="26" spans="1:22" x14ac:dyDescent="0.25">
      <c r="A26" s="30"/>
      <c r="B26" s="34"/>
      <c r="C26" s="30"/>
      <c r="D26" s="35"/>
      <c r="E26" s="35" t="s">
        <v>23</v>
      </c>
      <c r="F26" s="117">
        <f>SUM(F8:F25)</f>
        <v>158309.31000000003</v>
      </c>
      <c r="G26" s="117">
        <f>G8+G9+G10+G11+G12+G13+G14</f>
        <v>153731.09000000003</v>
      </c>
      <c r="H26" s="116">
        <f>H6+H7</f>
        <v>5498.11</v>
      </c>
      <c r="I26" s="130">
        <f>SUM(I8:I25)</f>
        <v>19529.45</v>
      </c>
      <c r="J26" s="119">
        <f>SUM(J8:J25)</f>
        <v>9764.16</v>
      </c>
      <c r="K26" s="48"/>
      <c r="L26" s="49"/>
      <c r="M26" s="30"/>
      <c r="N26" s="30"/>
      <c r="O26" s="35"/>
      <c r="P26" s="35"/>
      <c r="Q26" s="35"/>
      <c r="R26" s="35"/>
      <c r="S26" s="35"/>
      <c r="T26" s="35"/>
      <c r="U26" s="52"/>
      <c r="V26" s="54"/>
    </row>
    <row r="27" spans="1:22" x14ac:dyDescent="0.25">
      <c r="A27" s="63"/>
      <c r="B27" s="64"/>
      <c r="C27" s="63"/>
      <c r="D27" s="65"/>
      <c r="E27" s="65"/>
      <c r="F27" s="66"/>
      <c r="G27" s="66"/>
      <c r="H27" s="67"/>
      <c r="I27" s="68"/>
      <c r="J27" s="69"/>
      <c r="K27" s="48"/>
      <c r="L27" s="49"/>
      <c r="M27" s="30"/>
      <c r="N27" s="30"/>
      <c r="O27" s="35"/>
      <c r="P27" s="35"/>
      <c r="Q27" s="35"/>
      <c r="R27" s="35"/>
      <c r="S27" s="35"/>
      <c r="T27" s="35"/>
      <c r="U27" s="52"/>
      <c r="V27" s="70"/>
    </row>
    <row r="28" spans="1:22" x14ac:dyDescent="0.25">
      <c r="A28" s="63"/>
      <c r="B28" s="64"/>
      <c r="C28" s="63"/>
      <c r="D28" s="65"/>
      <c r="E28" s="65"/>
      <c r="F28" s="66"/>
      <c r="G28" s="66"/>
      <c r="H28" s="67"/>
      <c r="I28" s="71"/>
      <c r="J28" s="69"/>
      <c r="K28" s="48"/>
      <c r="L28" s="49"/>
      <c r="M28" s="30"/>
      <c r="N28" s="30"/>
      <c r="O28" s="35"/>
      <c r="P28" s="35"/>
      <c r="Q28" s="35"/>
      <c r="R28" s="35"/>
      <c r="S28" s="35"/>
      <c r="T28" s="35"/>
      <c r="U28" s="52"/>
      <c r="V28" s="70"/>
    </row>
    <row r="29" spans="1:22" x14ac:dyDescent="0.25">
      <c r="A29" s="63"/>
      <c r="B29" s="64"/>
      <c r="C29" s="63"/>
      <c r="D29" s="65"/>
      <c r="E29" s="65"/>
      <c r="F29" s="66"/>
      <c r="G29" s="66"/>
      <c r="H29" s="67"/>
      <c r="I29" s="71"/>
      <c r="J29" s="69"/>
      <c r="K29" s="48"/>
      <c r="L29" s="49"/>
      <c r="M29" s="30"/>
      <c r="N29" s="30"/>
      <c r="O29" s="35"/>
      <c r="P29" s="35"/>
      <c r="Q29" s="35"/>
      <c r="R29" s="35"/>
      <c r="S29" s="35"/>
      <c r="T29" s="35"/>
      <c r="U29" s="52"/>
      <c r="V29" s="70"/>
    </row>
    <row r="30" spans="1:22" x14ac:dyDescent="0.25">
      <c r="A30" s="63"/>
      <c r="B30" s="64"/>
      <c r="C30" s="63"/>
      <c r="D30" s="65"/>
      <c r="E30" s="65"/>
      <c r="F30" s="66"/>
      <c r="G30" s="66"/>
      <c r="H30" s="67"/>
      <c r="I30" s="71"/>
      <c r="J30" s="69"/>
      <c r="K30" s="48"/>
      <c r="L30" s="49"/>
      <c r="M30" s="30"/>
      <c r="N30" s="35"/>
      <c r="O30" s="35"/>
      <c r="P30" s="35"/>
      <c r="Q30" s="35"/>
      <c r="R30" s="35"/>
      <c r="S30" s="35"/>
      <c r="T30" s="35"/>
      <c r="U30" s="52"/>
      <c r="V30" s="70"/>
    </row>
    <row r="31" spans="1:22" x14ac:dyDescent="0.25">
      <c r="A31" s="63"/>
      <c r="B31" s="64"/>
      <c r="C31" s="63"/>
      <c r="D31" s="65"/>
      <c r="E31" s="65"/>
      <c r="F31" s="66"/>
      <c r="G31" s="66"/>
      <c r="H31" s="67"/>
      <c r="I31" s="71"/>
      <c r="J31" s="69"/>
      <c r="K31" s="48"/>
      <c r="L31" s="49"/>
      <c r="M31" s="30"/>
      <c r="N31" s="35"/>
      <c r="O31" s="35"/>
      <c r="P31" s="35"/>
      <c r="Q31" s="35"/>
      <c r="R31" s="35"/>
      <c r="S31" s="35"/>
      <c r="T31" s="35"/>
      <c r="U31" s="52"/>
      <c r="V31" s="70"/>
    </row>
    <row r="32" spans="1:22" x14ac:dyDescent="0.25">
      <c r="A32" s="72" t="s">
        <v>24</v>
      </c>
      <c r="B32" s="73"/>
      <c r="C32" s="74">
        <f>J5</f>
        <v>12894.06</v>
      </c>
      <c r="D32" s="2"/>
      <c r="E32" s="2"/>
      <c r="F32" s="66"/>
      <c r="G32" s="66"/>
      <c r="H32" s="75"/>
      <c r="I32" s="76"/>
      <c r="J32" s="69"/>
      <c r="K32" s="48"/>
      <c r="L32" s="72" t="s">
        <v>24</v>
      </c>
      <c r="M32" s="73"/>
      <c r="N32" s="74"/>
      <c r="O32" s="77">
        <f>R5</f>
        <v>0</v>
      </c>
      <c r="P32" s="65"/>
      <c r="Q32" s="65"/>
      <c r="R32" s="65"/>
      <c r="S32" s="65"/>
      <c r="T32" s="65"/>
      <c r="U32" s="78"/>
      <c r="V32" s="79"/>
    </row>
    <row r="33" spans="1:22" x14ac:dyDescent="0.25">
      <c r="A33" s="1" t="s">
        <v>25</v>
      </c>
      <c r="B33" s="80"/>
      <c r="C33" s="81">
        <f>J26</f>
        <v>9764.16</v>
      </c>
      <c r="D33" s="2"/>
      <c r="E33" s="2"/>
      <c r="F33" s="66"/>
      <c r="G33" s="66"/>
      <c r="H33" s="67"/>
      <c r="I33" s="82"/>
      <c r="J33" s="83"/>
      <c r="K33" s="48"/>
      <c r="L33" s="1" t="s">
        <v>26</v>
      </c>
      <c r="M33" s="80"/>
      <c r="N33" s="81"/>
      <c r="O33" s="2">
        <f>V19</f>
        <v>12619.29</v>
      </c>
      <c r="P33" s="65"/>
      <c r="Q33" s="65"/>
      <c r="R33" s="65"/>
      <c r="S33" s="65"/>
      <c r="T33" s="65"/>
      <c r="U33" s="78"/>
      <c r="V33" s="79"/>
    </row>
    <row r="34" spans="1:22" x14ac:dyDescent="0.25">
      <c r="A34" s="1" t="s">
        <v>27</v>
      </c>
      <c r="B34" s="80"/>
      <c r="C34" s="81"/>
      <c r="D34" s="65"/>
      <c r="E34" s="65"/>
      <c r="F34" s="84"/>
      <c r="G34" s="84"/>
      <c r="H34" s="85"/>
      <c r="I34" s="65"/>
      <c r="J34" s="78"/>
      <c r="K34" s="48"/>
      <c r="L34" s="1" t="s">
        <v>28</v>
      </c>
      <c r="M34" s="80"/>
      <c r="N34" s="81"/>
      <c r="O34" s="2">
        <f>H26</f>
        <v>5498.11</v>
      </c>
      <c r="P34" s="65"/>
      <c r="Q34" s="65"/>
      <c r="R34" s="65"/>
      <c r="S34" s="65"/>
      <c r="T34" s="65"/>
      <c r="U34" s="78"/>
      <c r="V34" s="79"/>
    </row>
    <row r="35" spans="1:22" x14ac:dyDescent="0.25">
      <c r="A35" s="86" t="s">
        <v>94</v>
      </c>
      <c r="B35" s="1"/>
      <c r="C35" s="157">
        <v>0</v>
      </c>
      <c r="D35" s="87"/>
      <c r="E35" s="65"/>
      <c r="F35" s="78"/>
      <c r="G35" s="78"/>
      <c r="H35" s="65"/>
      <c r="I35" s="65"/>
      <c r="J35" s="78"/>
      <c r="K35" s="48"/>
      <c r="L35" s="86"/>
      <c r="M35" s="1"/>
      <c r="N35" s="65"/>
      <c r="O35" s="65"/>
      <c r="P35" s="65"/>
      <c r="Q35" s="65"/>
      <c r="R35" s="65"/>
      <c r="S35" s="65"/>
      <c r="T35" s="65"/>
      <c r="U35" s="78"/>
      <c r="V35" s="79"/>
    </row>
    <row r="36" spans="1:22" x14ac:dyDescent="0.25">
      <c r="A36" s="86" t="s">
        <v>95</v>
      </c>
      <c r="B36" s="1"/>
      <c r="C36" s="156">
        <v>35</v>
      </c>
      <c r="D36" s="65"/>
      <c r="E36" s="65"/>
      <c r="F36" s="78"/>
      <c r="G36" s="78"/>
      <c r="H36" s="65"/>
      <c r="I36" s="65"/>
      <c r="J36" s="91"/>
      <c r="K36" s="3"/>
      <c r="L36" s="86"/>
      <c r="M36" s="1"/>
      <c r="N36" s="87"/>
      <c r="O36" s="87"/>
      <c r="P36" s="87"/>
      <c r="Q36" s="65"/>
      <c r="R36" s="65"/>
      <c r="S36" s="65"/>
      <c r="T36" s="65"/>
      <c r="U36" s="78"/>
      <c r="V36" s="79"/>
    </row>
    <row r="37" spans="1:22" x14ac:dyDescent="0.25">
      <c r="A37" s="1"/>
      <c r="B37" s="80"/>
      <c r="C37" s="156"/>
      <c r="D37" s="65"/>
      <c r="E37" s="65"/>
      <c r="F37" s="65"/>
      <c r="G37" s="65"/>
      <c r="H37" s="65"/>
      <c r="I37" s="65"/>
      <c r="J37" s="65"/>
      <c r="K37" s="48"/>
      <c r="L37" s="63"/>
      <c r="M37" s="63"/>
      <c r="N37" s="65"/>
      <c r="O37" s="65"/>
      <c r="P37" s="65"/>
      <c r="Q37" s="65"/>
      <c r="R37" s="65"/>
      <c r="S37" s="65"/>
      <c r="T37" s="63"/>
      <c r="U37" s="63"/>
      <c r="V37" s="63"/>
    </row>
    <row r="38" spans="1:22" x14ac:dyDescent="0.25">
      <c r="A38" s="1"/>
      <c r="B38" s="80"/>
      <c r="C38" s="156"/>
      <c r="D38" s="2"/>
      <c r="E38" s="2"/>
      <c r="F38" s="2"/>
      <c r="G38" s="2"/>
      <c r="H38" s="2"/>
      <c r="I38" s="2"/>
      <c r="J38" s="2"/>
      <c r="K38" s="3"/>
      <c r="L38" s="1"/>
      <c r="M38" s="1"/>
      <c r="N38" s="2"/>
      <c r="O38" s="2"/>
      <c r="P38" s="2"/>
      <c r="Q38" s="65"/>
      <c r="R38" s="65"/>
      <c r="S38" s="65"/>
      <c r="T38" s="63"/>
      <c r="U38" s="63"/>
      <c r="V38" s="63"/>
    </row>
    <row r="39" spans="1:22" x14ac:dyDescent="0.25">
      <c r="A39" s="1"/>
      <c r="B39" s="80"/>
      <c r="C39" s="156"/>
      <c r="D39" s="2"/>
      <c r="E39" s="2"/>
      <c r="F39" s="2"/>
      <c r="G39" s="2"/>
      <c r="H39" s="2"/>
      <c r="I39" s="2"/>
      <c r="J39" s="2"/>
      <c r="K39" s="3"/>
      <c r="L39" s="1"/>
      <c r="M39" s="80"/>
      <c r="N39" s="81"/>
      <c r="O39" s="2"/>
      <c r="P39" s="2"/>
      <c r="Q39" s="65"/>
      <c r="R39" s="65"/>
      <c r="S39" s="65"/>
      <c r="T39" s="65"/>
      <c r="U39" s="78"/>
      <c r="V39" s="79"/>
    </row>
    <row r="40" spans="1:22" x14ac:dyDescent="0.25">
      <c r="A40" s="92"/>
      <c r="B40" s="92" t="s">
        <v>29</v>
      </c>
      <c r="C40" s="158">
        <f>C32+C33+C34+C35+C36</f>
        <v>22693.22</v>
      </c>
      <c r="D40" s="93"/>
      <c r="E40" s="93"/>
      <c r="F40" s="93"/>
      <c r="G40" s="93"/>
      <c r="H40" s="93"/>
      <c r="I40" s="93"/>
      <c r="J40" s="93"/>
      <c r="K40" s="94"/>
      <c r="L40" s="92"/>
      <c r="M40" s="95"/>
      <c r="N40" s="92" t="s">
        <v>29</v>
      </c>
      <c r="O40" s="93">
        <f>O32+O33+O34+O35+O36</f>
        <v>18117.400000000001</v>
      </c>
      <c r="P40" s="2"/>
      <c r="Q40" s="65"/>
      <c r="R40" s="65"/>
      <c r="S40" s="65"/>
      <c r="T40" s="65"/>
      <c r="U40" s="78"/>
      <c r="V40" s="79"/>
    </row>
    <row r="41" spans="1:22" x14ac:dyDescent="0.25">
      <c r="A41" s="1"/>
      <c r="B41" s="80"/>
      <c r="C41" s="81"/>
      <c r="D41" s="2"/>
      <c r="E41" s="2"/>
      <c r="F41" s="2"/>
      <c r="G41" s="2"/>
      <c r="H41" s="2"/>
      <c r="I41" s="2"/>
      <c r="J41" s="2"/>
      <c r="K41" s="3"/>
      <c r="L41" s="1"/>
      <c r="M41" s="80"/>
      <c r="N41" s="81"/>
      <c r="O41" s="2"/>
      <c r="P41" s="2"/>
      <c r="Q41" s="65"/>
      <c r="R41" s="65"/>
      <c r="S41" s="65"/>
      <c r="T41" s="65"/>
      <c r="U41" s="78"/>
      <c r="V41" s="79"/>
    </row>
    <row r="42" spans="1:22" x14ac:dyDescent="0.25">
      <c r="A42" s="107"/>
      <c r="B42" s="107"/>
      <c r="C42" s="107"/>
      <c r="D42" s="107"/>
      <c r="E42" s="107"/>
      <c r="F42" s="107"/>
      <c r="G42" s="107"/>
      <c r="H42" s="132"/>
      <c r="I42" s="132"/>
      <c r="J42" s="107"/>
      <c r="K42" s="3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</row>
    <row r="43" spans="1:22" x14ac:dyDescent="0.25">
      <c r="A43" s="107"/>
      <c r="B43" s="107"/>
      <c r="C43" s="107"/>
      <c r="D43" s="107"/>
      <c r="E43" s="107"/>
      <c r="F43" s="107"/>
      <c r="G43" s="107"/>
      <c r="H43" s="133" t="s">
        <v>30</v>
      </c>
      <c r="I43" s="134">
        <f>C40-O40</f>
        <v>4575.82</v>
      </c>
      <c r="J43" s="107"/>
      <c r="K43" s="3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</row>
    <row r="44" spans="1:22" x14ac:dyDescent="0.25">
      <c r="A44" s="107"/>
      <c r="B44" s="107"/>
      <c r="C44" s="107"/>
      <c r="D44" s="107"/>
      <c r="E44" s="107"/>
      <c r="F44" s="107"/>
      <c r="G44" s="107"/>
      <c r="H44" s="132"/>
      <c r="I44" s="132"/>
      <c r="J44" s="107"/>
      <c r="K44" s="3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</row>
    <row r="45" spans="1:22" x14ac:dyDescent="0.25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3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</row>
    <row r="46" spans="1:22" x14ac:dyDescent="0.25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3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</row>
  </sheetData>
  <conditionalFormatting sqref="C1:C5 N5:P13 C13">
    <cfRule type="cellIs" dxfId="332" priority="16" operator="equal">
      <formula>15698.2</formula>
    </cfRule>
  </conditionalFormatting>
  <conditionalFormatting sqref="C35:G35">
    <cfRule type="cellIs" dxfId="331" priority="20" operator="equal">
      <formula>15698.2</formula>
    </cfRule>
  </conditionalFormatting>
  <conditionalFormatting sqref="D6:F7">
    <cfRule type="cellIs" dxfId="330" priority="1" operator="equal">
      <formula>"kapalı"</formula>
    </cfRule>
  </conditionalFormatting>
  <conditionalFormatting sqref="D19:G34">
    <cfRule type="cellIs" dxfId="329" priority="13" operator="equal">
      <formula>"kapalı"</formula>
    </cfRule>
  </conditionalFormatting>
  <conditionalFormatting sqref="D36:G41">
    <cfRule type="cellIs" dxfId="328" priority="21" operator="equal">
      <formula>15698.2</formula>
    </cfRule>
  </conditionalFormatting>
  <conditionalFormatting sqref="D1:I4 D5:E5 H5:I7 H22:H25 H27:H33 H34:I41">
    <cfRule type="cellIs" dxfId="327" priority="38" operator="equal">
      <formula>"K.KART"</formula>
    </cfRule>
  </conditionalFormatting>
  <conditionalFormatting sqref="E8:E14">
    <cfRule type="cellIs" dxfId="326" priority="4" operator="equal">
      <formula>"K.KART"</formula>
    </cfRule>
  </conditionalFormatting>
  <conditionalFormatting sqref="E17:G18">
    <cfRule type="cellIs" dxfId="325" priority="14" operator="equal">
      <formula>"kapalı"</formula>
    </cfRule>
  </conditionalFormatting>
  <conditionalFormatting sqref="E35:G35 D36:G41">
    <cfRule type="cellIs" dxfId="324" priority="22" operator="equal">
      <formula>"kapalı"</formula>
    </cfRule>
  </conditionalFormatting>
  <conditionalFormatting sqref="F6">
    <cfRule type="cellIs" dxfId="323" priority="3" operator="equal">
      <formula>"K.KART"</formula>
    </cfRule>
  </conditionalFormatting>
  <conditionalFormatting sqref="F14 F15:G16">
    <cfRule type="cellIs" dxfId="322" priority="15" operator="equal">
      <formula>"kapalı"</formula>
    </cfRule>
  </conditionalFormatting>
  <conditionalFormatting sqref="F14">
    <cfRule type="cellIs" dxfId="321" priority="43" operator="equal">
      <formula>"K.KART"</formula>
    </cfRule>
  </conditionalFormatting>
  <conditionalFormatting sqref="F5:G5 F8:G12 D8:D16">
    <cfRule type="cellIs" dxfId="320" priority="5" operator="equal">
      <formula>"kapalı"</formula>
    </cfRule>
  </conditionalFormatting>
  <conditionalFormatting sqref="F5:G5">
    <cfRule type="cellIs" dxfId="319" priority="23" operator="equal">
      <formula>15698.2</formula>
    </cfRule>
  </conditionalFormatting>
  <conditionalFormatting sqref="F8:G8">
    <cfRule type="cellIs" dxfId="318" priority="7" operator="equal">
      <formula>"K.KART"</formula>
    </cfRule>
  </conditionalFormatting>
  <conditionalFormatting sqref="F11:G11">
    <cfRule type="cellIs" dxfId="317" priority="9" operator="equal">
      <formula>"K.KART"</formula>
    </cfRule>
  </conditionalFormatting>
  <conditionalFormatting sqref="F16:G16">
    <cfRule type="cellIs" dxfId="316" priority="44" operator="equal">
      <formula>"K.KART"</formula>
    </cfRule>
  </conditionalFormatting>
  <conditionalFormatting sqref="G6:G7">
    <cfRule type="cellIs" dxfId="315" priority="2" operator="equal">
      <formula>"K.KART"</formula>
    </cfRule>
  </conditionalFormatting>
  <conditionalFormatting sqref="H8:H9">
    <cfRule type="cellIs" dxfId="314" priority="6" operator="equal">
      <formula>"K.KART"</formula>
    </cfRule>
  </conditionalFormatting>
  <conditionalFormatting sqref="H10">
    <cfRule type="cellIs" dxfId="313" priority="10" operator="equal">
      <formula>"K.KART"</formula>
    </cfRule>
  </conditionalFormatting>
  <conditionalFormatting sqref="H11:H12">
    <cfRule type="cellIs" dxfId="312" priority="8" operator="equal">
      <formula>"K.KART"</formula>
    </cfRule>
  </conditionalFormatting>
  <conditionalFormatting sqref="H21">
    <cfRule type="cellIs" dxfId="311" priority="27" operator="equal">
      <formula>"K.KART"</formula>
    </cfRule>
  </conditionalFormatting>
  <conditionalFormatting sqref="H13:I15">
    <cfRule type="cellIs" dxfId="310" priority="11" operator="equal">
      <formula>"K.KART"</formula>
    </cfRule>
  </conditionalFormatting>
  <conditionalFormatting sqref="I16">
    <cfRule type="cellIs" dxfId="309" priority="12" operator="equal">
      <formula>"K.KART"</formula>
    </cfRule>
  </conditionalFormatting>
  <conditionalFormatting sqref="I27:I31 I33">
    <cfRule type="cellIs" dxfId="308" priority="28" operator="equal">
      <formula>"K.KART"</formula>
    </cfRule>
  </conditionalFormatting>
  <conditionalFormatting sqref="N4:O4">
    <cfRule type="cellIs" dxfId="307" priority="29" operator="equal">
      <formula>15698.2</formula>
    </cfRule>
    <cfRule type="cellIs" dxfId="306" priority="30" operator="equal">
      <formula>"kapalı"</formula>
    </cfRule>
  </conditionalFormatting>
  <conditionalFormatting sqref="N14:O14">
    <cfRule type="cellIs" dxfId="305" priority="32" operator="equal">
      <formula>15698.2</formula>
    </cfRule>
    <cfRule type="cellIs" dxfId="304" priority="33" operator="equal">
      <formula>"kapalı"</formula>
    </cfRule>
  </conditionalFormatting>
  <conditionalFormatting sqref="N1:P3 N15:P15">
    <cfRule type="cellIs" dxfId="303" priority="41" operator="equal">
      <formula>"KAPALI"</formula>
    </cfRule>
    <cfRule type="cellIs" dxfId="302" priority="42" operator="equal">
      <formula>"açık"</formula>
    </cfRule>
  </conditionalFormatting>
  <conditionalFormatting sqref="N1:P3 O14:P41 N15 N30:N39 N41">
    <cfRule type="cellIs" dxfId="301" priority="39" operator="equal">
      <formula>15698.2</formula>
    </cfRule>
  </conditionalFormatting>
  <conditionalFormatting sqref="N5:P13 C35:D35">
    <cfRule type="cellIs" dxfId="300" priority="19" operator="equal">
      <formula>"açık"</formula>
    </cfRule>
    <cfRule type="cellIs" dxfId="299" priority="18" operator="equal">
      <formula>"KAPALI"</formula>
    </cfRule>
  </conditionalFormatting>
  <conditionalFormatting sqref="N30:P39 O40:P40 N41:P41">
    <cfRule type="cellIs" dxfId="298" priority="36" operator="equal">
      <formula>"KAPALI"</formula>
    </cfRule>
    <cfRule type="cellIs" dxfId="297" priority="37" operator="equal">
      <formula>"açık"</formula>
    </cfRule>
  </conditionalFormatting>
  <conditionalFormatting sqref="O13:P31 P32:P33">
    <cfRule type="cellIs" dxfId="296" priority="35" operator="equal">
      <formula>"kapalı"</formula>
    </cfRule>
  </conditionalFormatting>
  <conditionalFormatting sqref="P14 R14:U14">
    <cfRule type="cellIs" dxfId="295" priority="34" operator="equal">
      <formula>"K.KART"</formula>
    </cfRule>
  </conditionalFormatting>
  <conditionalFormatting sqref="P4:V4">
    <cfRule type="cellIs" dxfId="294" priority="31" operator="equal">
      <formula>"K.KART"</formula>
    </cfRule>
  </conditionalFormatting>
  <conditionalFormatting sqref="Q5:Q12 I8:I12 D13 H16:H20">
    <cfRule type="cellIs" dxfId="293" priority="17" operator="equal">
      <formula>"K.KART"</formula>
    </cfRule>
  </conditionalFormatting>
  <conditionalFormatting sqref="Q16:Q20 C40">
    <cfRule type="cellIs" dxfId="292" priority="26" operator="equal">
      <formula>"kapalı"</formula>
    </cfRule>
    <cfRule type="cellIs" dxfId="291" priority="25" operator="equal">
      <formula>15698.2</formula>
    </cfRule>
  </conditionalFormatting>
  <conditionalFormatting sqref="Q1:S3 Q18:Q41">
    <cfRule type="cellIs" dxfId="290" priority="40" operator="equal">
      <formula>"K.KART"</formula>
    </cfRule>
  </conditionalFormatting>
  <conditionalFormatting sqref="R13:S41">
    <cfRule type="cellIs" dxfId="289" priority="24" operator="equal">
      <formula>"K.KART"</formula>
    </cfRule>
  </conditionalFormatting>
  <pageMargins left="0.7" right="0.7" top="0.75" bottom="0.75" header="0.3" footer="0.3"/>
  <pageSetup paperSize="9" scale="53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AFD0-0D35-4544-89CF-D9897F5B9228}">
  <dimension ref="A1:X45"/>
  <sheetViews>
    <sheetView topLeftCell="B1" workbookViewId="0">
      <selection activeCell="N43" sqref="N43"/>
    </sheetView>
  </sheetViews>
  <sheetFormatPr defaultRowHeight="15" x14ac:dyDescent="0.25"/>
  <cols>
    <col min="1" max="1" width="22.42578125" customWidth="1"/>
    <col min="2" max="2" width="12.7109375" customWidth="1"/>
    <col min="3" max="3" width="15.7109375" customWidth="1"/>
    <col min="4" max="4" width="10.42578125" customWidth="1"/>
    <col min="5" max="5" width="12" customWidth="1"/>
    <col min="6" max="6" width="13" customWidth="1"/>
    <col min="7" max="7" width="12.42578125" customWidth="1"/>
    <col min="8" max="8" width="13.28515625" customWidth="1"/>
    <col min="9" max="9" width="12.5703125" customWidth="1"/>
    <col min="10" max="10" width="11.28515625" customWidth="1"/>
    <col min="11" max="11" width="6.7109375" customWidth="1"/>
    <col min="12" max="12" width="1.7109375" customWidth="1"/>
    <col min="13" max="13" width="20.140625" customWidth="1"/>
    <col min="14" max="14" width="13.28515625" customWidth="1"/>
    <col min="15" max="15" width="15.5703125" customWidth="1"/>
    <col min="16" max="16" width="11.5703125" customWidth="1"/>
    <col min="19" max="19" width="13.140625" customWidth="1"/>
    <col min="20" max="20" width="13.42578125" customWidth="1"/>
    <col min="22" max="22" width="12.140625" customWidth="1"/>
    <col min="23" max="23" width="9.28515625" customWidth="1"/>
    <col min="24" max="24" width="5.85546875" customWidth="1"/>
  </cols>
  <sheetData>
    <row r="1" spans="1:2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1"/>
      <c r="N1" s="1"/>
      <c r="O1" s="2"/>
      <c r="P1" s="2"/>
      <c r="Q1" s="2"/>
      <c r="R1" s="2"/>
      <c r="S1" s="2"/>
      <c r="T1" s="2"/>
      <c r="U1" s="2"/>
      <c r="V1" s="4"/>
      <c r="W1" s="5"/>
      <c r="X1" s="5"/>
    </row>
    <row r="2" spans="1:24" x14ac:dyDescent="0.25">
      <c r="A2" s="6" t="s">
        <v>0</v>
      </c>
      <c r="B2" s="6"/>
      <c r="C2" s="7"/>
      <c r="D2" s="7"/>
      <c r="E2" s="7"/>
      <c r="F2" s="7"/>
      <c r="G2" s="7"/>
      <c r="H2" s="7"/>
      <c r="I2" s="7"/>
      <c r="J2" s="7"/>
      <c r="K2" s="7"/>
      <c r="L2" s="3"/>
      <c r="M2" s="6" t="s">
        <v>1</v>
      </c>
      <c r="N2" s="6"/>
      <c r="O2" s="7"/>
      <c r="P2" s="7"/>
      <c r="Q2" s="7"/>
      <c r="R2" s="7"/>
      <c r="S2" s="7"/>
      <c r="T2" s="7"/>
      <c r="U2" s="7"/>
      <c r="V2" s="8"/>
      <c r="W2" s="9"/>
      <c r="X2" s="9"/>
    </row>
    <row r="3" spans="1:24" x14ac:dyDescent="0.25">
      <c r="A3" s="10" t="s">
        <v>80</v>
      </c>
      <c r="B3" s="10">
        <v>2025</v>
      </c>
      <c r="C3" s="11"/>
      <c r="D3" s="11"/>
      <c r="E3" s="11"/>
      <c r="F3" s="11"/>
      <c r="G3" s="11"/>
      <c r="H3" s="11"/>
      <c r="I3" s="11"/>
      <c r="J3" s="11"/>
      <c r="K3" s="11"/>
      <c r="L3" s="12"/>
      <c r="M3" s="10" t="s">
        <v>80</v>
      </c>
      <c r="N3" s="10">
        <v>2025</v>
      </c>
      <c r="O3" s="11"/>
      <c r="P3" s="11"/>
      <c r="Q3" s="11"/>
      <c r="R3" s="11"/>
      <c r="S3" s="11"/>
      <c r="T3" s="11"/>
      <c r="U3" s="11"/>
      <c r="V3" s="13"/>
      <c r="W3" s="14"/>
      <c r="X3" s="14"/>
    </row>
    <row r="4" spans="1:24" ht="38.25" x14ac:dyDescent="0.25">
      <c r="A4" s="15" t="s">
        <v>2</v>
      </c>
      <c r="B4" s="15" t="s">
        <v>3</v>
      </c>
      <c r="C4" s="16" t="s">
        <v>4</v>
      </c>
      <c r="D4" s="16" t="s">
        <v>5</v>
      </c>
      <c r="E4" s="16" t="s">
        <v>6</v>
      </c>
      <c r="F4" s="17" t="s">
        <v>68</v>
      </c>
      <c r="G4" s="17" t="s">
        <v>69</v>
      </c>
      <c r="H4" s="16" t="s">
        <v>8</v>
      </c>
      <c r="I4" s="16" t="s">
        <v>9</v>
      </c>
      <c r="J4" s="18" t="s">
        <v>10</v>
      </c>
      <c r="K4" s="18" t="s">
        <v>81</v>
      </c>
      <c r="L4" s="19"/>
      <c r="M4" s="15" t="s">
        <v>2</v>
      </c>
      <c r="N4" s="15" t="s">
        <v>3</v>
      </c>
      <c r="O4" s="16" t="s">
        <v>4</v>
      </c>
      <c r="P4" s="16" t="s">
        <v>11</v>
      </c>
      <c r="Q4" s="16" t="s">
        <v>5</v>
      </c>
      <c r="R4" s="16" t="s">
        <v>6</v>
      </c>
      <c r="S4" s="16" t="s">
        <v>68</v>
      </c>
      <c r="T4" s="16" t="s">
        <v>69</v>
      </c>
      <c r="U4" s="16" t="s">
        <v>8</v>
      </c>
      <c r="V4" s="18" t="s">
        <v>9</v>
      </c>
      <c r="W4" s="18" t="s">
        <v>12</v>
      </c>
      <c r="X4" s="18" t="s">
        <v>81</v>
      </c>
    </row>
    <row r="5" spans="1:24" x14ac:dyDescent="0.25">
      <c r="A5" s="20" t="s">
        <v>13</v>
      </c>
      <c r="B5" s="20"/>
      <c r="C5" s="21"/>
      <c r="D5" s="21"/>
      <c r="E5" s="21"/>
      <c r="F5" s="22"/>
      <c r="G5" s="22"/>
      <c r="H5" s="23"/>
      <c r="I5" s="21"/>
      <c r="J5" s="24">
        <v>4575.82</v>
      </c>
      <c r="K5" s="24"/>
      <c r="L5" s="25"/>
      <c r="M5" s="26" t="s">
        <v>13</v>
      </c>
      <c r="N5" s="20"/>
      <c r="O5" s="21"/>
      <c r="P5" s="21"/>
      <c r="Q5" s="21"/>
      <c r="R5" s="21"/>
      <c r="S5" s="21"/>
      <c r="T5" s="21"/>
      <c r="U5" s="21"/>
      <c r="V5" s="27"/>
      <c r="W5" s="28"/>
      <c r="X5" s="24"/>
    </row>
    <row r="6" spans="1:24" x14ac:dyDescent="0.25">
      <c r="A6" s="29" t="s">
        <v>36</v>
      </c>
      <c r="B6" s="34">
        <v>45679</v>
      </c>
      <c r="C6" s="30">
        <v>543824363</v>
      </c>
      <c r="D6" s="35" t="s">
        <v>15</v>
      </c>
      <c r="E6" s="50" t="s">
        <v>46</v>
      </c>
      <c r="F6" s="32">
        <v>22032.36</v>
      </c>
      <c r="G6" s="116"/>
      <c r="H6" s="135">
        <v>3672.06</v>
      </c>
      <c r="I6" s="123"/>
      <c r="J6" s="138">
        <f t="shared" ref="J6:J23" si="0">I6*K6</f>
        <v>0</v>
      </c>
      <c r="K6" s="139">
        <v>0.5</v>
      </c>
      <c r="L6" s="25"/>
      <c r="M6" s="29" t="s">
        <v>82</v>
      </c>
      <c r="N6" s="34">
        <v>45820</v>
      </c>
      <c r="O6" s="30">
        <v>1256543125</v>
      </c>
      <c r="P6" s="35" t="s">
        <v>48</v>
      </c>
      <c r="Q6" s="123" t="s">
        <v>35</v>
      </c>
      <c r="R6" s="123" t="s">
        <v>17</v>
      </c>
      <c r="S6" s="32">
        <v>11158.45</v>
      </c>
      <c r="T6" s="40">
        <v>9962.89</v>
      </c>
      <c r="U6" s="123"/>
      <c r="V6" s="141">
        <v>996.3</v>
      </c>
      <c r="W6" s="138">
        <f t="shared" ref="W6:W16" si="1">V6*X6</f>
        <v>498.15</v>
      </c>
      <c r="X6" s="139">
        <v>0.5</v>
      </c>
    </row>
    <row r="7" spans="1:24" x14ac:dyDescent="0.25">
      <c r="A7" s="29" t="s">
        <v>22</v>
      </c>
      <c r="B7" s="34">
        <v>45812</v>
      </c>
      <c r="C7" s="30">
        <v>577776263</v>
      </c>
      <c r="D7" s="35" t="s">
        <v>15</v>
      </c>
      <c r="E7" s="146" t="s">
        <v>37</v>
      </c>
      <c r="F7" s="32">
        <v>15151.72</v>
      </c>
      <c r="G7" s="32">
        <v>14430.2</v>
      </c>
      <c r="H7" s="40">
        <v>2525.34</v>
      </c>
      <c r="I7" s="123">
        <v>1875.9</v>
      </c>
      <c r="J7" s="138">
        <f t="shared" si="0"/>
        <v>937.95</v>
      </c>
      <c r="K7" s="139">
        <v>0.5</v>
      </c>
      <c r="L7" s="25"/>
      <c r="M7" s="126" t="s">
        <v>83</v>
      </c>
      <c r="N7" s="136">
        <v>45821</v>
      </c>
      <c r="O7" s="137" t="s">
        <v>84</v>
      </c>
      <c r="P7" s="123" t="s">
        <v>48</v>
      </c>
      <c r="Q7" s="123" t="s">
        <v>15</v>
      </c>
      <c r="R7" s="123" t="s">
        <v>17</v>
      </c>
      <c r="S7" s="123">
        <v>16520</v>
      </c>
      <c r="T7" s="123">
        <v>15733.32</v>
      </c>
      <c r="U7" s="123"/>
      <c r="V7" s="123">
        <v>2045.29</v>
      </c>
      <c r="W7" s="138">
        <f t="shared" si="1"/>
        <v>1022.645</v>
      </c>
      <c r="X7" s="139">
        <v>0.5</v>
      </c>
    </row>
    <row r="8" spans="1:24" x14ac:dyDescent="0.25">
      <c r="A8" s="29" t="s">
        <v>22</v>
      </c>
      <c r="B8" s="34">
        <v>45812</v>
      </c>
      <c r="C8" s="30">
        <v>577835982</v>
      </c>
      <c r="D8" s="35" t="s">
        <v>35</v>
      </c>
      <c r="E8" s="123" t="s">
        <v>17</v>
      </c>
      <c r="F8" s="32">
        <v>6973.97</v>
      </c>
      <c r="G8" s="32">
        <v>6226.78</v>
      </c>
      <c r="H8" s="116"/>
      <c r="I8" s="123">
        <v>622.6</v>
      </c>
      <c r="J8" s="138">
        <f t="shared" si="0"/>
        <v>311.3</v>
      </c>
      <c r="K8" s="139">
        <v>0.5</v>
      </c>
      <c r="L8" s="25"/>
      <c r="M8" s="126" t="s">
        <v>83</v>
      </c>
      <c r="N8" s="136">
        <v>45821</v>
      </c>
      <c r="O8" s="137" t="s">
        <v>84</v>
      </c>
      <c r="P8" s="123" t="s">
        <v>48</v>
      </c>
      <c r="Q8" s="123" t="s">
        <v>85</v>
      </c>
      <c r="R8" s="123" t="s">
        <v>17</v>
      </c>
      <c r="S8" s="123">
        <v>8260</v>
      </c>
      <c r="T8" s="123">
        <v>7866.67</v>
      </c>
      <c r="U8" s="123"/>
      <c r="V8" s="123">
        <v>1022.58</v>
      </c>
      <c r="W8" s="138">
        <f t="shared" si="1"/>
        <v>511.29</v>
      </c>
      <c r="X8" s="139">
        <v>0.5</v>
      </c>
    </row>
    <row r="9" spans="1:24" x14ac:dyDescent="0.25">
      <c r="A9" s="29"/>
      <c r="B9" s="34"/>
      <c r="C9" s="30"/>
      <c r="D9" s="35"/>
      <c r="E9" s="123"/>
      <c r="F9" s="32"/>
      <c r="G9" s="32"/>
      <c r="H9" s="40"/>
      <c r="I9" s="123"/>
      <c r="J9" s="138">
        <f t="shared" si="0"/>
        <v>0</v>
      </c>
      <c r="K9" s="139">
        <v>0.5</v>
      </c>
      <c r="L9" s="19"/>
      <c r="M9" s="126" t="s">
        <v>88</v>
      </c>
      <c r="N9" s="136">
        <v>45835</v>
      </c>
      <c r="O9" s="137" t="s">
        <v>89</v>
      </c>
      <c r="P9" s="123" t="s">
        <v>48</v>
      </c>
      <c r="Q9" s="123" t="s">
        <v>35</v>
      </c>
      <c r="R9" s="123" t="s">
        <v>17</v>
      </c>
      <c r="S9" s="123">
        <v>20224.45</v>
      </c>
      <c r="T9" s="123">
        <v>18057.53</v>
      </c>
      <c r="U9" s="123"/>
      <c r="V9" s="142">
        <v>1805.7</v>
      </c>
      <c r="W9" s="143">
        <f t="shared" si="1"/>
        <v>902.85</v>
      </c>
      <c r="X9" s="139">
        <v>0.5</v>
      </c>
    </row>
    <row r="10" spans="1:24" x14ac:dyDescent="0.25">
      <c r="A10" s="29"/>
      <c r="B10" s="34"/>
      <c r="C10" s="30"/>
      <c r="D10" s="35"/>
      <c r="E10" s="123"/>
      <c r="F10" s="32"/>
      <c r="G10" s="32"/>
      <c r="H10" s="116"/>
      <c r="I10" s="123"/>
      <c r="J10" s="138">
        <f t="shared" si="0"/>
        <v>0</v>
      </c>
      <c r="K10" s="139">
        <v>0.5</v>
      </c>
      <c r="L10" s="19"/>
      <c r="M10" s="126" t="s">
        <v>88</v>
      </c>
      <c r="N10" s="136">
        <v>45835</v>
      </c>
      <c r="O10" s="137">
        <v>1278213425</v>
      </c>
      <c r="P10" s="123" t="s">
        <v>48</v>
      </c>
      <c r="Q10" s="123" t="s">
        <v>15</v>
      </c>
      <c r="R10" s="123" t="s">
        <v>17</v>
      </c>
      <c r="S10" s="123">
        <v>19170</v>
      </c>
      <c r="T10" s="123">
        <v>18257.14</v>
      </c>
      <c r="U10" s="123"/>
      <c r="V10" s="142">
        <v>2373.41</v>
      </c>
      <c r="W10" s="143">
        <f t="shared" si="1"/>
        <v>1186.7049999999999</v>
      </c>
      <c r="X10" s="139">
        <v>0.5</v>
      </c>
    </row>
    <row r="11" spans="1:24" x14ac:dyDescent="0.25">
      <c r="A11" s="29"/>
      <c r="B11" s="34"/>
      <c r="C11" s="30"/>
      <c r="D11" s="35"/>
      <c r="E11" s="123"/>
      <c r="F11" s="32"/>
      <c r="G11" s="32"/>
      <c r="H11" s="40"/>
      <c r="I11" s="40"/>
      <c r="J11" s="138">
        <f t="shared" si="0"/>
        <v>0</v>
      </c>
      <c r="K11" s="139">
        <v>0.5</v>
      </c>
      <c r="L11" s="19"/>
      <c r="M11" s="42" t="s">
        <v>90</v>
      </c>
      <c r="N11" s="34">
        <v>45831</v>
      </c>
      <c r="O11" s="30">
        <v>1281203925</v>
      </c>
      <c r="P11" s="35" t="s">
        <v>48</v>
      </c>
      <c r="Q11" s="35" t="s">
        <v>35</v>
      </c>
      <c r="R11" s="123" t="s">
        <v>17</v>
      </c>
      <c r="S11" s="35">
        <v>8368.4500000000007</v>
      </c>
      <c r="T11" s="35">
        <v>7471.81</v>
      </c>
      <c r="U11" s="35"/>
      <c r="V11" s="144">
        <v>747.2</v>
      </c>
      <c r="W11" s="143">
        <f t="shared" si="1"/>
        <v>373.6</v>
      </c>
      <c r="X11" s="139">
        <v>0.5</v>
      </c>
    </row>
    <row r="12" spans="1:24" x14ac:dyDescent="0.25">
      <c r="A12" s="29"/>
      <c r="B12" s="34"/>
      <c r="C12" s="45"/>
      <c r="D12" s="35"/>
      <c r="E12" s="123"/>
      <c r="F12" s="32"/>
      <c r="G12" s="32"/>
      <c r="H12" s="40"/>
      <c r="I12" s="40"/>
      <c r="J12" s="138">
        <f t="shared" si="0"/>
        <v>0</v>
      </c>
      <c r="K12" s="139">
        <v>0.5</v>
      </c>
      <c r="L12" s="48"/>
      <c r="M12" s="120" t="s">
        <v>90</v>
      </c>
      <c r="N12" s="34">
        <v>45831</v>
      </c>
      <c r="O12" s="30">
        <v>1280491725</v>
      </c>
      <c r="P12" s="35" t="s">
        <v>48</v>
      </c>
      <c r="Q12" s="35" t="s">
        <v>15</v>
      </c>
      <c r="R12" s="123" t="s">
        <v>17</v>
      </c>
      <c r="S12" s="35">
        <v>26650</v>
      </c>
      <c r="T12" s="35">
        <v>25380.95</v>
      </c>
      <c r="U12" s="35"/>
      <c r="V12" s="145">
        <v>3299.53</v>
      </c>
      <c r="W12" s="143">
        <f t="shared" si="1"/>
        <v>1649.7650000000001</v>
      </c>
      <c r="X12" s="139">
        <v>0.5</v>
      </c>
    </row>
    <row r="13" spans="1:24" x14ac:dyDescent="0.25">
      <c r="A13" s="29"/>
      <c r="B13" s="34"/>
      <c r="C13" s="30"/>
      <c r="D13" s="35"/>
      <c r="E13" s="129"/>
      <c r="F13" s="32"/>
      <c r="G13" s="32"/>
      <c r="H13" s="40"/>
      <c r="I13" s="40"/>
      <c r="J13" s="138">
        <f t="shared" si="0"/>
        <v>0</v>
      </c>
      <c r="K13" s="139">
        <v>0.5</v>
      </c>
      <c r="L13" s="48"/>
      <c r="M13" s="49"/>
      <c r="N13" s="34"/>
      <c r="O13" s="30"/>
      <c r="P13" s="35"/>
      <c r="Q13" s="35"/>
      <c r="R13" s="123"/>
      <c r="S13" s="35"/>
      <c r="T13" s="35"/>
      <c r="U13" s="35"/>
      <c r="V13" s="36"/>
      <c r="W13" s="138"/>
      <c r="X13" s="139">
        <v>0.5</v>
      </c>
    </row>
    <row r="14" spans="1:24" x14ac:dyDescent="0.25">
      <c r="A14" s="29"/>
      <c r="B14" s="34"/>
      <c r="C14" s="30"/>
      <c r="D14" s="35"/>
      <c r="E14" s="129"/>
      <c r="F14" s="32"/>
      <c r="G14" s="32"/>
      <c r="H14" s="40"/>
      <c r="I14" s="40"/>
      <c r="J14" s="138">
        <f t="shared" si="0"/>
        <v>0</v>
      </c>
      <c r="K14" s="139">
        <v>0.5</v>
      </c>
      <c r="L14" s="48"/>
      <c r="M14" s="49"/>
      <c r="N14" s="34"/>
      <c r="O14" s="30"/>
      <c r="P14" s="35"/>
      <c r="Q14" s="35"/>
      <c r="R14" s="35"/>
      <c r="S14" s="35"/>
      <c r="T14" s="35"/>
      <c r="U14" s="35"/>
      <c r="V14" s="36"/>
      <c r="W14" s="138"/>
      <c r="X14" s="139">
        <v>0.5</v>
      </c>
    </row>
    <row r="15" spans="1:24" x14ac:dyDescent="0.25">
      <c r="A15" s="29"/>
      <c r="B15" s="34"/>
      <c r="C15" s="30"/>
      <c r="D15" s="31"/>
      <c r="E15" s="35"/>
      <c r="F15" s="32"/>
      <c r="G15" s="32"/>
      <c r="H15" s="116"/>
      <c r="I15" s="41"/>
      <c r="J15" s="138">
        <f t="shared" si="0"/>
        <v>0</v>
      </c>
      <c r="K15" s="139">
        <v>0.5</v>
      </c>
      <c r="L15" s="48"/>
      <c r="M15" s="49"/>
      <c r="N15" s="34"/>
      <c r="O15" s="30"/>
      <c r="P15" s="35"/>
      <c r="Q15" s="35"/>
      <c r="R15" s="35"/>
      <c r="S15" s="35"/>
      <c r="T15" s="35"/>
      <c r="U15" s="35"/>
      <c r="V15" s="36"/>
      <c r="W15" s="138">
        <f t="shared" si="1"/>
        <v>0</v>
      </c>
      <c r="X15" s="139">
        <v>0.5</v>
      </c>
    </row>
    <row r="16" spans="1:24" x14ac:dyDescent="0.25">
      <c r="A16" s="29"/>
      <c r="B16" s="34"/>
      <c r="C16" s="30"/>
      <c r="D16" s="31"/>
      <c r="E16" s="35"/>
      <c r="F16" s="32"/>
      <c r="G16" s="32"/>
      <c r="H16" s="116"/>
      <c r="I16" s="41"/>
      <c r="J16" s="138">
        <f t="shared" si="0"/>
        <v>0</v>
      </c>
      <c r="K16" s="139">
        <v>0.5</v>
      </c>
      <c r="L16" s="48"/>
      <c r="M16" s="49"/>
      <c r="N16" s="30"/>
      <c r="O16" s="30"/>
      <c r="P16" s="35"/>
      <c r="Q16" s="35"/>
      <c r="R16" s="35"/>
      <c r="S16" s="35"/>
      <c r="T16" s="35"/>
      <c r="U16" s="35"/>
      <c r="V16" s="36"/>
      <c r="W16" s="138">
        <f t="shared" si="1"/>
        <v>0</v>
      </c>
      <c r="X16" s="139">
        <v>0.5</v>
      </c>
    </row>
    <row r="17" spans="1:24" x14ac:dyDescent="0.25">
      <c r="A17" s="29"/>
      <c r="B17" s="34"/>
      <c r="C17" s="30"/>
      <c r="D17" s="35"/>
      <c r="E17" s="35"/>
      <c r="F17" s="32"/>
      <c r="G17" s="32"/>
      <c r="H17" s="116"/>
      <c r="I17" s="41"/>
      <c r="J17" s="138">
        <f t="shared" si="0"/>
        <v>0</v>
      </c>
      <c r="K17" s="139">
        <v>0.5</v>
      </c>
      <c r="L17" s="48"/>
      <c r="M17" s="49"/>
      <c r="N17" s="30"/>
      <c r="O17" s="30"/>
      <c r="P17" s="35"/>
      <c r="Q17" s="35"/>
      <c r="R17" s="35" t="s">
        <v>23</v>
      </c>
      <c r="S17" s="35">
        <f>S6+S7+S8+S10+S11+S12</f>
        <v>90126.9</v>
      </c>
      <c r="T17" s="35">
        <f>T6+T7+T8+T9+T10+T11+T12</f>
        <v>102730.30999999998</v>
      </c>
      <c r="U17" s="35">
        <f>U7+U8</f>
        <v>0</v>
      </c>
      <c r="V17" s="52">
        <f>V6+V7+V8+V9+V10+V11+V12</f>
        <v>12290.01</v>
      </c>
      <c r="W17" s="33">
        <f>W6+W7+W8+W9+W10+W11+W12</f>
        <v>6145.0050000000001</v>
      </c>
      <c r="X17" s="139">
        <v>0.5</v>
      </c>
    </row>
    <row r="18" spans="1:24" x14ac:dyDescent="0.25">
      <c r="A18" s="29"/>
      <c r="B18" s="34"/>
      <c r="C18" s="30"/>
      <c r="D18" s="35"/>
      <c r="E18" s="35"/>
      <c r="F18" s="32"/>
      <c r="G18" s="32"/>
      <c r="H18" s="116"/>
      <c r="I18" s="41"/>
      <c r="J18" s="138">
        <f t="shared" si="0"/>
        <v>0</v>
      </c>
      <c r="K18" s="139">
        <v>0.5</v>
      </c>
      <c r="L18" s="48"/>
      <c r="M18" s="49"/>
      <c r="N18" s="30"/>
      <c r="O18" s="30"/>
      <c r="P18" s="35"/>
      <c r="Q18" s="35"/>
      <c r="R18" s="35"/>
      <c r="S18" s="35"/>
      <c r="T18" s="35"/>
      <c r="U18" s="35"/>
      <c r="V18" s="52"/>
      <c r="W18" s="54"/>
      <c r="X18" s="140"/>
    </row>
    <row r="19" spans="1:24" x14ac:dyDescent="0.25">
      <c r="A19" s="29"/>
      <c r="B19" s="34"/>
      <c r="C19" s="30"/>
      <c r="D19" s="35"/>
      <c r="E19" s="35"/>
      <c r="F19" s="32"/>
      <c r="G19" s="32"/>
      <c r="H19" s="116"/>
      <c r="I19" s="41"/>
      <c r="J19" s="138">
        <f t="shared" si="0"/>
        <v>0</v>
      </c>
      <c r="K19" s="139">
        <v>0.5</v>
      </c>
      <c r="L19" s="48"/>
      <c r="M19" s="49"/>
      <c r="N19" s="30"/>
      <c r="O19" s="30"/>
      <c r="P19" s="35"/>
      <c r="Q19" s="35"/>
      <c r="R19" s="35"/>
      <c r="S19" s="35"/>
      <c r="T19" s="35"/>
      <c r="U19" s="35"/>
      <c r="V19" s="52"/>
      <c r="W19" s="54"/>
      <c r="X19" s="140"/>
    </row>
    <row r="20" spans="1:24" x14ac:dyDescent="0.25">
      <c r="A20" s="30"/>
      <c r="B20" s="34"/>
      <c r="C20" s="30"/>
      <c r="D20" s="35"/>
      <c r="E20" s="35"/>
      <c r="F20" s="32"/>
      <c r="G20" s="32"/>
      <c r="H20" s="116"/>
      <c r="I20" s="55"/>
      <c r="J20" s="138">
        <f t="shared" si="0"/>
        <v>0</v>
      </c>
      <c r="K20" s="139">
        <v>0.5</v>
      </c>
      <c r="L20" s="48"/>
      <c r="M20" s="49"/>
      <c r="N20" s="30"/>
      <c r="O20" s="30"/>
      <c r="P20" s="35"/>
      <c r="Q20" s="35"/>
      <c r="R20" s="35"/>
      <c r="S20" s="35"/>
      <c r="T20" s="35"/>
      <c r="U20" s="35"/>
      <c r="V20" s="52"/>
      <c r="W20" s="54"/>
      <c r="X20" s="140"/>
    </row>
    <row r="21" spans="1:24" x14ac:dyDescent="0.25">
      <c r="A21" s="30"/>
      <c r="B21" s="34"/>
      <c r="C21" s="30"/>
      <c r="D21" s="35"/>
      <c r="E21" s="35"/>
      <c r="F21" s="32"/>
      <c r="G21" s="32"/>
      <c r="H21" s="116"/>
      <c r="I21" s="55"/>
      <c r="J21" s="138">
        <f t="shared" si="0"/>
        <v>0</v>
      </c>
      <c r="K21" s="139">
        <v>0.5</v>
      </c>
      <c r="L21" s="48"/>
      <c r="M21" s="49"/>
      <c r="N21" s="30"/>
      <c r="O21" s="30"/>
      <c r="P21" s="35"/>
      <c r="Q21" s="35"/>
      <c r="R21" s="35"/>
      <c r="S21" s="35"/>
      <c r="T21" s="35"/>
      <c r="U21" s="35"/>
      <c r="V21" s="52"/>
      <c r="W21" s="54"/>
      <c r="X21" s="140"/>
    </row>
    <row r="22" spans="1:24" x14ac:dyDescent="0.25">
      <c r="A22" s="30"/>
      <c r="B22" s="34"/>
      <c r="C22" s="30"/>
      <c r="D22" s="35"/>
      <c r="E22" s="35"/>
      <c r="F22" s="32"/>
      <c r="G22" s="32"/>
      <c r="H22" s="116"/>
      <c r="I22" s="55"/>
      <c r="J22" s="138">
        <f t="shared" si="0"/>
        <v>0</v>
      </c>
      <c r="K22" s="139">
        <v>0.5</v>
      </c>
      <c r="L22" s="48"/>
      <c r="M22" s="56"/>
      <c r="N22" s="57"/>
      <c r="O22" s="58"/>
      <c r="P22" s="59"/>
      <c r="Q22" s="59"/>
      <c r="R22" s="59"/>
      <c r="S22" s="59"/>
      <c r="T22" s="59"/>
      <c r="U22" s="59"/>
      <c r="V22" s="60"/>
      <c r="W22" s="61"/>
      <c r="X22" s="140"/>
    </row>
    <row r="23" spans="1:24" x14ac:dyDescent="0.25">
      <c r="A23" s="30"/>
      <c r="B23" s="34"/>
      <c r="C23" s="30"/>
      <c r="D23" s="35"/>
      <c r="E23" s="35"/>
      <c r="F23" s="62"/>
      <c r="G23" s="62"/>
      <c r="H23" s="116"/>
      <c r="I23" s="55"/>
      <c r="J23" s="138">
        <f t="shared" si="0"/>
        <v>0</v>
      </c>
      <c r="K23" s="139">
        <v>0.5</v>
      </c>
      <c r="L23" s="48"/>
      <c r="M23" s="56"/>
      <c r="N23" s="57"/>
      <c r="O23" s="58"/>
      <c r="P23" s="59"/>
      <c r="Q23" s="59"/>
      <c r="R23" s="59"/>
      <c r="S23" s="59"/>
      <c r="T23" s="59"/>
      <c r="U23" s="59"/>
      <c r="V23" s="60"/>
      <c r="W23" s="61"/>
      <c r="X23" s="140"/>
    </row>
    <row r="24" spans="1:24" x14ac:dyDescent="0.25">
      <c r="A24" s="30"/>
      <c r="B24" s="34"/>
      <c r="C24" s="30"/>
      <c r="D24" s="35"/>
      <c r="E24" s="35" t="s">
        <v>23</v>
      </c>
      <c r="F24" s="117">
        <f>SUM(F7:F23)</f>
        <v>22125.69</v>
      </c>
      <c r="G24" s="117">
        <f>G7+G8</f>
        <v>20656.98</v>
      </c>
      <c r="H24" s="116">
        <f>H6+H7+H8</f>
        <v>6197.4</v>
      </c>
      <c r="I24" s="130">
        <f>SUM(I7:I23)</f>
        <v>2498.5</v>
      </c>
      <c r="J24" s="119">
        <f>SUM(J7:J23)</f>
        <v>1249.25</v>
      </c>
      <c r="K24" s="119"/>
      <c r="L24" s="48"/>
      <c r="M24" s="49"/>
      <c r="N24" s="30"/>
      <c r="O24" s="30"/>
      <c r="P24" s="35"/>
      <c r="Q24" s="35"/>
      <c r="R24" s="35"/>
      <c r="S24" s="35"/>
      <c r="T24" s="35"/>
      <c r="U24" s="35"/>
      <c r="V24" s="52"/>
      <c r="W24" s="54"/>
      <c r="X24" s="54"/>
    </row>
    <row r="25" spans="1:24" x14ac:dyDescent="0.25">
      <c r="A25" s="63"/>
      <c r="B25" s="64"/>
      <c r="C25" s="63"/>
      <c r="D25" s="65"/>
      <c r="E25" s="65"/>
      <c r="F25" s="66"/>
      <c r="G25" s="66"/>
      <c r="H25" s="67"/>
      <c r="I25" s="68"/>
      <c r="J25" s="69"/>
      <c r="K25" s="69"/>
      <c r="L25" s="48"/>
      <c r="M25" s="49"/>
      <c r="N25" s="30"/>
      <c r="O25" s="30"/>
      <c r="P25" s="35"/>
      <c r="Q25" s="35"/>
      <c r="R25" s="35"/>
      <c r="S25" s="35"/>
      <c r="T25" s="35"/>
      <c r="U25" s="35"/>
      <c r="V25" s="52"/>
      <c r="W25" s="70"/>
      <c r="X25" s="70"/>
    </row>
    <row r="26" spans="1:24" x14ac:dyDescent="0.25">
      <c r="A26" s="63"/>
      <c r="B26" s="64"/>
      <c r="C26" s="63"/>
      <c r="D26" s="65"/>
      <c r="E26" s="65"/>
      <c r="F26" s="66"/>
      <c r="G26" s="66"/>
      <c r="H26" s="67"/>
      <c r="I26" s="71"/>
      <c r="J26" s="69"/>
      <c r="K26" s="69"/>
      <c r="L26" s="48"/>
      <c r="M26" s="49"/>
      <c r="N26" s="30"/>
      <c r="O26" s="30"/>
      <c r="P26" s="35"/>
      <c r="Q26" s="35"/>
      <c r="R26" s="35"/>
      <c r="S26" s="35"/>
      <c r="T26" s="35"/>
      <c r="U26" s="35"/>
      <c r="V26" s="52"/>
      <c r="W26" s="70"/>
      <c r="X26" s="70"/>
    </row>
    <row r="27" spans="1:24" x14ac:dyDescent="0.25">
      <c r="A27" s="63"/>
      <c r="B27" s="64"/>
      <c r="C27" s="63"/>
      <c r="D27" s="65"/>
      <c r="E27" s="65"/>
      <c r="F27" s="66"/>
      <c r="G27" s="66"/>
      <c r="H27" s="67"/>
      <c r="I27" s="71"/>
      <c r="J27" s="69"/>
      <c r="K27" s="69"/>
      <c r="L27" s="48"/>
      <c r="M27" s="49"/>
      <c r="N27" s="30"/>
      <c r="O27" s="30"/>
      <c r="P27" s="35"/>
      <c r="Q27" s="35"/>
      <c r="R27" s="35"/>
      <c r="S27" s="35"/>
      <c r="T27" s="35"/>
      <c r="U27" s="35"/>
      <c r="V27" s="52"/>
      <c r="W27" s="70"/>
      <c r="X27" s="70"/>
    </row>
    <row r="28" spans="1:24" x14ac:dyDescent="0.25">
      <c r="A28" s="63"/>
      <c r="B28" s="64"/>
      <c r="C28" s="63"/>
      <c r="D28" s="65"/>
      <c r="E28" s="65"/>
      <c r="F28" s="66"/>
      <c r="G28" s="66"/>
      <c r="H28" s="67"/>
      <c r="I28" s="71"/>
      <c r="J28" s="69"/>
      <c r="K28" s="69"/>
      <c r="L28" s="48"/>
      <c r="M28" s="49"/>
      <c r="N28" s="30"/>
      <c r="O28" s="35"/>
      <c r="P28" s="35"/>
      <c r="Q28" s="35"/>
      <c r="R28" s="35"/>
      <c r="S28" s="35"/>
      <c r="T28" s="35"/>
      <c r="U28" s="35"/>
      <c r="V28" s="52"/>
      <c r="W28" s="70"/>
      <c r="X28" s="70"/>
    </row>
    <row r="29" spans="1:24" x14ac:dyDescent="0.25">
      <c r="A29" s="63"/>
      <c r="B29" s="64"/>
      <c r="C29" s="63"/>
      <c r="D29" s="65"/>
      <c r="E29" s="65"/>
      <c r="F29" s="66"/>
      <c r="G29" s="66"/>
      <c r="H29" s="67"/>
      <c r="I29" s="71"/>
      <c r="J29" s="69"/>
      <c r="K29" s="69"/>
      <c r="L29" s="48"/>
      <c r="M29" s="49"/>
      <c r="N29" s="30"/>
      <c r="O29" s="35"/>
      <c r="P29" s="35"/>
      <c r="Q29" s="35"/>
      <c r="R29" s="35"/>
      <c r="S29" s="35"/>
      <c r="T29" s="35"/>
      <c r="U29" s="35"/>
      <c r="V29" s="52"/>
      <c r="W29" s="70"/>
      <c r="X29" s="70"/>
    </row>
    <row r="30" spans="1:24" x14ac:dyDescent="0.25">
      <c r="A30" s="72" t="s">
        <v>24</v>
      </c>
      <c r="B30" s="73"/>
      <c r="C30" s="74">
        <f>J5</f>
        <v>4575.82</v>
      </c>
      <c r="D30" s="2"/>
      <c r="E30" s="2"/>
      <c r="F30" s="66"/>
      <c r="G30" s="66"/>
      <c r="H30" s="75"/>
      <c r="I30" s="76"/>
      <c r="J30" s="69"/>
      <c r="K30" s="69"/>
      <c r="L30" s="48"/>
      <c r="M30" s="72" t="s">
        <v>24</v>
      </c>
      <c r="N30" s="73"/>
      <c r="O30" s="74"/>
      <c r="P30" s="77">
        <f>W5</f>
        <v>0</v>
      </c>
      <c r="Q30" s="65"/>
      <c r="R30" s="65"/>
      <c r="S30" s="65"/>
      <c r="T30" s="65"/>
      <c r="U30" s="65"/>
      <c r="V30" s="78"/>
      <c r="W30" s="79"/>
      <c r="X30" s="79"/>
    </row>
    <row r="31" spans="1:24" x14ac:dyDescent="0.25">
      <c r="A31" s="1" t="s">
        <v>25</v>
      </c>
      <c r="B31" s="80"/>
      <c r="C31" s="81">
        <f>J24</f>
        <v>1249.25</v>
      </c>
      <c r="D31" s="2"/>
      <c r="E31" s="2"/>
      <c r="F31" s="66"/>
      <c r="G31" s="66"/>
      <c r="H31" s="67"/>
      <c r="I31" s="82"/>
      <c r="J31" s="83"/>
      <c r="K31" s="83"/>
      <c r="L31" s="48"/>
      <c r="M31" s="1" t="s">
        <v>26</v>
      </c>
      <c r="N31" s="80"/>
      <c r="O31" s="81"/>
      <c r="P31" s="2">
        <f>W17</f>
        <v>6145.0050000000001</v>
      </c>
      <c r="Q31" s="65"/>
      <c r="R31" s="65"/>
      <c r="S31" s="65"/>
      <c r="T31" s="65"/>
      <c r="U31" s="65"/>
      <c r="V31" s="78"/>
      <c r="W31" s="79"/>
      <c r="X31" s="79"/>
    </row>
    <row r="32" spans="1:24" x14ac:dyDescent="0.25">
      <c r="A32" s="1" t="s">
        <v>27</v>
      </c>
      <c r="B32" s="80"/>
      <c r="C32" s="81"/>
      <c r="D32" s="65"/>
      <c r="E32" s="65"/>
      <c r="F32" s="84"/>
      <c r="G32" s="84"/>
      <c r="H32" s="85"/>
      <c r="I32" s="65"/>
      <c r="J32" s="78"/>
      <c r="K32" s="78"/>
      <c r="L32" s="48"/>
      <c r="M32" s="1" t="s">
        <v>28</v>
      </c>
      <c r="N32" s="80"/>
      <c r="O32" s="81"/>
      <c r="P32" s="2">
        <f>H6+H7</f>
        <v>6197.4</v>
      </c>
      <c r="Q32" s="65"/>
      <c r="R32" s="65"/>
      <c r="S32" s="65"/>
      <c r="T32" s="65"/>
      <c r="U32" s="65"/>
      <c r="V32" s="78"/>
      <c r="W32" s="79"/>
      <c r="X32" s="79"/>
    </row>
    <row r="33" spans="1:24" x14ac:dyDescent="0.25">
      <c r="A33" s="86"/>
      <c r="B33" s="1"/>
      <c r="C33" s="87"/>
      <c r="D33" s="87"/>
      <c r="E33" s="65"/>
      <c r="F33" s="78"/>
      <c r="G33" s="78"/>
      <c r="H33" s="65"/>
      <c r="I33" s="65"/>
      <c r="J33" s="78"/>
      <c r="K33" s="78"/>
      <c r="L33" s="48"/>
      <c r="M33" s="1"/>
      <c r="N33" s="1"/>
      <c r="O33" s="87"/>
      <c r="P33" s="87"/>
      <c r="Q33" s="65"/>
      <c r="R33" s="65"/>
      <c r="S33" s="65"/>
      <c r="T33" s="65"/>
      <c r="U33" s="65"/>
      <c r="V33" s="78"/>
      <c r="W33" s="79"/>
      <c r="X33" s="79"/>
    </row>
    <row r="34" spans="1:24" x14ac:dyDescent="0.25">
      <c r="A34" s="86" t="s">
        <v>92</v>
      </c>
      <c r="B34" s="1"/>
      <c r="C34" s="90">
        <v>4952.68</v>
      </c>
      <c r="D34" s="65"/>
      <c r="E34" s="65"/>
      <c r="F34" s="78"/>
      <c r="G34" s="78"/>
      <c r="H34" s="65"/>
      <c r="I34" s="65"/>
      <c r="J34" s="91"/>
      <c r="K34" s="91"/>
      <c r="L34" s="3"/>
      <c r="M34" s="86" t="s">
        <v>91</v>
      </c>
      <c r="N34" s="1"/>
      <c r="O34" s="87"/>
      <c r="P34" s="87">
        <v>311</v>
      </c>
      <c r="Q34" s="87"/>
      <c r="R34" s="65"/>
      <c r="S34" s="65"/>
      <c r="T34" s="65"/>
      <c r="U34" s="65"/>
      <c r="V34" s="78"/>
      <c r="W34" s="79"/>
      <c r="X34" s="79"/>
    </row>
    <row r="35" spans="1:24" x14ac:dyDescent="0.25">
      <c r="A35" s="1"/>
      <c r="B35" s="80"/>
      <c r="C35" s="4"/>
      <c r="D35" s="65"/>
      <c r="E35" s="65"/>
      <c r="F35" s="65"/>
      <c r="G35" s="65"/>
      <c r="H35" s="65"/>
      <c r="I35" s="65"/>
      <c r="J35" s="65"/>
      <c r="K35" s="65"/>
      <c r="L35" s="48"/>
      <c r="M35" s="63"/>
      <c r="N35" s="63"/>
      <c r="O35" s="65"/>
      <c r="P35" s="65"/>
      <c r="Q35" s="65"/>
      <c r="R35" s="65"/>
      <c r="S35" s="65"/>
      <c r="T35" s="65"/>
      <c r="U35" s="63"/>
      <c r="V35" s="63"/>
      <c r="W35" s="63"/>
      <c r="X35" s="63"/>
    </row>
    <row r="36" spans="1:24" x14ac:dyDescent="0.25">
      <c r="A36" s="1"/>
      <c r="B36" s="80"/>
      <c r="C36" s="1"/>
      <c r="D36" s="2"/>
      <c r="E36" s="2"/>
      <c r="F36" s="2"/>
      <c r="G36" s="2"/>
      <c r="H36" s="2"/>
      <c r="I36" s="2"/>
      <c r="J36" s="2"/>
      <c r="K36" s="2"/>
      <c r="L36" s="3"/>
      <c r="M36" s="1"/>
      <c r="N36" s="1"/>
      <c r="O36" s="2"/>
      <c r="P36" s="2"/>
      <c r="Q36" s="2"/>
      <c r="R36" s="65"/>
      <c r="S36" s="65"/>
      <c r="T36" s="65"/>
      <c r="U36" s="63"/>
      <c r="V36" s="63"/>
      <c r="W36" s="63"/>
      <c r="X36" s="63"/>
    </row>
    <row r="37" spans="1:24" x14ac:dyDescent="0.25">
      <c r="A37" s="1"/>
      <c r="B37" s="80"/>
      <c r="C37" s="1"/>
      <c r="D37" s="2"/>
      <c r="E37" s="2"/>
      <c r="F37" s="2"/>
      <c r="G37" s="2"/>
      <c r="H37" s="2"/>
      <c r="I37" s="2"/>
      <c r="J37" s="2"/>
      <c r="K37" s="2"/>
      <c r="L37" s="3"/>
      <c r="M37" s="1"/>
      <c r="N37" s="80"/>
      <c r="O37" s="81"/>
      <c r="P37" s="2"/>
      <c r="Q37" s="2"/>
      <c r="R37" s="65"/>
      <c r="S37" s="65"/>
      <c r="T37" s="65"/>
      <c r="U37" s="65"/>
      <c r="V37" s="78"/>
      <c r="W37" s="79"/>
      <c r="X37" s="79"/>
    </row>
    <row r="38" spans="1:24" x14ac:dyDescent="0.25">
      <c r="A38" s="92"/>
      <c r="B38" s="92" t="s">
        <v>29</v>
      </c>
      <c r="C38" s="93">
        <f>C30+C31+C32+C33+C34</f>
        <v>10777.75</v>
      </c>
      <c r="D38" s="93"/>
      <c r="E38" s="93"/>
      <c r="F38" s="93"/>
      <c r="G38" s="93"/>
      <c r="H38" s="93"/>
      <c r="I38" s="93"/>
      <c r="J38" s="93"/>
      <c r="K38" s="93"/>
      <c r="L38" s="94"/>
      <c r="M38" s="92"/>
      <c r="N38" s="95"/>
      <c r="O38" s="92" t="s">
        <v>29</v>
      </c>
      <c r="P38" s="93">
        <f>P30+P31+P32+P33+P34</f>
        <v>12653.404999999999</v>
      </c>
      <c r="Q38" s="2"/>
      <c r="R38" s="65"/>
      <c r="S38" s="151"/>
      <c r="T38" s="151"/>
      <c r="U38" s="65"/>
      <c r="V38" s="78"/>
      <c r="W38" s="79"/>
      <c r="X38" s="79"/>
    </row>
    <row r="39" spans="1:24" x14ac:dyDescent="0.25">
      <c r="A39" s="1"/>
      <c r="B39" s="80"/>
      <c r="C39" s="81"/>
      <c r="D39" s="2"/>
      <c r="E39" s="2"/>
      <c r="F39" s="2"/>
      <c r="G39" s="2"/>
      <c r="H39" s="2"/>
      <c r="I39" s="2"/>
      <c r="J39" s="2"/>
      <c r="K39" s="2"/>
      <c r="L39" s="3"/>
      <c r="M39" s="1"/>
      <c r="N39" s="80"/>
      <c r="O39" s="81"/>
      <c r="P39" s="2" t="s">
        <v>93</v>
      </c>
      <c r="Q39" s="2"/>
      <c r="R39" s="65"/>
      <c r="S39" s="151"/>
      <c r="T39" s="151"/>
      <c r="U39" s="65"/>
      <c r="V39" s="78"/>
      <c r="W39" s="79"/>
      <c r="X39" s="79"/>
    </row>
    <row r="40" spans="1:24" x14ac:dyDescent="0.25">
      <c r="A40" s="107"/>
      <c r="B40" s="107"/>
      <c r="C40" s="107"/>
      <c r="D40" s="107"/>
      <c r="E40" s="107"/>
      <c r="F40" s="107"/>
      <c r="G40" s="107"/>
      <c r="H40" s="152"/>
      <c r="I40" s="152"/>
      <c r="J40" s="107"/>
      <c r="K40" s="107"/>
      <c r="L40" s="3"/>
      <c r="M40" s="107"/>
      <c r="N40" s="107"/>
      <c r="O40" s="107"/>
      <c r="P40" s="107"/>
      <c r="Q40" s="107"/>
      <c r="R40" s="107"/>
      <c r="S40" s="152"/>
      <c r="T40" s="152"/>
      <c r="U40" s="107"/>
      <c r="V40" s="107"/>
      <c r="W40" s="107"/>
      <c r="X40" s="107"/>
    </row>
    <row r="41" spans="1:24" x14ac:dyDescent="0.25">
      <c r="A41" s="107"/>
      <c r="B41" s="107"/>
      <c r="C41" s="107"/>
      <c r="D41" s="107"/>
      <c r="E41" s="107"/>
      <c r="F41" s="107"/>
      <c r="G41" s="107"/>
      <c r="H41" s="153"/>
      <c r="I41" s="154"/>
      <c r="J41" s="107"/>
      <c r="K41" s="107"/>
      <c r="L41" s="3"/>
      <c r="M41" s="107"/>
      <c r="N41" s="107"/>
      <c r="O41" s="107"/>
      <c r="P41" s="107"/>
      <c r="Q41" s="107"/>
      <c r="R41" s="107"/>
      <c r="S41" s="152"/>
      <c r="T41" s="152"/>
      <c r="U41" s="107"/>
      <c r="V41" s="107"/>
      <c r="W41" s="107"/>
      <c r="X41" s="107"/>
    </row>
    <row r="42" spans="1:24" x14ac:dyDescent="0.25">
      <c r="A42" s="107"/>
      <c r="B42" s="107"/>
      <c r="C42" s="107"/>
      <c r="D42" s="107"/>
      <c r="E42" s="107"/>
      <c r="F42" s="107"/>
      <c r="G42" s="107"/>
      <c r="H42" s="152"/>
      <c r="I42" s="152"/>
      <c r="J42" s="107"/>
      <c r="K42" s="107"/>
      <c r="L42" s="3"/>
      <c r="M42" s="132"/>
      <c r="N42" s="132"/>
      <c r="O42" s="107"/>
      <c r="P42" s="107"/>
      <c r="Q42" s="107"/>
      <c r="R42" s="107"/>
      <c r="S42" s="153"/>
      <c r="T42" s="154"/>
      <c r="U42" s="107"/>
      <c r="V42" s="107"/>
      <c r="W42" s="107"/>
      <c r="X42" s="107"/>
    </row>
    <row r="43" spans="1:24" x14ac:dyDescent="0.25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3"/>
      <c r="M43" s="133" t="s">
        <v>30</v>
      </c>
      <c r="N43" s="134">
        <f>P38-C38</f>
        <v>1875.6549999999988</v>
      </c>
      <c r="O43" s="107"/>
      <c r="P43" s="107"/>
      <c r="Q43" s="107"/>
      <c r="R43" s="107"/>
      <c r="S43" s="152"/>
      <c r="T43" s="152"/>
      <c r="U43" s="107"/>
      <c r="V43" s="107"/>
      <c r="W43" s="107"/>
      <c r="X43" s="107"/>
    </row>
    <row r="44" spans="1:24" x14ac:dyDescent="0.25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3"/>
      <c r="M44" s="132"/>
      <c r="N44" s="132"/>
      <c r="O44" s="107"/>
      <c r="P44" s="107"/>
      <c r="Q44" s="107"/>
      <c r="R44" s="107"/>
      <c r="S44" s="152"/>
      <c r="T44" s="152"/>
      <c r="U44" s="107"/>
      <c r="V44" s="107"/>
      <c r="W44" s="107"/>
      <c r="X44" s="107"/>
    </row>
    <row r="45" spans="1:24" x14ac:dyDescent="0.25">
      <c r="S45" s="155"/>
      <c r="T45" s="155"/>
    </row>
  </sheetData>
  <conditionalFormatting sqref="C1:C5 O5:Q5 O7:Q11 C11">
    <cfRule type="cellIs" dxfId="288" priority="24" operator="equal">
      <formula>15698.2</formula>
    </cfRule>
  </conditionalFormatting>
  <conditionalFormatting sqref="C33:G33">
    <cfRule type="cellIs" dxfId="287" priority="28" operator="equal">
      <formula>15698.2</formula>
    </cfRule>
  </conditionalFormatting>
  <conditionalFormatting sqref="D11 H14:H18">
    <cfRule type="cellIs" dxfId="286" priority="25" operator="equal">
      <formula>"K.KART"</formula>
    </cfRule>
  </conditionalFormatting>
  <conditionalFormatting sqref="D6:F6 F7:G10 D7:D14">
    <cfRule type="cellIs" dxfId="285" priority="9" operator="equal">
      <formula>"kapalı"</formula>
    </cfRule>
  </conditionalFormatting>
  <conditionalFormatting sqref="D17:G32">
    <cfRule type="cellIs" dxfId="284" priority="21" operator="equal">
      <formula>"kapalı"</formula>
    </cfRule>
  </conditionalFormatting>
  <conditionalFormatting sqref="D34:G39">
    <cfRule type="cellIs" dxfId="283" priority="29" operator="equal">
      <formula>15698.2</formula>
    </cfRule>
  </conditionalFormatting>
  <conditionalFormatting sqref="D1:I4 D5:E5 H5:I5 R5:R13 G6:I6 E7:E12 H20:H23 H25:H31 H32:I39">
    <cfRule type="cellIs" dxfId="282" priority="46" operator="equal">
      <formula>"K.KART"</formula>
    </cfRule>
  </conditionalFormatting>
  <conditionalFormatting sqref="E15:G16">
    <cfRule type="cellIs" dxfId="281" priority="22" operator="equal">
      <formula>"kapalı"</formula>
    </cfRule>
  </conditionalFormatting>
  <conditionalFormatting sqref="E33:G33 D34:G39">
    <cfRule type="cellIs" dxfId="280" priority="30" operator="equal">
      <formula>"kapalı"</formula>
    </cfRule>
  </conditionalFormatting>
  <conditionalFormatting sqref="F12 F13:G14">
    <cfRule type="cellIs" dxfId="279" priority="23" operator="equal">
      <formula>"kapalı"</formula>
    </cfRule>
  </conditionalFormatting>
  <conditionalFormatting sqref="F12">
    <cfRule type="cellIs" dxfId="278" priority="51" operator="equal">
      <formula>"K.KART"</formula>
    </cfRule>
  </conditionalFormatting>
  <conditionalFormatting sqref="F5:G5">
    <cfRule type="cellIs" dxfId="277" priority="13" operator="equal">
      <formula>"kapalı"</formula>
    </cfRule>
    <cfRule type="cellIs" dxfId="276" priority="31" operator="equal">
      <formula>15698.2</formula>
    </cfRule>
  </conditionalFormatting>
  <conditionalFormatting sqref="F7:G7">
    <cfRule type="cellIs" dxfId="275" priority="15" operator="equal">
      <formula>"K.KART"</formula>
    </cfRule>
  </conditionalFormatting>
  <conditionalFormatting sqref="F9:G9">
    <cfRule type="cellIs" dxfId="274" priority="17" operator="equal">
      <formula>"K.KART"</formula>
    </cfRule>
  </conditionalFormatting>
  <conditionalFormatting sqref="F14:G14">
    <cfRule type="cellIs" dxfId="273" priority="52" operator="equal">
      <formula>"K.KART"</formula>
    </cfRule>
  </conditionalFormatting>
  <conditionalFormatting sqref="H19">
    <cfRule type="cellIs" dxfId="272" priority="35" operator="equal">
      <formula>"K.KART"</formula>
    </cfRule>
  </conditionalFormatting>
  <conditionalFormatting sqref="H7:I10">
    <cfRule type="cellIs" dxfId="271" priority="14" operator="equal">
      <formula>"K.KART"</formula>
    </cfRule>
  </conditionalFormatting>
  <conditionalFormatting sqref="H11:I13">
    <cfRule type="cellIs" dxfId="270" priority="19" operator="equal">
      <formula>"K.KART"</formula>
    </cfRule>
  </conditionalFormatting>
  <conditionalFormatting sqref="I14">
    <cfRule type="cellIs" dxfId="269" priority="20" operator="equal">
      <formula>"K.KART"</formula>
    </cfRule>
  </conditionalFormatting>
  <conditionalFormatting sqref="I25:I29 I31">
    <cfRule type="cellIs" dxfId="268" priority="36" operator="equal">
      <formula>"K.KART"</formula>
    </cfRule>
  </conditionalFormatting>
  <conditionalFormatting sqref="O4:P4">
    <cfRule type="cellIs" dxfId="267" priority="38" operator="equal">
      <formula>"kapalı"</formula>
    </cfRule>
    <cfRule type="cellIs" dxfId="266" priority="37" operator="equal">
      <formula>15698.2</formula>
    </cfRule>
  </conditionalFormatting>
  <conditionalFormatting sqref="O12:P12">
    <cfRule type="cellIs" dxfId="265" priority="41" operator="equal">
      <formula>"kapalı"</formula>
    </cfRule>
    <cfRule type="cellIs" dxfId="264" priority="40" operator="equal">
      <formula>15698.2</formula>
    </cfRule>
  </conditionalFormatting>
  <conditionalFormatting sqref="O1:Q3 O5:Q5 O13:Q13">
    <cfRule type="cellIs" dxfId="263" priority="49" operator="equal">
      <formula>"KAPALI"</formula>
    </cfRule>
    <cfRule type="cellIs" dxfId="262" priority="50" operator="equal">
      <formula>"açık"</formula>
    </cfRule>
  </conditionalFormatting>
  <conditionalFormatting sqref="O1:Q3 P12:Q32 O13 O28:O32 O34:O37 P34:Q39 O39">
    <cfRule type="cellIs" dxfId="261" priority="47" operator="equal">
      <formula>15698.2</formula>
    </cfRule>
  </conditionalFormatting>
  <conditionalFormatting sqref="O7:Q11 C33:D33">
    <cfRule type="cellIs" dxfId="260" priority="27" operator="equal">
      <formula>"açık"</formula>
    </cfRule>
    <cfRule type="cellIs" dxfId="259" priority="26" operator="equal">
      <formula>"KAPALI"</formula>
    </cfRule>
  </conditionalFormatting>
  <conditionalFormatting sqref="O28:Q37">
    <cfRule type="cellIs" dxfId="258" priority="3" operator="equal">
      <formula>"açık"</formula>
    </cfRule>
    <cfRule type="cellIs" dxfId="257" priority="2" operator="equal">
      <formula>"KAPALI"</formula>
    </cfRule>
  </conditionalFormatting>
  <conditionalFormatting sqref="O33:Q33">
    <cfRule type="cellIs" dxfId="256" priority="4" operator="equal">
      <formula>15698.2</formula>
    </cfRule>
  </conditionalFormatting>
  <conditionalFormatting sqref="P6 S6">
    <cfRule type="cellIs" dxfId="255" priority="6" operator="equal">
      <formula>"kapalı"</formula>
    </cfRule>
  </conditionalFormatting>
  <conditionalFormatting sqref="P34">
    <cfRule type="cellIs" dxfId="254" priority="1" operator="equal">
      <formula>15698.2</formula>
    </cfRule>
  </conditionalFormatting>
  <conditionalFormatting sqref="P11:Q29 Q30:Q31">
    <cfRule type="cellIs" dxfId="253" priority="43" operator="equal">
      <formula>"kapalı"</formula>
    </cfRule>
  </conditionalFormatting>
  <conditionalFormatting sqref="P38:Q38 O39:Q39">
    <cfRule type="cellIs" dxfId="252" priority="44" operator="equal">
      <formula>"KAPALI"</formula>
    </cfRule>
    <cfRule type="cellIs" dxfId="251" priority="45" operator="equal">
      <formula>"açık"</formula>
    </cfRule>
  </conditionalFormatting>
  <conditionalFormatting sqref="Q6">
    <cfRule type="cellIs" dxfId="250" priority="5" operator="equal">
      <formula>"K.KART"</formula>
    </cfRule>
  </conditionalFormatting>
  <conditionalFormatting sqref="Q12 S12:V12">
    <cfRule type="cellIs" dxfId="249" priority="42" operator="equal">
      <formula>"K.KART"</formula>
    </cfRule>
  </conditionalFormatting>
  <conditionalFormatting sqref="Q4:W4">
    <cfRule type="cellIs" dxfId="248" priority="39" operator="equal">
      <formula>"K.KART"</formula>
    </cfRule>
  </conditionalFormatting>
  <conditionalFormatting sqref="R14:R18 C38">
    <cfRule type="cellIs" dxfId="247" priority="34" operator="equal">
      <formula>"kapalı"</formula>
    </cfRule>
    <cfRule type="cellIs" dxfId="246" priority="33" operator="equal">
      <formula>15698.2</formula>
    </cfRule>
  </conditionalFormatting>
  <conditionalFormatting sqref="R1:T3 R16:R39">
    <cfRule type="cellIs" dxfId="245" priority="48" operator="equal">
      <formula>"K.KART"</formula>
    </cfRule>
  </conditionalFormatting>
  <conditionalFormatting sqref="S11:T39">
    <cfRule type="cellIs" dxfId="244" priority="32" operator="equal">
      <formula>"K.KART"</formula>
    </cfRule>
  </conditionalFormatting>
  <conditionalFormatting sqref="T6">
    <cfRule type="cellIs" dxfId="243" priority="7" operator="equal">
      <formula>"K.KART"</formula>
    </cfRule>
  </conditionalFormatting>
  <conditionalFormatting sqref="U6">
    <cfRule type="cellIs" dxfId="242" priority="8" operator="equal">
      <formula>"K.KART"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FC34-4B0D-417E-9A95-16FCF1A0301E}">
  <dimension ref="A1:X42"/>
  <sheetViews>
    <sheetView topLeftCell="A13" workbookViewId="0">
      <selection activeCell="M33" sqref="M33"/>
    </sheetView>
  </sheetViews>
  <sheetFormatPr defaultRowHeight="15" x14ac:dyDescent="0.25"/>
  <cols>
    <col min="1" max="1" width="18.140625" customWidth="1"/>
    <col min="2" max="2" width="17.140625" customWidth="1"/>
    <col min="3" max="3" width="12.28515625" customWidth="1"/>
    <col min="5" max="5" width="10.5703125" customWidth="1"/>
    <col min="6" max="6" width="12.28515625" customWidth="1"/>
    <col min="7" max="7" width="11.42578125" customWidth="1"/>
    <col min="8" max="8" width="14.42578125" customWidth="1"/>
    <col min="9" max="9" width="11.5703125" customWidth="1"/>
    <col min="10" max="10" width="14" customWidth="1"/>
    <col min="11" max="11" width="6.42578125" customWidth="1"/>
    <col min="12" max="12" width="2.42578125" customWidth="1"/>
    <col min="13" max="13" width="19.85546875" customWidth="1"/>
    <col min="14" max="14" width="12" customWidth="1"/>
    <col min="15" max="15" width="15.5703125" customWidth="1"/>
    <col min="16" max="16" width="12" customWidth="1"/>
    <col min="19" max="19" width="13" customWidth="1"/>
    <col min="20" max="20" width="12.140625" customWidth="1"/>
    <col min="21" max="21" width="11.28515625" customWidth="1"/>
    <col min="22" max="22" width="11.85546875" customWidth="1"/>
    <col min="23" max="23" width="12.140625" customWidth="1"/>
    <col min="24" max="24" width="5.5703125" customWidth="1"/>
  </cols>
  <sheetData>
    <row r="1" spans="1:2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1"/>
      <c r="N1" s="1"/>
      <c r="O1" s="2"/>
      <c r="P1" s="2"/>
      <c r="Q1" s="2"/>
      <c r="R1" s="2"/>
      <c r="S1" s="2"/>
      <c r="T1" s="2"/>
      <c r="U1" s="2"/>
      <c r="V1" s="4"/>
      <c r="W1" s="5"/>
      <c r="X1" s="5"/>
    </row>
    <row r="2" spans="1:24" x14ac:dyDescent="0.25">
      <c r="A2" s="6" t="s">
        <v>0</v>
      </c>
      <c r="B2" s="6"/>
      <c r="C2" s="7"/>
      <c r="D2" s="7"/>
      <c r="E2" s="7"/>
      <c r="F2" s="7"/>
      <c r="G2" s="7"/>
      <c r="H2" s="7"/>
      <c r="I2" s="7"/>
      <c r="J2" s="7"/>
      <c r="K2" s="7"/>
      <c r="L2" s="3"/>
      <c r="M2" s="6" t="s">
        <v>1</v>
      </c>
      <c r="N2" s="6"/>
      <c r="O2" s="7"/>
      <c r="P2" s="7"/>
      <c r="Q2" s="7"/>
      <c r="R2" s="7"/>
      <c r="S2" s="7"/>
      <c r="T2" s="7"/>
      <c r="U2" s="7"/>
      <c r="V2" s="8"/>
      <c r="W2" s="9"/>
      <c r="X2" s="9"/>
    </row>
    <row r="3" spans="1:24" x14ac:dyDescent="0.25">
      <c r="A3" s="10" t="s">
        <v>96</v>
      </c>
      <c r="B3" s="10">
        <v>2025</v>
      </c>
      <c r="C3" s="11"/>
      <c r="D3" s="11"/>
      <c r="E3" s="11"/>
      <c r="F3" s="11"/>
      <c r="G3" s="11"/>
      <c r="H3" s="11"/>
      <c r="I3" s="11"/>
      <c r="J3" s="11"/>
      <c r="K3" s="11"/>
      <c r="L3" s="12"/>
      <c r="M3" s="10" t="s">
        <v>96</v>
      </c>
      <c r="N3" s="10">
        <v>2025</v>
      </c>
      <c r="O3" s="11"/>
      <c r="P3" s="11"/>
      <c r="Q3" s="11"/>
      <c r="R3" s="11"/>
      <c r="S3" s="11"/>
      <c r="T3" s="11"/>
      <c r="U3" s="11"/>
      <c r="V3" s="13"/>
      <c r="W3" s="14"/>
      <c r="X3" s="14"/>
    </row>
    <row r="4" spans="1:24" ht="25.5" x14ac:dyDescent="0.25">
      <c r="A4" s="15" t="s">
        <v>2</v>
      </c>
      <c r="B4" s="15" t="s">
        <v>3</v>
      </c>
      <c r="C4" s="16" t="s">
        <v>4</v>
      </c>
      <c r="D4" s="16" t="s">
        <v>5</v>
      </c>
      <c r="E4" s="16" t="s">
        <v>6</v>
      </c>
      <c r="F4" s="17" t="s">
        <v>68</v>
      </c>
      <c r="G4" s="17" t="s">
        <v>69</v>
      </c>
      <c r="H4" s="16" t="s">
        <v>8</v>
      </c>
      <c r="I4" s="16" t="s">
        <v>9</v>
      </c>
      <c r="J4" s="18" t="s">
        <v>10</v>
      </c>
      <c r="K4" s="18" t="s">
        <v>81</v>
      </c>
      <c r="L4" s="19"/>
      <c r="M4" s="15" t="s">
        <v>2</v>
      </c>
      <c r="N4" s="15" t="s">
        <v>3</v>
      </c>
      <c r="O4" s="16" t="s">
        <v>4</v>
      </c>
      <c r="P4" s="16" t="s">
        <v>11</v>
      </c>
      <c r="Q4" s="16" t="s">
        <v>5</v>
      </c>
      <c r="R4" s="16" t="s">
        <v>6</v>
      </c>
      <c r="S4" s="16" t="s">
        <v>68</v>
      </c>
      <c r="T4" s="16" t="s">
        <v>69</v>
      </c>
      <c r="U4" s="16" t="s">
        <v>8</v>
      </c>
      <c r="V4" s="18" t="s">
        <v>9</v>
      </c>
      <c r="W4" s="18" t="s">
        <v>12</v>
      </c>
      <c r="X4" s="18" t="s">
        <v>81</v>
      </c>
    </row>
    <row r="5" spans="1:24" x14ac:dyDescent="0.25">
      <c r="A5" s="20" t="s">
        <v>13</v>
      </c>
      <c r="B5" s="20"/>
      <c r="C5" s="21"/>
      <c r="D5" s="21"/>
      <c r="E5" s="21"/>
      <c r="F5" s="22"/>
      <c r="G5" s="22"/>
      <c r="H5" s="23"/>
      <c r="I5" s="21"/>
      <c r="J5" s="24"/>
      <c r="K5" s="24"/>
      <c r="L5" s="25"/>
      <c r="M5" s="26" t="s">
        <v>13</v>
      </c>
      <c r="N5" s="20"/>
      <c r="O5" s="21"/>
      <c r="P5" s="21"/>
      <c r="Q5" s="21"/>
      <c r="R5" s="21"/>
      <c r="S5" s="21"/>
      <c r="T5" s="21"/>
      <c r="U5" s="21"/>
      <c r="V5" s="27"/>
      <c r="W5" s="28">
        <v>1875.66</v>
      </c>
      <c r="X5" s="24"/>
    </row>
    <row r="6" spans="1:24" x14ac:dyDescent="0.25">
      <c r="A6" s="29" t="s">
        <v>22</v>
      </c>
      <c r="B6" s="34">
        <v>45812</v>
      </c>
      <c r="C6" s="30">
        <v>577776263</v>
      </c>
      <c r="D6" s="35" t="s">
        <v>15</v>
      </c>
      <c r="E6" s="146" t="s">
        <v>21</v>
      </c>
      <c r="F6" s="32">
        <v>15151.72</v>
      </c>
      <c r="G6" s="32"/>
      <c r="H6" s="40">
        <v>2525.34</v>
      </c>
      <c r="I6" s="123"/>
      <c r="J6" s="138">
        <f t="shared" ref="J6:J22" si="0">I6*K6</f>
        <v>0</v>
      </c>
      <c r="K6" s="139">
        <v>0.5</v>
      </c>
      <c r="L6" s="25"/>
      <c r="M6" s="126"/>
      <c r="N6" s="136"/>
      <c r="O6" s="137"/>
      <c r="P6" s="123"/>
      <c r="Q6" s="123"/>
      <c r="R6" s="123"/>
      <c r="S6" s="123"/>
      <c r="T6" s="123"/>
      <c r="U6" s="123"/>
      <c r="V6" s="123"/>
      <c r="W6" s="138">
        <f t="shared" ref="W6:W15" si="1">V6*X6</f>
        <v>0</v>
      </c>
      <c r="X6" s="139">
        <v>0.5</v>
      </c>
    </row>
    <row r="7" spans="1:24" x14ac:dyDescent="0.25">
      <c r="A7" s="29" t="s">
        <v>97</v>
      </c>
      <c r="B7" s="34">
        <v>45853</v>
      </c>
      <c r="C7" s="30">
        <v>587667239</v>
      </c>
      <c r="D7" s="35" t="s">
        <v>15</v>
      </c>
      <c r="E7" s="123" t="s">
        <v>17</v>
      </c>
      <c r="F7" s="32">
        <v>15188.79</v>
      </c>
      <c r="G7" s="32">
        <v>14465.52</v>
      </c>
      <c r="H7" s="116"/>
      <c r="I7" s="123">
        <v>1880.45</v>
      </c>
      <c r="J7" s="138">
        <f t="shared" si="0"/>
        <v>940.22500000000002</v>
      </c>
      <c r="K7" s="139">
        <v>0.5</v>
      </c>
      <c r="L7" s="25"/>
      <c r="M7" s="126"/>
      <c r="N7" s="136"/>
      <c r="O7" s="137"/>
      <c r="P7" s="123"/>
      <c r="Q7" s="123"/>
      <c r="R7" s="123"/>
      <c r="S7" s="123"/>
      <c r="T7" s="123"/>
      <c r="U7" s="123"/>
      <c r="V7" s="123"/>
      <c r="W7" s="138">
        <f t="shared" si="1"/>
        <v>0</v>
      </c>
      <c r="X7" s="139">
        <v>0.5</v>
      </c>
    </row>
    <row r="8" spans="1:24" x14ac:dyDescent="0.25">
      <c r="A8" s="29" t="s">
        <v>98</v>
      </c>
      <c r="B8" s="34">
        <v>45860</v>
      </c>
      <c r="C8" s="30">
        <v>7715129</v>
      </c>
      <c r="D8" s="35" t="s">
        <v>39</v>
      </c>
      <c r="E8" s="123" t="s">
        <v>17</v>
      </c>
      <c r="F8" s="147">
        <v>40988.22</v>
      </c>
      <c r="G8" s="147">
        <v>40988.22</v>
      </c>
      <c r="H8" s="40"/>
      <c r="I8" s="123">
        <v>8197.66</v>
      </c>
      <c r="J8" s="138">
        <f t="shared" si="0"/>
        <v>4098.83</v>
      </c>
      <c r="K8" s="139">
        <v>0.5</v>
      </c>
      <c r="L8" s="19"/>
      <c r="M8" s="126"/>
      <c r="N8" s="136"/>
      <c r="O8" s="137"/>
      <c r="P8" s="123"/>
      <c r="Q8" s="123"/>
      <c r="R8" s="123"/>
      <c r="S8" s="123"/>
      <c r="T8" s="123"/>
      <c r="U8" s="123"/>
      <c r="V8" s="142"/>
      <c r="W8" s="138">
        <f t="shared" si="1"/>
        <v>0</v>
      </c>
      <c r="X8" s="139">
        <v>0.5</v>
      </c>
    </row>
    <row r="9" spans="1:24" x14ac:dyDescent="0.25">
      <c r="A9" s="29" t="s">
        <v>99</v>
      </c>
      <c r="B9" s="34">
        <v>45860</v>
      </c>
      <c r="C9" s="30">
        <v>7715128</v>
      </c>
      <c r="D9" s="35" t="s">
        <v>39</v>
      </c>
      <c r="E9" s="123" t="s">
        <v>17</v>
      </c>
      <c r="F9" s="32">
        <v>112611.9</v>
      </c>
      <c r="G9" s="32" t="s">
        <v>100</v>
      </c>
      <c r="H9" s="116"/>
      <c r="I9" s="123">
        <v>22522</v>
      </c>
      <c r="J9" s="138">
        <f t="shared" si="0"/>
        <v>11261</v>
      </c>
      <c r="K9" s="139">
        <v>0.5</v>
      </c>
      <c r="L9" s="19"/>
      <c r="M9" s="126"/>
      <c r="N9" s="136"/>
      <c r="O9" s="137"/>
      <c r="P9" s="123"/>
      <c r="Q9" s="123"/>
      <c r="R9" s="123"/>
      <c r="S9" s="123"/>
      <c r="T9" s="123"/>
      <c r="U9" s="123"/>
      <c r="V9" s="142"/>
      <c r="W9" s="138">
        <f t="shared" si="1"/>
        <v>0</v>
      </c>
      <c r="X9" s="139">
        <v>0.5</v>
      </c>
    </row>
    <row r="10" spans="1:24" x14ac:dyDescent="0.25">
      <c r="A10" s="29"/>
      <c r="B10" s="34"/>
      <c r="C10" s="30"/>
      <c r="D10" s="35"/>
      <c r="E10" s="123"/>
      <c r="F10" s="32"/>
      <c r="G10" s="32"/>
      <c r="H10" s="40"/>
      <c r="I10" s="40"/>
      <c r="J10" s="138">
        <f t="shared" si="0"/>
        <v>0</v>
      </c>
      <c r="K10" s="139">
        <v>0.5</v>
      </c>
      <c r="L10" s="19"/>
      <c r="M10" s="42"/>
      <c r="N10" s="34"/>
      <c r="O10" s="30"/>
      <c r="P10" s="35"/>
      <c r="Q10" s="35"/>
      <c r="R10" s="123"/>
      <c r="S10" s="35"/>
      <c r="T10" s="35"/>
      <c r="U10" s="35"/>
      <c r="V10" s="144"/>
      <c r="W10" s="138">
        <f t="shared" si="1"/>
        <v>0</v>
      </c>
      <c r="X10" s="139">
        <v>0.5</v>
      </c>
    </row>
    <row r="11" spans="1:24" x14ac:dyDescent="0.25">
      <c r="A11" s="29"/>
      <c r="B11" s="34"/>
      <c r="C11" s="45"/>
      <c r="D11" s="35"/>
      <c r="E11" s="123"/>
      <c r="F11" s="32"/>
      <c r="G11" s="32"/>
      <c r="H11" s="40"/>
      <c r="I11" s="40"/>
      <c r="J11" s="138">
        <f t="shared" si="0"/>
        <v>0</v>
      </c>
      <c r="K11" s="139">
        <v>0.5</v>
      </c>
      <c r="L11" s="48"/>
      <c r="M11" s="120"/>
      <c r="N11" s="34"/>
      <c r="O11" s="30"/>
      <c r="P11" s="35"/>
      <c r="Q11" s="35"/>
      <c r="R11" s="123"/>
      <c r="S11" s="35"/>
      <c r="T11" s="35"/>
      <c r="U11" s="35"/>
      <c r="V11" s="145"/>
      <c r="W11" s="138">
        <f t="shared" si="1"/>
        <v>0</v>
      </c>
      <c r="X11" s="139">
        <v>0.5</v>
      </c>
    </row>
    <row r="12" spans="1:24" x14ac:dyDescent="0.25">
      <c r="A12" s="29"/>
      <c r="B12" s="34"/>
      <c r="C12" s="30"/>
      <c r="D12" s="35"/>
      <c r="E12" s="129"/>
      <c r="F12" s="32"/>
      <c r="G12" s="32"/>
      <c r="H12" s="40"/>
      <c r="I12" s="40"/>
      <c r="J12" s="138">
        <f t="shared" si="0"/>
        <v>0</v>
      </c>
      <c r="K12" s="139">
        <v>0.5</v>
      </c>
      <c r="L12" s="48"/>
      <c r="M12" s="49"/>
      <c r="N12" s="34"/>
      <c r="O12" s="30"/>
      <c r="P12" s="35"/>
      <c r="Q12" s="35"/>
      <c r="R12" s="123"/>
      <c r="S12" s="35"/>
      <c r="T12" s="35"/>
      <c r="U12" s="35"/>
      <c r="V12" s="36"/>
      <c r="W12" s="138">
        <f t="shared" si="1"/>
        <v>0</v>
      </c>
      <c r="X12" s="139">
        <v>0.5</v>
      </c>
    </row>
    <row r="13" spans="1:24" x14ac:dyDescent="0.25">
      <c r="A13" s="29"/>
      <c r="B13" s="34"/>
      <c r="C13" s="30"/>
      <c r="D13" s="35"/>
      <c r="E13" s="129"/>
      <c r="F13" s="32"/>
      <c r="G13" s="32"/>
      <c r="H13" s="40"/>
      <c r="I13" s="40"/>
      <c r="J13" s="138">
        <f t="shared" si="0"/>
        <v>0</v>
      </c>
      <c r="K13" s="139">
        <v>0.5</v>
      </c>
      <c r="L13" s="48"/>
      <c r="M13" s="49"/>
      <c r="N13" s="34"/>
      <c r="O13" s="30"/>
      <c r="P13" s="35"/>
      <c r="Q13" s="35"/>
      <c r="R13" s="35"/>
      <c r="S13" s="35"/>
      <c r="T13" s="35"/>
      <c r="U13" s="35"/>
      <c r="V13" s="36"/>
      <c r="W13" s="138">
        <f t="shared" si="1"/>
        <v>0</v>
      </c>
      <c r="X13" s="139">
        <v>0.5</v>
      </c>
    </row>
    <row r="14" spans="1:24" x14ac:dyDescent="0.25">
      <c r="A14" s="29"/>
      <c r="B14" s="34"/>
      <c r="C14" s="30"/>
      <c r="D14" s="31"/>
      <c r="E14" s="35"/>
      <c r="F14" s="32"/>
      <c r="G14" s="32"/>
      <c r="H14" s="116"/>
      <c r="I14" s="41"/>
      <c r="J14" s="138">
        <f t="shared" si="0"/>
        <v>0</v>
      </c>
      <c r="K14" s="139">
        <v>0.5</v>
      </c>
      <c r="L14" s="48"/>
      <c r="M14" s="49"/>
      <c r="N14" s="34"/>
      <c r="O14" s="30"/>
      <c r="P14" s="35"/>
      <c r="Q14" s="35"/>
      <c r="R14" s="35"/>
      <c r="S14" s="35"/>
      <c r="T14" s="35"/>
      <c r="U14" s="35"/>
      <c r="V14" s="36"/>
      <c r="W14" s="138">
        <f t="shared" si="1"/>
        <v>0</v>
      </c>
      <c r="X14" s="139">
        <v>0.5</v>
      </c>
    </row>
    <row r="15" spans="1:24" x14ac:dyDescent="0.25">
      <c r="A15" s="29"/>
      <c r="B15" s="34"/>
      <c r="C15" s="30"/>
      <c r="D15" s="31"/>
      <c r="E15" s="35"/>
      <c r="F15" s="32"/>
      <c r="G15" s="32"/>
      <c r="H15" s="116"/>
      <c r="I15" s="41"/>
      <c r="J15" s="138">
        <f t="shared" si="0"/>
        <v>0</v>
      </c>
      <c r="K15" s="139">
        <v>0.5</v>
      </c>
      <c r="L15" s="48"/>
      <c r="M15" s="49"/>
      <c r="N15" s="30"/>
      <c r="O15" s="30"/>
      <c r="P15" s="35"/>
      <c r="Q15" s="35"/>
      <c r="R15" s="35"/>
      <c r="S15" s="35"/>
      <c r="T15" s="35"/>
      <c r="U15" s="35"/>
      <c r="V15" s="36"/>
      <c r="W15" s="138">
        <f t="shared" si="1"/>
        <v>0</v>
      </c>
      <c r="X15" s="139">
        <v>0.5</v>
      </c>
    </row>
    <row r="16" spans="1:24" x14ac:dyDescent="0.25">
      <c r="A16" s="29"/>
      <c r="B16" s="34"/>
      <c r="C16" s="30"/>
      <c r="D16" s="35"/>
      <c r="E16" s="35"/>
      <c r="F16" s="32"/>
      <c r="G16" s="32"/>
      <c r="H16" s="116"/>
      <c r="I16" s="41"/>
      <c r="J16" s="138">
        <f t="shared" si="0"/>
        <v>0</v>
      </c>
      <c r="K16" s="139">
        <v>0.5</v>
      </c>
      <c r="L16" s="48"/>
      <c r="M16" s="49"/>
      <c r="N16" s="30"/>
      <c r="O16" s="30"/>
      <c r="P16" s="35"/>
      <c r="Q16" s="35"/>
      <c r="R16" s="35" t="s">
        <v>23</v>
      </c>
      <c r="S16" s="35">
        <f>S6+S7+S8+S9+S10+S11+S12+S13+S14+S15</f>
        <v>0</v>
      </c>
      <c r="T16" s="35">
        <f>T6+T7+T8+T9+T10+T12+T13+T11+T14+T15</f>
        <v>0</v>
      </c>
      <c r="U16" s="35">
        <f>U6+U7</f>
        <v>0</v>
      </c>
      <c r="V16" s="52">
        <f>V6+V7+V8+V9+V10+V11+V12+V13+V14+V15</f>
        <v>0</v>
      </c>
      <c r="W16" s="33">
        <f>W6+W7+W8+W9+W10+W11+W12+W13+W14+W15</f>
        <v>0</v>
      </c>
      <c r="X16" s="139">
        <v>0.5</v>
      </c>
    </row>
    <row r="17" spans="1:24" x14ac:dyDescent="0.25">
      <c r="A17" s="29"/>
      <c r="B17" s="34"/>
      <c r="C17" s="30"/>
      <c r="D17" s="35"/>
      <c r="E17" s="35"/>
      <c r="F17" s="32"/>
      <c r="G17" s="32"/>
      <c r="H17" s="116"/>
      <c r="I17" s="41"/>
      <c r="J17" s="138">
        <f t="shared" si="0"/>
        <v>0</v>
      </c>
      <c r="K17" s="139">
        <v>0.5</v>
      </c>
      <c r="L17" s="48"/>
      <c r="M17" s="49"/>
      <c r="N17" s="30"/>
      <c r="O17" s="30"/>
      <c r="P17" s="35"/>
      <c r="Q17" s="35"/>
      <c r="R17" s="35"/>
      <c r="S17" s="35"/>
      <c r="T17" s="35"/>
      <c r="U17" s="35"/>
      <c r="V17" s="52"/>
      <c r="W17" s="54"/>
      <c r="X17" s="140"/>
    </row>
    <row r="18" spans="1:24" x14ac:dyDescent="0.25">
      <c r="A18" s="29"/>
      <c r="B18" s="34"/>
      <c r="C18" s="30"/>
      <c r="D18" s="35"/>
      <c r="E18" s="35"/>
      <c r="F18" s="32"/>
      <c r="G18" s="32"/>
      <c r="H18" s="116"/>
      <c r="I18" s="41"/>
      <c r="J18" s="138">
        <f t="shared" si="0"/>
        <v>0</v>
      </c>
      <c r="K18" s="139">
        <v>0.5</v>
      </c>
      <c r="L18" s="48"/>
      <c r="M18" s="49"/>
      <c r="N18" s="30"/>
      <c r="O18" s="30"/>
      <c r="P18" s="35"/>
      <c r="Q18" s="35"/>
      <c r="R18" s="35"/>
      <c r="S18" s="35"/>
      <c r="T18" s="35"/>
      <c r="U18" s="35"/>
      <c r="V18" s="52"/>
      <c r="W18" s="54"/>
      <c r="X18" s="140"/>
    </row>
    <row r="19" spans="1:24" x14ac:dyDescent="0.25">
      <c r="A19" s="30"/>
      <c r="B19" s="34"/>
      <c r="C19" s="30"/>
      <c r="D19" s="35"/>
      <c r="E19" s="35"/>
      <c r="F19" s="32"/>
      <c r="G19" s="32"/>
      <c r="H19" s="116"/>
      <c r="I19" s="55"/>
      <c r="J19" s="138">
        <f t="shared" si="0"/>
        <v>0</v>
      </c>
      <c r="K19" s="139">
        <v>0.5</v>
      </c>
      <c r="L19" s="48"/>
      <c r="M19" s="49"/>
      <c r="N19" s="30"/>
      <c r="O19" s="30"/>
      <c r="P19" s="35"/>
      <c r="Q19" s="35"/>
      <c r="R19" s="35"/>
      <c r="S19" s="35"/>
      <c r="T19" s="35"/>
      <c r="U19" s="35"/>
      <c r="V19" s="52"/>
      <c r="W19" s="54"/>
      <c r="X19" s="140"/>
    </row>
    <row r="20" spans="1:24" x14ac:dyDescent="0.25">
      <c r="A20" s="30"/>
      <c r="B20" s="34"/>
      <c r="C20" s="30"/>
      <c r="D20" s="35"/>
      <c r="E20" s="35"/>
      <c r="F20" s="32"/>
      <c r="G20" s="32"/>
      <c r="H20" s="116"/>
      <c r="I20" s="55"/>
      <c r="J20" s="138">
        <f t="shared" si="0"/>
        <v>0</v>
      </c>
      <c r="K20" s="139">
        <v>0.5</v>
      </c>
      <c r="L20" s="48"/>
      <c r="M20" s="49"/>
      <c r="N20" s="30"/>
      <c r="O20" s="30"/>
      <c r="P20" s="35"/>
      <c r="Q20" s="35"/>
      <c r="R20" s="35"/>
      <c r="S20" s="35"/>
      <c r="T20" s="35"/>
      <c r="U20" s="35"/>
      <c r="V20" s="52"/>
      <c r="W20" s="54"/>
      <c r="X20" s="140"/>
    </row>
    <row r="21" spans="1:24" x14ac:dyDescent="0.25">
      <c r="A21" s="30"/>
      <c r="B21" s="34"/>
      <c r="C21" s="30"/>
      <c r="D21" s="35"/>
      <c r="E21" s="35"/>
      <c r="F21" s="32"/>
      <c r="G21" s="32"/>
      <c r="H21" s="116"/>
      <c r="I21" s="55"/>
      <c r="J21" s="138">
        <f t="shared" si="0"/>
        <v>0</v>
      </c>
      <c r="K21" s="139">
        <v>0.5</v>
      </c>
      <c r="L21" s="48"/>
      <c r="M21" s="56"/>
      <c r="N21" s="57"/>
      <c r="O21" s="58"/>
      <c r="P21" s="59"/>
      <c r="Q21" s="59"/>
      <c r="R21" s="59"/>
      <c r="S21" s="59"/>
      <c r="T21" s="59"/>
      <c r="U21" s="59"/>
      <c r="V21" s="60"/>
      <c r="W21" s="61"/>
      <c r="X21" s="140"/>
    </row>
    <row r="22" spans="1:24" x14ac:dyDescent="0.25">
      <c r="A22" s="30"/>
      <c r="B22" s="34"/>
      <c r="C22" s="30"/>
      <c r="D22" s="35"/>
      <c r="E22" s="35"/>
      <c r="F22" s="62"/>
      <c r="G22" s="62"/>
      <c r="H22" s="116"/>
      <c r="I22" s="55"/>
      <c r="J22" s="138">
        <f t="shared" si="0"/>
        <v>0</v>
      </c>
      <c r="K22" s="139">
        <v>0.5</v>
      </c>
      <c r="L22" s="48"/>
      <c r="M22" s="56"/>
      <c r="N22" s="57"/>
      <c r="O22" s="58"/>
      <c r="P22" s="59"/>
      <c r="Q22" s="59"/>
      <c r="R22" s="59"/>
      <c r="S22" s="59"/>
      <c r="T22" s="59"/>
      <c r="U22" s="59"/>
      <c r="V22" s="60"/>
      <c r="W22" s="61"/>
      <c r="X22" s="140"/>
    </row>
    <row r="23" spans="1:24" x14ac:dyDescent="0.25">
      <c r="A23" s="30"/>
      <c r="B23" s="34"/>
      <c r="C23" s="30"/>
      <c r="D23" s="35"/>
      <c r="E23" s="35" t="s">
        <v>23</v>
      </c>
      <c r="F23" s="117">
        <f>SUM(F6:F22)</f>
        <v>183940.63</v>
      </c>
      <c r="G23" s="117">
        <f>G6+G7</f>
        <v>14465.52</v>
      </c>
      <c r="H23" s="116">
        <f>H6+H7+H8+H9+H10+H11</f>
        <v>2525.34</v>
      </c>
      <c r="I23" s="130">
        <f>SUM(I6:I22)</f>
        <v>32600.11</v>
      </c>
      <c r="J23" s="119">
        <f>SUM(J6:J22)</f>
        <v>16300.055</v>
      </c>
      <c r="K23" s="119"/>
      <c r="L23" s="48"/>
      <c r="M23" s="49"/>
      <c r="N23" s="30"/>
      <c r="O23" s="30"/>
      <c r="P23" s="35"/>
      <c r="Q23" s="35"/>
      <c r="R23" s="35"/>
      <c r="S23" s="35"/>
      <c r="T23" s="35"/>
      <c r="U23" s="35"/>
      <c r="V23" s="52"/>
      <c r="W23" s="54"/>
      <c r="X23" s="54"/>
    </row>
    <row r="24" spans="1:24" x14ac:dyDescent="0.25">
      <c r="A24" s="63"/>
      <c r="B24" s="64"/>
      <c r="C24" s="63"/>
      <c r="D24" s="65"/>
      <c r="E24" s="65"/>
      <c r="F24" s="66"/>
      <c r="G24" s="66"/>
      <c r="H24" s="67"/>
      <c r="I24" s="68"/>
      <c r="J24" s="69"/>
      <c r="K24" s="69"/>
      <c r="L24" s="48"/>
      <c r="M24" s="49"/>
      <c r="N24" s="30"/>
      <c r="O24" s="30"/>
      <c r="P24" s="35"/>
      <c r="Q24" s="35"/>
      <c r="R24" s="35"/>
      <c r="S24" s="35"/>
      <c r="T24" s="35"/>
      <c r="U24" s="35"/>
      <c r="V24" s="52"/>
      <c r="W24" s="70"/>
      <c r="X24" s="70"/>
    </row>
    <row r="25" spans="1:24" x14ac:dyDescent="0.25">
      <c r="A25" s="63"/>
      <c r="B25" s="64"/>
      <c r="C25" s="63"/>
      <c r="D25" s="65"/>
      <c r="E25" s="65"/>
      <c r="F25" s="66"/>
      <c r="G25" s="66"/>
      <c r="H25" s="67"/>
      <c r="I25" s="71"/>
      <c r="J25" s="69"/>
      <c r="K25" s="69"/>
      <c r="L25" s="48"/>
      <c r="M25" s="49"/>
      <c r="N25" s="30"/>
      <c r="O25" s="30"/>
      <c r="P25" s="35"/>
      <c r="Q25" s="35"/>
      <c r="R25" s="35"/>
      <c r="S25" s="35"/>
      <c r="T25" s="35"/>
      <c r="U25" s="35"/>
      <c r="V25" s="52"/>
      <c r="W25" s="70"/>
      <c r="X25" s="70"/>
    </row>
    <row r="26" spans="1:24" x14ac:dyDescent="0.25">
      <c r="A26" s="63"/>
      <c r="B26" s="64"/>
      <c r="C26" s="63"/>
      <c r="D26" s="65"/>
      <c r="E26" s="65"/>
      <c r="F26" s="66"/>
      <c r="G26" s="66"/>
      <c r="H26" s="67"/>
      <c r="I26" s="71"/>
      <c r="J26" s="69"/>
      <c r="K26" s="69"/>
      <c r="L26" s="48"/>
      <c r="M26" s="49"/>
      <c r="N26" s="30"/>
      <c r="O26" s="30"/>
      <c r="P26" s="35"/>
      <c r="Q26" s="35"/>
      <c r="R26" s="35"/>
      <c r="S26" s="35"/>
      <c r="T26" s="35"/>
      <c r="U26" s="35"/>
      <c r="V26" s="52"/>
      <c r="W26" s="70"/>
      <c r="X26" s="70"/>
    </row>
    <row r="27" spans="1:24" x14ac:dyDescent="0.25">
      <c r="A27" s="63"/>
      <c r="B27" s="64"/>
      <c r="C27" s="63"/>
      <c r="D27" s="65"/>
      <c r="E27" s="65"/>
      <c r="F27" s="66"/>
      <c r="G27" s="66"/>
      <c r="H27" s="67"/>
      <c r="I27" s="71"/>
      <c r="J27" s="69"/>
      <c r="K27" s="69"/>
      <c r="L27" s="48"/>
      <c r="M27" s="49"/>
      <c r="N27" s="30"/>
      <c r="O27" s="35"/>
      <c r="P27" s="35"/>
      <c r="Q27" s="35"/>
      <c r="R27" s="35"/>
      <c r="S27" s="35"/>
      <c r="T27" s="35"/>
      <c r="U27" s="35"/>
      <c r="V27" s="52"/>
      <c r="W27" s="70"/>
      <c r="X27" s="70"/>
    </row>
    <row r="28" spans="1:24" x14ac:dyDescent="0.25">
      <c r="A28" s="63"/>
      <c r="B28" s="64"/>
      <c r="C28" s="63"/>
      <c r="D28" s="65"/>
      <c r="E28" s="65"/>
      <c r="F28" s="66"/>
      <c r="G28" s="66"/>
      <c r="H28" s="67"/>
      <c r="I28" s="71"/>
      <c r="J28" s="69"/>
      <c r="K28" s="69"/>
      <c r="L28" s="48"/>
      <c r="M28" s="49"/>
      <c r="N28" s="30"/>
      <c r="O28" s="35"/>
      <c r="P28" s="35"/>
      <c r="Q28" s="35"/>
      <c r="R28" s="35"/>
      <c r="S28" s="35"/>
      <c r="T28" s="35"/>
      <c r="U28" s="35"/>
      <c r="V28" s="52"/>
      <c r="W28" s="70"/>
      <c r="X28" s="70"/>
    </row>
    <row r="29" spans="1:24" x14ac:dyDescent="0.25">
      <c r="A29" s="72" t="s">
        <v>24</v>
      </c>
      <c r="B29" s="73"/>
      <c r="C29" s="74">
        <f>J5</f>
        <v>0</v>
      </c>
      <c r="D29" s="2"/>
      <c r="E29" s="2"/>
      <c r="F29" s="66"/>
      <c r="G29" s="66"/>
      <c r="H29" s="75"/>
      <c r="I29" s="76"/>
      <c r="J29" s="69"/>
      <c r="K29" s="69"/>
      <c r="L29" s="48"/>
      <c r="M29" s="72" t="s">
        <v>24</v>
      </c>
      <c r="N29" s="73"/>
      <c r="O29" s="74"/>
      <c r="P29" s="77">
        <f>W5</f>
        <v>1875.66</v>
      </c>
      <c r="Q29" s="65"/>
      <c r="R29" s="65"/>
      <c r="S29" s="65"/>
      <c r="T29" s="65"/>
      <c r="U29" s="65"/>
      <c r="V29" s="78"/>
      <c r="W29" s="79"/>
      <c r="X29" s="79"/>
    </row>
    <row r="30" spans="1:24" x14ac:dyDescent="0.25">
      <c r="A30" s="1" t="s">
        <v>25</v>
      </c>
      <c r="B30" s="80"/>
      <c r="C30" s="81">
        <f>J23</f>
        <v>16300.055</v>
      </c>
      <c r="D30" s="2"/>
      <c r="E30" s="2"/>
      <c r="F30" s="66"/>
      <c r="G30" s="66"/>
      <c r="H30" s="67"/>
      <c r="I30" s="82"/>
      <c r="J30" s="83"/>
      <c r="K30" s="83"/>
      <c r="L30" s="48"/>
      <c r="M30" s="1" t="s">
        <v>26</v>
      </c>
      <c r="N30" s="80"/>
      <c r="O30" s="81"/>
      <c r="P30" s="2">
        <f>W16</f>
        <v>0</v>
      </c>
      <c r="Q30" s="65"/>
      <c r="R30" s="65"/>
      <c r="S30" s="65"/>
      <c r="T30" s="65"/>
      <c r="U30" s="65"/>
      <c r="V30" s="78"/>
      <c r="W30" s="79"/>
      <c r="X30" s="79"/>
    </row>
    <row r="31" spans="1:24" x14ac:dyDescent="0.25">
      <c r="A31" s="1" t="s">
        <v>27</v>
      </c>
      <c r="B31" s="80"/>
      <c r="C31" s="81"/>
      <c r="D31" s="65"/>
      <c r="E31" s="65"/>
      <c r="F31" s="84"/>
      <c r="G31" s="84"/>
      <c r="H31" s="85"/>
      <c r="I31" s="65"/>
      <c r="J31" s="78"/>
      <c r="K31" s="78"/>
      <c r="L31" s="48"/>
      <c r="M31" s="1" t="s">
        <v>28</v>
      </c>
      <c r="N31" s="80"/>
      <c r="O31" s="81"/>
      <c r="P31" s="2">
        <f>H6+H7+H8+H9+H10+H11+H12</f>
        <v>2525.34</v>
      </c>
      <c r="Q31" s="65"/>
      <c r="R31" s="65"/>
      <c r="S31" s="65"/>
      <c r="T31" s="65"/>
      <c r="U31" s="65"/>
      <c r="V31" s="78"/>
      <c r="W31" s="79"/>
      <c r="X31" s="79"/>
    </row>
    <row r="32" spans="1:24" x14ac:dyDescent="0.25">
      <c r="A32" s="86" t="s">
        <v>126</v>
      </c>
      <c r="B32" s="1"/>
      <c r="C32" s="87">
        <v>2340</v>
      </c>
      <c r="D32" s="87"/>
      <c r="E32" s="65"/>
      <c r="F32" s="78"/>
      <c r="G32" s="78"/>
      <c r="H32" s="65"/>
      <c r="I32" s="65"/>
      <c r="J32" s="78"/>
      <c r="K32" s="78"/>
      <c r="L32" s="48"/>
      <c r="M32" s="1" t="s">
        <v>127</v>
      </c>
      <c r="N32" s="1"/>
      <c r="O32" s="87"/>
      <c r="P32" s="87">
        <v>1183</v>
      </c>
      <c r="Q32" s="65"/>
      <c r="R32" s="65"/>
      <c r="S32" s="65"/>
      <c r="T32" s="65"/>
      <c r="U32" s="65"/>
      <c r="V32" s="78"/>
      <c r="W32" s="79"/>
      <c r="X32" s="79"/>
    </row>
    <row r="33" spans="1:24" x14ac:dyDescent="0.25">
      <c r="A33" s="86"/>
      <c r="B33" s="1"/>
      <c r="C33" s="90"/>
      <c r="D33" s="65"/>
      <c r="E33" s="65"/>
      <c r="F33" s="78"/>
      <c r="G33" s="78"/>
      <c r="H33" s="65"/>
      <c r="I33" s="65"/>
      <c r="J33" s="91"/>
      <c r="K33" s="91"/>
      <c r="L33" s="3"/>
      <c r="M33" s="86"/>
      <c r="N33" s="1"/>
      <c r="O33" s="87"/>
      <c r="P33" s="87"/>
      <c r="Q33" s="87"/>
      <c r="R33" s="65"/>
      <c r="S33" s="65"/>
      <c r="T33" s="65"/>
      <c r="U33" s="65"/>
      <c r="V33" s="78"/>
      <c r="W33" s="79"/>
      <c r="X33" s="79"/>
    </row>
    <row r="34" spans="1:24" x14ac:dyDescent="0.25">
      <c r="A34" s="1"/>
      <c r="B34" s="80"/>
      <c r="C34" s="4"/>
      <c r="D34" s="65"/>
      <c r="E34" s="65"/>
      <c r="F34" s="65"/>
      <c r="G34" s="65"/>
      <c r="H34" s="65"/>
      <c r="I34" s="65"/>
      <c r="J34" s="65"/>
      <c r="K34" s="65"/>
      <c r="L34" s="48"/>
      <c r="M34" s="63"/>
      <c r="N34" s="63"/>
      <c r="O34" s="65"/>
      <c r="P34" s="65"/>
      <c r="Q34" s="65"/>
      <c r="R34" s="65"/>
      <c r="S34" s="65"/>
      <c r="T34" s="65"/>
      <c r="U34" s="63"/>
      <c r="V34" s="63"/>
      <c r="W34" s="63"/>
      <c r="X34" s="63"/>
    </row>
    <row r="35" spans="1:24" x14ac:dyDescent="0.25">
      <c r="A35" s="1"/>
      <c r="B35" s="80"/>
      <c r="C35" s="1"/>
      <c r="D35" s="2"/>
      <c r="E35" s="2"/>
      <c r="F35" s="2"/>
      <c r="G35" s="2"/>
      <c r="H35" s="2"/>
      <c r="I35" s="2"/>
      <c r="J35" s="2"/>
      <c r="K35" s="2"/>
      <c r="L35" s="3"/>
      <c r="M35" s="1"/>
      <c r="N35" s="1"/>
      <c r="O35" s="2"/>
      <c r="P35" s="2"/>
      <c r="Q35" s="2"/>
      <c r="R35" s="65"/>
      <c r="S35" s="65"/>
      <c r="T35" s="65"/>
      <c r="U35" s="63"/>
      <c r="V35" s="63"/>
      <c r="W35" s="63"/>
      <c r="X35" s="63"/>
    </row>
    <row r="36" spans="1:24" x14ac:dyDescent="0.25">
      <c r="A36" s="1"/>
      <c r="B36" s="80"/>
      <c r="C36" s="1"/>
      <c r="D36" s="2"/>
      <c r="E36" s="2"/>
      <c r="F36" s="2"/>
      <c r="G36" s="2"/>
      <c r="H36" s="2"/>
      <c r="I36" s="2"/>
      <c r="J36" s="2"/>
      <c r="K36" s="2"/>
      <c r="L36" s="3"/>
      <c r="M36" s="1"/>
      <c r="N36" s="80"/>
      <c r="O36" s="81"/>
      <c r="P36" s="2"/>
      <c r="Q36" s="2"/>
      <c r="R36" s="65"/>
      <c r="S36" s="65"/>
      <c r="T36" s="65"/>
      <c r="U36" s="65"/>
      <c r="V36" s="78"/>
      <c r="W36" s="79"/>
      <c r="X36" s="79"/>
    </row>
    <row r="37" spans="1:24" x14ac:dyDescent="0.25">
      <c r="A37" s="92"/>
      <c r="B37" s="92" t="s">
        <v>29</v>
      </c>
      <c r="C37" s="93">
        <f>C29+C30+C31+C32+C33</f>
        <v>18640.055</v>
      </c>
      <c r="D37" s="93"/>
      <c r="E37" s="93"/>
      <c r="F37" s="93"/>
      <c r="G37" s="93"/>
      <c r="H37" s="93"/>
      <c r="I37" s="93"/>
      <c r="J37" s="93"/>
      <c r="K37" s="93"/>
      <c r="L37" s="94"/>
      <c r="M37" s="92"/>
      <c r="N37" s="95"/>
      <c r="O37" s="92" t="s">
        <v>29</v>
      </c>
      <c r="P37" s="93">
        <f>P29+P30+P31+P32+P33</f>
        <v>5584</v>
      </c>
      <c r="Q37" s="2"/>
      <c r="R37" s="65"/>
      <c r="S37" s="65"/>
      <c r="T37" s="65"/>
      <c r="U37" s="65"/>
      <c r="V37" s="78"/>
      <c r="W37" s="79"/>
      <c r="X37" s="79"/>
    </row>
    <row r="38" spans="1:24" x14ac:dyDescent="0.25">
      <c r="A38" s="1"/>
      <c r="B38" s="80"/>
      <c r="C38" s="81"/>
      <c r="D38" s="2"/>
      <c r="E38" s="2"/>
      <c r="F38" s="2"/>
      <c r="G38" s="2"/>
      <c r="H38" s="2"/>
      <c r="I38" s="2"/>
      <c r="J38" s="2"/>
      <c r="K38" s="2"/>
      <c r="L38" s="3"/>
      <c r="M38" s="1"/>
      <c r="N38" s="80"/>
      <c r="O38" s="81"/>
      <c r="P38" s="2" t="s">
        <v>93</v>
      </c>
      <c r="Q38" s="2"/>
      <c r="R38" s="65"/>
      <c r="S38" s="65"/>
      <c r="T38" s="65"/>
      <c r="U38" s="65"/>
      <c r="V38" s="78"/>
      <c r="W38" s="79"/>
      <c r="X38" s="79"/>
    </row>
    <row r="39" spans="1:24" x14ac:dyDescent="0.25">
      <c r="A39" s="107"/>
      <c r="B39" s="107"/>
      <c r="C39" s="107"/>
      <c r="D39" s="107"/>
      <c r="E39" s="107"/>
      <c r="F39" s="107"/>
      <c r="G39" s="107"/>
      <c r="H39" s="132"/>
      <c r="I39" s="132"/>
      <c r="J39" s="107"/>
      <c r="K39" s="107"/>
      <c r="L39" s="3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</row>
    <row r="40" spans="1:24" x14ac:dyDescent="0.25">
      <c r="A40" s="107"/>
      <c r="B40" s="107"/>
      <c r="C40" s="107"/>
      <c r="D40" s="107"/>
      <c r="E40" s="107"/>
      <c r="F40" s="107"/>
      <c r="G40" s="107"/>
      <c r="H40" s="133" t="s">
        <v>30</v>
      </c>
      <c r="I40" s="134">
        <f>C37-P37</f>
        <v>13056.055</v>
      </c>
      <c r="J40" s="107"/>
      <c r="K40" s="107"/>
      <c r="L40" s="3"/>
      <c r="M40" s="107"/>
      <c r="N40" s="107"/>
      <c r="O40" s="107"/>
      <c r="P40" s="107"/>
      <c r="Q40" s="107"/>
      <c r="R40" s="107"/>
      <c r="S40" s="152"/>
      <c r="T40" s="152"/>
      <c r="U40" s="107"/>
      <c r="V40" s="107"/>
      <c r="W40" s="107"/>
      <c r="X40" s="107"/>
    </row>
    <row r="41" spans="1:24" x14ac:dyDescent="0.25">
      <c r="A41" s="107"/>
      <c r="B41" s="107"/>
      <c r="C41" s="107"/>
      <c r="D41" s="107"/>
      <c r="E41" s="107"/>
      <c r="F41" s="107"/>
      <c r="G41" s="107"/>
      <c r="H41" s="132"/>
      <c r="I41" s="132"/>
      <c r="J41" s="107"/>
      <c r="K41" s="107"/>
      <c r="L41" s="3"/>
      <c r="M41" s="107"/>
      <c r="N41" s="107"/>
      <c r="O41" s="107"/>
      <c r="P41" s="107"/>
      <c r="Q41" s="107"/>
      <c r="R41" s="107"/>
      <c r="S41" s="153"/>
      <c r="T41" s="154"/>
      <c r="U41" s="107"/>
      <c r="V41" s="107"/>
      <c r="W41" s="107"/>
      <c r="X41" s="107"/>
    </row>
    <row r="42" spans="1:24" x14ac:dyDescent="0.25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3"/>
      <c r="M42" s="107"/>
      <c r="N42" s="107"/>
      <c r="O42" s="107"/>
      <c r="P42" s="107"/>
      <c r="Q42" s="107"/>
      <c r="R42" s="107"/>
      <c r="S42" s="152"/>
      <c r="T42" s="152"/>
      <c r="U42" s="107"/>
      <c r="V42" s="107"/>
      <c r="W42" s="107"/>
      <c r="X42" s="107"/>
    </row>
  </sheetData>
  <conditionalFormatting sqref="C1:C5 O5:Q10 C10">
    <cfRule type="cellIs" dxfId="241" priority="19" operator="equal">
      <formula>15698.2</formula>
    </cfRule>
  </conditionalFormatting>
  <conditionalFormatting sqref="C32:G32">
    <cfRule type="cellIs" dxfId="240" priority="23" operator="equal">
      <formula>15698.2</formula>
    </cfRule>
  </conditionalFormatting>
  <conditionalFormatting sqref="D16:G31">
    <cfRule type="cellIs" dxfId="239" priority="16" operator="equal">
      <formula>"kapalı"</formula>
    </cfRule>
  </conditionalFormatting>
  <conditionalFormatting sqref="D33:G38">
    <cfRule type="cellIs" dxfId="238" priority="24" operator="equal">
      <formula>15698.2</formula>
    </cfRule>
  </conditionalFormatting>
  <conditionalFormatting sqref="D1:I4 D5:E5 E6:E11 H19:H22 H24:H30 H31:I38">
    <cfRule type="cellIs" dxfId="237" priority="41" operator="equal">
      <formula>"K.KART"</formula>
    </cfRule>
  </conditionalFormatting>
  <conditionalFormatting sqref="E14:G15">
    <cfRule type="cellIs" dxfId="236" priority="17" operator="equal">
      <formula>"kapalı"</formula>
    </cfRule>
  </conditionalFormatting>
  <conditionalFormatting sqref="E32:G32 D33:G38">
    <cfRule type="cellIs" dxfId="235" priority="25" operator="equal">
      <formula>"kapalı"</formula>
    </cfRule>
  </conditionalFormatting>
  <conditionalFormatting sqref="F11 F12:G13">
    <cfRule type="cellIs" dxfId="234" priority="18" operator="equal">
      <formula>"kapalı"</formula>
    </cfRule>
  </conditionalFormatting>
  <conditionalFormatting sqref="F11">
    <cfRule type="cellIs" dxfId="233" priority="46" operator="equal">
      <formula>"K.KART"</formula>
    </cfRule>
  </conditionalFormatting>
  <conditionalFormatting sqref="F5:G5">
    <cfRule type="cellIs" dxfId="232" priority="26" operator="equal">
      <formula>15698.2</formula>
    </cfRule>
  </conditionalFormatting>
  <conditionalFormatting sqref="F5:G9 D6:D13">
    <cfRule type="cellIs" dxfId="231" priority="9" operator="equal">
      <formula>"kapalı"</formula>
    </cfRule>
  </conditionalFormatting>
  <conditionalFormatting sqref="F6:G6">
    <cfRule type="cellIs" dxfId="230" priority="12" operator="equal">
      <formula>"K.KART"</formula>
    </cfRule>
  </conditionalFormatting>
  <conditionalFormatting sqref="F8:G8">
    <cfRule type="cellIs" dxfId="229" priority="13" operator="equal">
      <formula>"K.KART"</formula>
    </cfRule>
  </conditionalFormatting>
  <conditionalFormatting sqref="F13:G13">
    <cfRule type="cellIs" dxfId="228" priority="47" operator="equal">
      <formula>"K.KART"</formula>
    </cfRule>
  </conditionalFormatting>
  <conditionalFormatting sqref="H18">
    <cfRule type="cellIs" dxfId="227" priority="30" operator="equal">
      <formula>"K.KART"</formula>
    </cfRule>
  </conditionalFormatting>
  <conditionalFormatting sqref="H5:I9">
    <cfRule type="cellIs" dxfId="226" priority="11" operator="equal">
      <formula>"K.KART"</formula>
    </cfRule>
  </conditionalFormatting>
  <conditionalFormatting sqref="H10:I12">
    <cfRule type="cellIs" dxfId="225" priority="14" operator="equal">
      <formula>"K.KART"</formula>
    </cfRule>
  </conditionalFormatting>
  <conditionalFormatting sqref="I13">
    <cfRule type="cellIs" dxfId="224" priority="15" operator="equal">
      <formula>"K.KART"</formula>
    </cfRule>
  </conditionalFormatting>
  <conditionalFormatting sqref="I24:I28 I30">
    <cfRule type="cellIs" dxfId="223" priority="31" operator="equal">
      <formula>"K.KART"</formula>
    </cfRule>
  </conditionalFormatting>
  <conditionalFormatting sqref="O4:P4">
    <cfRule type="cellIs" dxfId="222" priority="33" operator="equal">
      <formula>"kapalı"</formula>
    </cfRule>
    <cfRule type="cellIs" dxfId="221" priority="32" operator="equal">
      <formula>15698.2</formula>
    </cfRule>
  </conditionalFormatting>
  <conditionalFormatting sqref="O11:P11">
    <cfRule type="cellIs" dxfId="220" priority="36" operator="equal">
      <formula>"kapalı"</formula>
    </cfRule>
    <cfRule type="cellIs" dxfId="219" priority="35" operator="equal">
      <formula>15698.2</formula>
    </cfRule>
  </conditionalFormatting>
  <conditionalFormatting sqref="O1:Q3 O12:Q12">
    <cfRule type="cellIs" dxfId="218" priority="44" operator="equal">
      <formula>"KAPALI"</formula>
    </cfRule>
    <cfRule type="cellIs" dxfId="217" priority="45" operator="equal">
      <formula>"açık"</formula>
    </cfRule>
  </conditionalFormatting>
  <conditionalFormatting sqref="O1:Q3 P11:Q31 O12 O27:O31 O33:O36 P33:Q38 O38">
    <cfRule type="cellIs" dxfId="216" priority="42" operator="equal">
      <formula>15698.2</formula>
    </cfRule>
  </conditionalFormatting>
  <conditionalFormatting sqref="O5:Q10 C32:D32">
    <cfRule type="cellIs" dxfId="215" priority="22" operator="equal">
      <formula>"açık"</formula>
    </cfRule>
    <cfRule type="cellIs" dxfId="214" priority="21" operator="equal">
      <formula>"KAPALI"</formula>
    </cfRule>
  </conditionalFormatting>
  <conditionalFormatting sqref="O27:Q36">
    <cfRule type="cellIs" dxfId="213" priority="3" operator="equal">
      <formula>"açık"</formula>
    </cfRule>
    <cfRule type="cellIs" dxfId="212" priority="2" operator="equal">
      <formula>"KAPALI"</formula>
    </cfRule>
  </conditionalFormatting>
  <conditionalFormatting sqref="O32:Q32">
    <cfRule type="cellIs" dxfId="211" priority="4" operator="equal">
      <formula>15698.2</formula>
    </cfRule>
  </conditionalFormatting>
  <conditionalFormatting sqref="P33">
    <cfRule type="cellIs" dxfId="210" priority="1" operator="equal">
      <formula>15698.2</formula>
    </cfRule>
  </conditionalFormatting>
  <conditionalFormatting sqref="P10:Q28 Q29:Q30">
    <cfRule type="cellIs" dxfId="209" priority="38" operator="equal">
      <formula>"kapalı"</formula>
    </cfRule>
  </conditionalFormatting>
  <conditionalFormatting sqref="P37:Q37 O38:Q38">
    <cfRule type="cellIs" dxfId="208" priority="39" operator="equal">
      <formula>"KAPALI"</formula>
    </cfRule>
    <cfRule type="cellIs" dxfId="207" priority="40" operator="equal">
      <formula>"açık"</formula>
    </cfRule>
  </conditionalFormatting>
  <conditionalFormatting sqref="Q11 S11:V11">
    <cfRule type="cellIs" dxfId="206" priority="37" operator="equal">
      <formula>"K.KART"</formula>
    </cfRule>
  </conditionalFormatting>
  <conditionalFormatting sqref="Q4:W4">
    <cfRule type="cellIs" dxfId="205" priority="34" operator="equal">
      <formula>"K.KART"</formula>
    </cfRule>
  </conditionalFormatting>
  <conditionalFormatting sqref="R5:R12 D10 H13:H17">
    <cfRule type="cellIs" dxfId="204" priority="20" operator="equal">
      <formula>"K.KART"</formula>
    </cfRule>
  </conditionalFormatting>
  <conditionalFormatting sqref="R13:R17 C37">
    <cfRule type="cellIs" dxfId="203" priority="28" operator="equal">
      <formula>15698.2</formula>
    </cfRule>
    <cfRule type="cellIs" dxfId="202" priority="29" operator="equal">
      <formula>"kapalı"</formula>
    </cfRule>
  </conditionalFormatting>
  <conditionalFormatting sqref="R1:T3 R15:R38">
    <cfRule type="cellIs" dxfId="201" priority="43" operator="equal">
      <formula>"K.KART"</formula>
    </cfRule>
  </conditionalFormatting>
  <conditionalFormatting sqref="S10:T38">
    <cfRule type="cellIs" dxfId="200" priority="27" operator="equal">
      <formula>"K.KART"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DB8EC-C422-43C5-8B9C-350581C2615E}">
  <dimension ref="A1:X42"/>
  <sheetViews>
    <sheetView topLeftCell="A13" workbookViewId="0">
      <selection activeCell="J6" sqref="J6"/>
    </sheetView>
  </sheetViews>
  <sheetFormatPr defaultRowHeight="15" x14ac:dyDescent="0.25"/>
  <cols>
    <col min="1" max="1" width="18.140625" customWidth="1"/>
    <col min="2" max="2" width="12.140625" customWidth="1"/>
    <col min="3" max="3" width="12.28515625" customWidth="1"/>
    <col min="5" max="5" width="10.5703125" customWidth="1"/>
    <col min="6" max="6" width="12.28515625" customWidth="1"/>
    <col min="7" max="7" width="11.42578125" customWidth="1"/>
    <col min="8" max="8" width="14.42578125" customWidth="1"/>
    <col min="9" max="9" width="11.5703125" customWidth="1"/>
    <col min="10" max="10" width="14" customWidth="1"/>
    <col min="11" max="11" width="6.42578125" customWidth="1"/>
    <col min="12" max="12" width="2.42578125" customWidth="1"/>
    <col min="13" max="13" width="19.85546875" customWidth="1"/>
    <col min="14" max="14" width="12" customWidth="1"/>
    <col min="15" max="15" width="15.5703125" customWidth="1"/>
    <col min="16" max="16" width="12" customWidth="1"/>
    <col min="19" max="19" width="13" customWidth="1"/>
    <col min="20" max="20" width="12.140625" customWidth="1"/>
    <col min="21" max="21" width="11.28515625" customWidth="1"/>
    <col min="22" max="22" width="11.85546875" customWidth="1"/>
    <col min="23" max="23" width="12.140625" customWidth="1"/>
    <col min="24" max="24" width="5.5703125" customWidth="1"/>
  </cols>
  <sheetData>
    <row r="1" spans="1:2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1"/>
      <c r="N1" s="1"/>
      <c r="O1" s="2"/>
      <c r="P1" s="2"/>
      <c r="Q1" s="2"/>
      <c r="R1" s="2"/>
      <c r="S1" s="2"/>
      <c r="T1" s="2"/>
      <c r="U1" s="2"/>
      <c r="V1" s="4"/>
      <c r="W1" s="5"/>
      <c r="X1" s="5"/>
    </row>
    <row r="2" spans="1:24" x14ac:dyDescent="0.25">
      <c r="A2" s="6" t="s">
        <v>0</v>
      </c>
      <c r="B2" s="6"/>
      <c r="C2" s="7"/>
      <c r="D2" s="7"/>
      <c r="E2" s="7"/>
      <c r="F2" s="7"/>
      <c r="G2" s="7"/>
      <c r="H2" s="7"/>
      <c r="I2" s="7"/>
      <c r="J2" s="7"/>
      <c r="K2" s="7"/>
      <c r="L2" s="3"/>
      <c r="M2" s="6" t="s">
        <v>1</v>
      </c>
      <c r="N2" s="6"/>
      <c r="O2" s="7"/>
      <c r="P2" s="7"/>
      <c r="Q2" s="7"/>
      <c r="R2" s="7"/>
      <c r="S2" s="7"/>
      <c r="T2" s="7"/>
      <c r="U2" s="7"/>
      <c r="V2" s="8"/>
      <c r="W2" s="9"/>
      <c r="X2" s="9"/>
    </row>
    <row r="3" spans="1:24" x14ac:dyDescent="0.25">
      <c r="A3" s="10" t="s">
        <v>104</v>
      </c>
      <c r="B3" s="10">
        <v>2025</v>
      </c>
      <c r="C3" s="11"/>
      <c r="D3" s="11"/>
      <c r="E3" s="11"/>
      <c r="F3" s="11"/>
      <c r="G3" s="11"/>
      <c r="H3" s="11"/>
      <c r="I3" s="11"/>
      <c r="J3" s="11"/>
      <c r="K3" s="11"/>
      <c r="L3" s="12"/>
      <c r="M3" s="10" t="s">
        <v>104</v>
      </c>
      <c r="N3" s="10">
        <v>2025</v>
      </c>
      <c r="O3" s="11"/>
      <c r="P3" s="11"/>
      <c r="Q3" s="11"/>
      <c r="R3" s="11"/>
      <c r="S3" s="11"/>
      <c r="T3" s="11"/>
      <c r="U3" s="11"/>
      <c r="V3" s="13"/>
      <c r="W3" s="14"/>
      <c r="X3" s="14"/>
    </row>
    <row r="4" spans="1:24" ht="25.5" x14ac:dyDescent="0.25">
      <c r="A4" s="15" t="s">
        <v>2</v>
      </c>
      <c r="B4" s="15" t="s">
        <v>3</v>
      </c>
      <c r="C4" s="16" t="s">
        <v>4</v>
      </c>
      <c r="D4" s="16" t="s">
        <v>5</v>
      </c>
      <c r="E4" s="16" t="s">
        <v>6</v>
      </c>
      <c r="F4" s="17" t="s">
        <v>68</v>
      </c>
      <c r="G4" s="17" t="s">
        <v>69</v>
      </c>
      <c r="H4" s="16" t="s">
        <v>8</v>
      </c>
      <c r="I4" s="16" t="s">
        <v>9</v>
      </c>
      <c r="J4" s="18" t="s">
        <v>10</v>
      </c>
      <c r="K4" s="18" t="s">
        <v>81</v>
      </c>
      <c r="L4" s="19"/>
      <c r="M4" s="15" t="s">
        <v>2</v>
      </c>
      <c r="N4" s="15" t="s">
        <v>3</v>
      </c>
      <c r="O4" s="16" t="s">
        <v>4</v>
      </c>
      <c r="P4" s="16" t="s">
        <v>11</v>
      </c>
      <c r="Q4" s="16" t="s">
        <v>5</v>
      </c>
      <c r="R4" s="16" t="s">
        <v>6</v>
      </c>
      <c r="S4" s="16" t="s">
        <v>68</v>
      </c>
      <c r="T4" s="16" t="s">
        <v>69</v>
      </c>
      <c r="U4" s="16" t="s">
        <v>8</v>
      </c>
      <c r="V4" s="18" t="s">
        <v>9</v>
      </c>
      <c r="W4" s="18" t="s">
        <v>12</v>
      </c>
      <c r="X4" s="18" t="s">
        <v>81</v>
      </c>
    </row>
    <row r="5" spans="1:24" x14ac:dyDescent="0.25">
      <c r="A5" s="20" t="s">
        <v>13</v>
      </c>
      <c r="B5" s="20"/>
      <c r="C5" s="21"/>
      <c r="D5" s="21"/>
      <c r="E5" s="21"/>
      <c r="F5" s="22"/>
      <c r="G5" s="22"/>
      <c r="H5" s="23"/>
      <c r="I5" s="21"/>
      <c r="J5" s="24">
        <v>13056.06</v>
      </c>
      <c r="K5" s="24"/>
      <c r="L5" s="25"/>
      <c r="M5" s="26" t="s">
        <v>13</v>
      </c>
      <c r="N5" s="20"/>
      <c r="O5" s="21"/>
      <c r="P5" s="21"/>
      <c r="Q5" s="21"/>
      <c r="R5" s="21"/>
      <c r="S5" s="21"/>
      <c r="T5" s="21"/>
      <c r="U5" s="21"/>
      <c r="V5" s="27"/>
      <c r="W5" s="28"/>
      <c r="X5" s="24"/>
    </row>
    <row r="6" spans="1:24" x14ac:dyDescent="0.25">
      <c r="A6" s="29" t="s">
        <v>22</v>
      </c>
      <c r="B6" s="34">
        <v>45812</v>
      </c>
      <c r="C6" s="30">
        <v>577776263</v>
      </c>
      <c r="D6" s="35" t="s">
        <v>15</v>
      </c>
      <c r="E6" s="146" t="s">
        <v>33</v>
      </c>
      <c r="F6" s="147">
        <v>15151.72</v>
      </c>
      <c r="G6" s="32"/>
      <c r="H6" s="40">
        <v>2525.34</v>
      </c>
      <c r="I6" s="123"/>
      <c r="J6" s="138">
        <f t="shared" ref="J6:J22" si="0">I6*K6</f>
        <v>0</v>
      </c>
      <c r="K6" s="139">
        <v>0.5</v>
      </c>
      <c r="L6" s="25"/>
      <c r="M6" s="126" t="s">
        <v>102</v>
      </c>
      <c r="N6" s="136">
        <v>45885</v>
      </c>
      <c r="O6" s="137" t="s">
        <v>103</v>
      </c>
      <c r="P6" s="123" t="s">
        <v>48</v>
      </c>
      <c r="Q6" s="123" t="s">
        <v>15</v>
      </c>
      <c r="R6" s="123" t="s">
        <v>17</v>
      </c>
      <c r="S6" s="123">
        <v>36460</v>
      </c>
      <c r="T6" s="123">
        <v>34723.81</v>
      </c>
      <c r="U6" s="123"/>
      <c r="V6" s="123">
        <v>4513.99</v>
      </c>
      <c r="W6" s="138">
        <f t="shared" ref="W6:W15" si="1">V6*X6</f>
        <v>2256.9949999999999</v>
      </c>
      <c r="X6" s="139">
        <v>0.5</v>
      </c>
    </row>
    <row r="7" spans="1:24" x14ac:dyDescent="0.25">
      <c r="A7" s="29" t="s">
        <v>101</v>
      </c>
      <c r="B7" s="34">
        <v>45887</v>
      </c>
      <c r="C7" s="30">
        <v>592928649</v>
      </c>
      <c r="D7" s="35" t="s">
        <v>20</v>
      </c>
      <c r="E7" s="123" t="s">
        <v>17</v>
      </c>
      <c r="F7" s="147">
        <v>526318.80000000005</v>
      </c>
      <c r="G7" s="147">
        <v>495851.86</v>
      </c>
      <c r="H7" s="116"/>
      <c r="I7" s="123">
        <v>64460.63</v>
      </c>
      <c r="J7" s="138">
        <f t="shared" si="0"/>
        <v>32230.314999999999</v>
      </c>
      <c r="K7" s="139">
        <v>0.5</v>
      </c>
      <c r="L7" s="25"/>
      <c r="M7" s="126"/>
      <c r="N7" s="136"/>
      <c r="O7" s="137"/>
      <c r="P7" s="123"/>
      <c r="Q7" s="123"/>
      <c r="R7" s="123"/>
      <c r="S7" s="123"/>
      <c r="T7" s="123"/>
      <c r="U7" s="123"/>
      <c r="V7" s="123"/>
      <c r="W7" s="138">
        <f t="shared" si="1"/>
        <v>0</v>
      </c>
      <c r="X7" s="139">
        <v>0.5</v>
      </c>
    </row>
    <row r="8" spans="1:24" x14ac:dyDescent="0.25">
      <c r="A8" s="29" t="s">
        <v>106</v>
      </c>
      <c r="B8" s="34">
        <v>45898</v>
      </c>
      <c r="C8" s="30">
        <v>599589485</v>
      </c>
      <c r="D8" s="35" t="s">
        <v>15</v>
      </c>
      <c r="E8" s="123" t="s">
        <v>17</v>
      </c>
      <c r="F8" s="147">
        <v>18428.88</v>
      </c>
      <c r="G8" s="147">
        <v>17551.32</v>
      </c>
      <c r="H8" s="40"/>
      <c r="I8" s="123">
        <v>2281.63</v>
      </c>
      <c r="J8" s="138">
        <f t="shared" si="0"/>
        <v>1140.8150000000001</v>
      </c>
      <c r="K8" s="139">
        <v>0.5</v>
      </c>
      <c r="L8" s="19"/>
      <c r="M8" s="126"/>
      <c r="N8" s="136"/>
      <c r="O8" s="137"/>
      <c r="P8" s="123"/>
      <c r="Q8" s="123"/>
      <c r="R8" s="123"/>
      <c r="S8" s="123"/>
      <c r="T8" s="123"/>
      <c r="U8" s="123"/>
      <c r="V8" s="142"/>
      <c r="W8" s="138">
        <f t="shared" si="1"/>
        <v>0</v>
      </c>
      <c r="X8" s="139">
        <v>0.5</v>
      </c>
    </row>
    <row r="9" spans="1:24" x14ac:dyDescent="0.25">
      <c r="A9" s="29" t="s">
        <v>107</v>
      </c>
      <c r="B9" s="34">
        <v>45900</v>
      </c>
      <c r="C9" s="30">
        <v>598745065</v>
      </c>
      <c r="D9" s="35" t="s">
        <v>15</v>
      </c>
      <c r="E9" s="123" t="s">
        <v>17</v>
      </c>
      <c r="F9" s="147">
        <v>16327.64</v>
      </c>
      <c r="G9" s="147">
        <v>15550.13</v>
      </c>
      <c r="H9" s="116"/>
      <c r="I9" s="123">
        <v>2021.5</v>
      </c>
      <c r="J9" s="138">
        <f t="shared" si="0"/>
        <v>1010.75</v>
      </c>
      <c r="K9" s="139">
        <v>0.5</v>
      </c>
      <c r="L9" s="19"/>
      <c r="M9" s="126"/>
      <c r="N9" s="136"/>
      <c r="O9" s="137"/>
      <c r="P9" s="123"/>
      <c r="Q9" s="123"/>
      <c r="R9" s="123"/>
      <c r="S9" s="123"/>
      <c r="T9" s="123"/>
      <c r="U9" s="123"/>
      <c r="V9" s="142"/>
      <c r="W9" s="138">
        <f t="shared" si="1"/>
        <v>0</v>
      </c>
      <c r="X9" s="139">
        <v>0.5</v>
      </c>
    </row>
    <row r="10" spans="1:24" x14ac:dyDescent="0.25">
      <c r="A10" s="29" t="s">
        <v>107</v>
      </c>
      <c r="B10" s="34">
        <v>45898</v>
      </c>
      <c r="C10" s="30">
        <v>599579901</v>
      </c>
      <c r="D10" s="35" t="s">
        <v>35</v>
      </c>
      <c r="E10" s="123" t="s">
        <v>17</v>
      </c>
      <c r="F10" s="147">
        <v>17933.060000000001</v>
      </c>
      <c r="G10" s="147">
        <v>16011.65</v>
      </c>
      <c r="H10" s="40"/>
      <c r="I10" s="40">
        <v>2081.4299999999998</v>
      </c>
      <c r="J10" s="138">
        <f t="shared" si="0"/>
        <v>1040.7149999999999</v>
      </c>
      <c r="K10" s="139">
        <v>0.5</v>
      </c>
      <c r="L10" s="19"/>
      <c r="M10" s="42"/>
      <c r="N10" s="34"/>
      <c r="O10" s="30"/>
      <c r="P10" s="35"/>
      <c r="Q10" s="35"/>
      <c r="R10" s="123"/>
      <c r="S10" s="35"/>
      <c r="T10" s="35"/>
      <c r="U10" s="35"/>
      <c r="V10" s="144"/>
      <c r="W10" s="138">
        <f t="shared" si="1"/>
        <v>0</v>
      </c>
      <c r="X10" s="139">
        <v>0.5</v>
      </c>
    </row>
    <row r="11" spans="1:24" x14ac:dyDescent="0.25">
      <c r="A11" s="29"/>
      <c r="B11" s="34"/>
      <c r="C11" s="45"/>
      <c r="D11" s="35"/>
      <c r="E11" s="123"/>
      <c r="F11" s="147"/>
      <c r="G11" s="147"/>
      <c r="H11" s="40"/>
      <c r="I11" s="40"/>
      <c r="J11" s="138">
        <f t="shared" si="0"/>
        <v>0</v>
      </c>
      <c r="K11" s="139">
        <v>0.5</v>
      </c>
      <c r="L11" s="48"/>
      <c r="M11" s="120"/>
      <c r="N11" s="34"/>
      <c r="O11" s="30"/>
      <c r="P11" s="35"/>
      <c r="Q11" s="35"/>
      <c r="R11" s="123"/>
      <c r="S11" s="35"/>
      <c r="T11" s="35"/>
      <c r="U11" s="35"/>
      <c r="V11" s="145"/>
      <c r="W11" s="138">
        <f t="shared" si="1"/>
        <v>0</v>
      </c>
      <c r="X11" s="139">
        <v>0.5</v>
      </c>
    </row>
    <row r="12" spans="1:24" x14ac:dyDescent="0.25">
      <c r="A12" s="29"/>
      <c r="B12" s="34"/>
      <c r="C12" s="30"/>
      <c r="D12" s="35"/>
      <c r="E12" s="129"/>
      <c r="F12" s="147"/>
      <c r="G12" s="147"/>
      <c r="H12" s="40"/>
      <c r="I12" s="40"/>
      <c r="J12" s="138">
        <f t="shared" si="0"/>
        <v>0</v>
      </c>
      <c r="K12" s="139">
        <v>0.5</v>
      </c>
      <c r="L12" s="48"/>
      <c r="M12" s="49"/>
      <c r="N12" s="34"/>
      <c r="O12" s="30"/>
      <c r="P12" s="35"/>
      <c r="Q12" s="35"/>
      <c r="R12" s="123"/>
      <c r="S12" s="35"/>
      <c r="T12" s="35"/>
      <c r="U12" s="35"/>
      <c r="V12" s="36"/>
      <c r="W12" s="138">
        <f t="shared" si="1"/>
        <v>0</v>
      </c>
      <c r="X12" s="139">
        <v>0.5</v>
      </c>
    </row>
    <row r="13" spans="1:24" x14ac:dyDescent="0.25">
      <c r="A13" s="29"/>
      <c r="B13" s="34"/>
      <c r="C13" s="30"/>
      <c r="D13" s="35"/>
      <c r="E13" s="129"/>
      <c r="F13" s="147"/>
      <c r="G13" s="147"/>
      <c r="H13" s="40"/>
      <c r="I13" s="40"/>
      <c r="J13" s="138">
        <f t="shared" si="0"/>
        <v>0</v>
      </c>
      <c r="K13" s="139">
        <v>0.5</v>
      </c>
      <c r="L13" s="48"/>
      <c r="M13" s="49"/>
      <c r="N13" s="34"/>
      <c r="O13" s="30"/>
      <c r="P13" s="35"/>
      <c r="Q13" s="35"/>
      <c r="R13" s="35"/>
      <c r="S13" s="35"/>
      <c r="T13" s="35"/>
      <c r="U13" s="35"/>
      <c r="V13" s="36"/>
      <c r="W13" s="138">
        <f t="shared" si="1"/>
        <v>0</v>
      </c>
      <c r="X13" s="139">
        <v>0.5</v>
      </c>
    </row>
    <row r="14" spans="1:24" x14ac:dyDescent="0.25">
      <c r="A14" s="29"/>
      <c r="B14" s="34"/>
      <c r="C14" s="30"/>
      <c r="D14" s="31"/>
      <c r="E14" s="35"/>
      <c r="F14" s="147"/>
      <c r="G14" s="32"/>
      <c r="H14" s="116"/>
      <c r="I14" s="41"/>
      <c r="J14" s="138">
        <f t="shared" si="0"/>
        <v>0</v>
      </c>
      <c r="K14" s="139">
        <v>0.5</v>
      </c>
      <c r="L14" s="48"/>
      <c r="M14" s="49"/>
      <c r="N14" s="34"/>
      <c r="O14" s="30"/>
      <c r="P14" s="35"/>
      <c r="Q14" s="35"/>
      <c r="R14" s="35"/>
      <c r="S14" s="35"/>
      <c r="T14" s="35"/>
      <c r="U14" s="35"/>
      <c r="V14" s="36"/>
      <c r="W14" s="138">
        <f t="shared" si="1"/>
        <v>0</v>
      </c>
      <c r="X14" s="139">
        <v>0.5</v>
      </c>
    </row>
    <row r="15" spans="1:24" x14ac:dyDescent="0.25">
      <c r="A15" s="29"/>
      <c r="B15" s="34"/>
      <c r="C15" s="30"/>
      <c r="D15" s="31"/>
      <c r="E15" s="35"/>
      <c r="F15" s="147"/>
      <c r="G15" s="32"/>
      <c r="H15" s="116"/>
      <c r="I15" s="41"/>
      <c r="J15" s="138">
        <f t="shared" si="0"/>
        <v>0</v>
      </c>
      <c r="K15" s="139">
        <v>0.5</v>
      </c>
      <c r="L15" s="48"/>
      <c r="M15" s="49"/>
      <c r="N15" s="30"/>
      <c r="O15" s="30"/>
      <c r="P15" s="35"/>
      <c r="Q15" s="35"/>
      <c r="R15" s="35"/>
      <c r="S15" s="35"/>
      <c r="T15" s="35"/>
      <c r="U15" s="35"/>
      <c r="V15" s="36"/>
      <c r="W15" s="138">
        <f t="shared" si="1"/>
        <v>0</v>
      </c>
      <c r="X15" s="139">
        <v>0.5</v>
      </c>
    </row>
    <row r="16" spans="1:24" x14ac:dyDescent="0.25">
      <c r="A16" s="29"/>
      <c r="B16" s="34"/>
      <c r="C16" s="30"/>
      <c r="D16" s="35"/>
      <c r="E16" s="35"/>
      <c r="F16" s="147"/>
      <c r="G16" s="32"/>
      <c r="H16" s="116"/>
      <c r="I16" s="41"/>
      <c r="J16" s="138">
        <f t="shared" si="0"/>
        <v>0</v>
      </c>
      <c r="K16" s="139">
        <v>0.5</v>
      </c>
      <c r="L16" s="48"/>
      <c r="M16" s="49"/>
      <c r="N16" s="30"/>
      <c r="O16" s="30"/>
      <c r="P16" s="35"/>
      <c r="Q16" s="35"/>
      <c r="R16" s="35" t="s">
        <v>23</v>
      </c>
      <c r="S16" s="35">
        <f>S6+S7+S8+S9+S10+S11+S12+S13+S14+S15</f>
        <v>36460</v>
      </c>
      <c r="T16" s="35">
        <f>T6+T7+T8+T9+T10+T12+T13+T11+T14+T15</f>
        <v>34723.81</v>
      </c>
      <c r="U16" s="35">
        <f>U6+U7</f>
        <v>0</v>
      </c>
      <c r="V16" s="52">
        <f>V6+V7+V8+V9+V10+V11+V12+V13+V14+V15</f>
        <v>4513.99</v>
      </c>
      <c r="W16" s="33">
        <f>W6+W7+W8+W9+W10+W11+W12+W13+W14+W15</f>
        <v>2256.9949999999999</v>
      </c>
      <c r="X16" s="139">
        <v>0.5</v>
      </c>
    </row>
    <row r="17" spans="1:24" x14ac:dyDescent="0.25">
      <c r="A17" s="29"/>
      <c r="B17" s="34"/>
      <c r="C17" s="30"/>
      <c r="D17" s="35"/>
      <c r="E17" s="35"/>
      <c r="F17" s="147"/>
      <c r="G17" s="32"/>
      <c r="H17" s="116"/>
      <c r="I17" s="41"/>
      <c r="J17" s="138">
        <f t="shared" si="0"/>
        <v>0</v>
      </c>
      <c r="K17" s="139">
        <v>0.5</v>
      </c>
      <c r="L17" s="48"/>
      <c r="M17" s="49"/>
      <c r="N17" s="30"/>
      <c r="O17" s="30"/>
      <c r="P17" s="35"/>
      <c r="Q17" s="35"/>
      <c r="R17" s="35"/>
      <c r="S17" s="35"/>
      <c r="T17" s="35"/>
      <c r="U17" s="35"/>
      <c r="V17" s="52"/>
      <c r="W17" s="54"/>
      <c r="X17" s="140"/>
    </row>
    <row r="18" spans="1:24" x14ac:dyDescent="0.25">
      <c r="A18" s="29"/>
      <c r="B18" s="34"/>
      <c r="C18" s="30"/>
      <c r="D18" s="35"/>
      <c r="E18" s="35"/>
      <c r="F18" s="147"/>
      <c r="G18" s="32"/>
      <c r="H18" s="116"/>
      <c r="I18" s="41"/>
      <c r="J18" s="138">
        <f t="shared" si="0"/>
        <v>0</v>
      </c>
      <c r="K18" s="139">
        <v>0.5</v>
      </c>
      <c r="L18" s="48"/>
      <c r="M18" s="49"/>
      <c r="N18" s="30"/>
      <c r="O18" s="30"/>
      <c r="P18" s="35"/>
      <c r="Q18" s="35"/>
      <c r="R18" s="35"/>
      <c r="S18" s="35"/>
      <c r="T18" s="35"/>
      <c r="U18" s="35"/>
      <c r="V18" s="52"/>
      <c r="W18" s="54"/>
      <c r="X18" s="140"/>
    </row>
    <row r="19" spans="1:24" x14ac:dyDescent="0.25">
      <c r="A19" s="30"/>
      <c r="B19" s="34"/>
      <c r="C19" s="30"/>
      <c r="D19" s="35"/>
      <c r="E19" s="35"/>
      <c r="F19" s="147"/>
      <c r="G19" s="32"/>
      <c r="H19" s="116"/>
      <c r="I19" s="55"/>
      <c r="J19" s="138">
        <f t="shared" si="0"/>
        <v>0</v>
      </c>
      <c r="K19" s="139">
        <v>0.5</v>
      </c>
      <c r="L19" s="48"/>
      <c r="M19" s="49"/>
      <c r="N19" s="30"/>
      <c r="O19" s="30"/>
      <c r="P19" s="35"/>
      <c r="Q19" s="35"/>
      <c r="R19" s="35"/>
      <c r="S19" s="35"/>
      <c r="T19" s="35"/>
      <c r="U19" s="35"/>
      <c r="V19" s="52"/>
      <c r="W19" s="54"/>
      <c r="X19" s="140"/>
    </row>
    <row r="20" spans="1:24" x14ac:dyDescent="0.25">
      <c r="A20" s="30"/>
      <c r="B20" s="34"/>
      <c r="C20" s="30"/>
      <c r="D20" s="35"/>
      <c r="E20" s="35"/>
      <c r="F20" s="147"/>
      <c r="G20" s="32"/>
      <c r="H20" s="116"/>
      <c r="I20" s="55"/>
      <c r="J20" s="138">
        <f t="shared" si="0"/>
        <v>0</v>
      </c>
      <c r="K20" s="139">
        <v>0.5</v>
      </c>
      <c r="L20" s="48"/>
      <c r="M20" s="49"/>
      <c r="N20" s="30"/>
      <c r="O20" s="30"/>
      <c r="P20" s="35"/>
      <c r="Q20" s="35"/>
      <c r="R20" s="35"/>
      <c r="S20" s="35"/>
      <c r="T20" s="35"/>
      <c r="U20" s="35"/>
      <c r="V20" s="52"/>
      <c r="W20" s="54"/>
      <c r="X20" s="140"/>
    </row>
    <row r="21" spans="1:24" x14ac:dyDescent="0.25">
      <c r="A21" s="30"/>
      <c r="B21" s="34"/>
      <c r="C21" s="30"/>
      <c r="D21" s="35"/>
      <c r="E21" s="35"/>
      <c r="F21" s="32"/>
      <c r="G21" s="32"/>
      <c r="H21" s="116"/>
      <c r="I21" s="55"/>
      <c r="J21" s="138">
        <f t="shared" si="0"/>
        <v>0</v>
      </c>
      <c r="K21" s="139">
        <v>0.5</v>
      </c>
      <c r="L21" s="48"/>
      <c r="M21" s="56"/>
      <c r="N21" s="57"/>
      <c r="O21" s="58"/>
      <c r="P21" s="59"/>
      <c r="Q21" s="59"/>
      <c r="R21" s="59"/>
      <c r="S21" s="59"/>
      <c r="T21" s="59"/>
      <c r="U21" s="59"/>
      <c r="V21" s="60"/>
      <c r="W21" s="61"/>
      <c r="X21" s="140"/>
    </row>
    <row r="22" spans="1:24" x14ac:dyDescent="0.25">
      <c r="A22" s="30"/>
      <c r="B22" s="34"/>
      <c r="C22" s="30"/>
      <c r="D22" s="35"/>
      <c r="E22" s="35"/>
      <c r="F22" s="62"/>
      <c r="G22" s="62"/>
      <c r="H22" s="116"/>
      <c r="I22" s="55"/>
      <c r="J22" s="138">
        <f t="shared" si="0"/>
        <v>0</v>
      </c>
      <c r="K22" s="139">
        <v>0.5</v>
      </c>
      <c r="L22" s="48"/>
      <c r="M22" s="56"/>
      <c r="N22" s="57"/>
      <c r="O22" s="58"/>
      <c r="P22" s="59"/>
      <c r="Q22" s="59"/>
      <c r="R22" s="59"/>
      <c r="S22" s="59"/>
      <c r="T22" s="59"/>
      <c r="U22" s="59"/>
      <c r="V22" s="60"/>
      <c r="W22" s="61"/>
      <c r="X22" s="140"/>
    </row>
    <row r="23" spans="1:24" x14ac:dyDescent="0.25">
      <c r="A23" s="30"/>
      <c r="B23" s="34"/>
      <c r="C23" s="30"/>
      <c r="D23" s="35"/>
      <c r="E23" s="35" t="s">
        <v>23</v>
      </c>
      <c r="F23" s="117">
        <f>SUM(F6:F22)</f>
        <v>594160.10000000009</v>
      </c>
      <c r="G23" s="117">
        <f>G6+G7</f>
        <v>495851.86</v>
      </c>
      <c r="H23" s="116">
        <f>H6+H7+H8+H9+H10+H11</f>
        <v>2525.34</v>
      </c>
      <c r="I23" s="130">
        <f>SUM(I6:I22)</f>
        <v>70845.189999999988</v>
      </c>
      <c r="J23" s="119">
        <f>SUM(J6:J22)</f>
        <v>35422.594999999994</v>
      </c>
      <c r="K23" s="119"/>
      <c r="L23" s="48"/>
      <c r="M23" s="49"/>
      <c r="N23" s="30"/>
      <c r="O23" s="30"/>
      <c r="P23" s="35"/>
      <c r="Q23" s="35"/>
      <c r="R23" s="35"/>
      <c r="S23" s="35"/>
      <c r="T23" s="35"/>
      <c r="U23" s="35"/>
      <c r="V23" s="52"/>
      <c r="W23" s="54"/>
      <c r="X23" s="54"/>
    </row>
    <row r="24" spans="1:24" x14ac:dyDescent="0.25">
      <c r="A24" s="63"/>
      <c r="B24" s="64"/>
      <c r="C24" s="63"/>
      <c r="D24" s="65"/>
      <c r="E24" s="65"/>
      <c r="F24" s="66"/>
      <c r="G24" s="66"/>
      <c r="H24" s="67"/>
      <c r="I24" s="68"/>
      <c r="J24" s="69"/>
      <c r="K24" s="69"/>
      <c r="L24" s="48"/>
      <c r="M24" s="49"/>
      <c r="N24" s="30"/>
      <c r="O24" s="30"/>
      <c r="P24" s="35"/>
      <c r="Q24" s="35"/>
      <c r="R24" s="35"/>
      <c r="S24" s="35"/>
      <c r="T24" s="35"/>
      <c r="U24" s="35"/>
      <c r="V24" s="52"/>
      <c r="W24" s="70"/>
      <c r="X24" s="70"/>
    </row>
    <row r="25" spans="1:24" x14ac:dyDescent="0.25">
      <c r="A25" s="63"/>
      <c r="B25" s="64"/>
      <c r="C25" s="63"/>
      <c r="D25" s="65"/>
      <c r="E25" s="65"/>
      <c r="F25" s="66"/>
      <c r="G25" s="66"/>
      <c r="H25" s="67"/>
      <c r="I25" s="71"/>
      <c r="J25" s="69"/>
      <c r="K25" s="69"/>
      <c r="L25" s="48"/>
      <c r="M25" s="49"/>
      <c r="N25" s="30"/>
      <c r="O25" s="30"/>
      <c r="P25" s="35"/>
      <c r="Q25" s="35"/>
      <c r="R25" s="35"/>
      <c r="S25" s="35"/>
      <c r="T25" s="35"/>
      <c r="U25" s="35"/>
      <c r="V25" s="52"/>
      <c r="W25" s="70"/>
      <c r="X25" s="70"/>
    </row>
    <row r="26" spans="1:24" x14ac:dyDescent="0.25">
      <c r="A26" s="63"/>
      <c r="B26" s="64"/>
      <c r="C26" s="63"/>
      <c r="D26" s="65"/>
      <c r="E26" s="65"/>
      <c r="F26" s="66"/>
      <c r="G26" s="66"/>
      <c r="H26" s="67"/>
      <c r="I26" s="71"/>
      <c r="J26" s="69"/>
      <c r="K26" s="69"/>
      <c r="L26" s="48"/>
      <c r="M26" s="49"/>
      <c r="N26" s="30"/>
      <c r="O26" s="30"/>
      <c r="P26" s="35"/>
      <c r="Q26" s="35"/>
      <c r="R26" s="35"/>
      <c r="S26" s="35"/>
      <c r="T26" s="35"/>
      <c r="U26" s="35"/>
      <c r="V26" s="52"/>
      <c r="W26" s="70"/>
      <c r="X26" s="70"/>
    </row>
    <row r="27" spans="1:24" x14ac:dyDescent="0.25">
      <c r="A27" s="63"/>
      <c r="B27" s="64"/>
      <c r="C27" s="63"/>
      <c r="D27" s="65"/>
      <c r="E27" s="65"/>
      <c r="F27" s="66"/>
      <c r="G27" s="66"/>
      <c r="H27" s="67"/>
      <c r="I27" s="71"/>
      <c r="J27" s="69"/>
      <c r="K27" s="69"/>
      <c r="L27" s="48"/>
      <c r="M27" s="49"/>
      <c r="N27" s="30"/>
      <c r="O27" s="35"/>
      <c r="P27" s="35"/>
      <c r="Q27" s="35"/>
      <c r="R27" s="35"/>
      <c r="S27" s="35"/>
      <c r="T27" s="35"/>
      <c r="U27" s="35"/>
      <c r="V27" s="52"/>
      <c r="W27" s="70"/>
      <c r="X27" s="70"/>
    </row>
    <row r="28" spans="1:24" x14ac:dyDescent="0.25">
      <c r="A28" s="63"/>
      <c r="B28" s="64"/>
      <c r="C28" s="63"/>
      <c r="D28" s="65"/>
      <c r="E28" s="65"/>
      <c r="F28" s="66"/>
      <c r="G28" s="66"/>
      <c r="H28" s="67"/>
      <c r="I28" s="71"/>
      <c r="J28" s="69"/>
      <c r="K28" s="69"/>
      <c r="L28" s="48"/>
      <c r="M28" s="49"/>
      <c r="N28" s="30"/>
      <c r="O28" s="35"/>
      <c r="P28" s="35"/>
      <c r="Q28" s="35"/>
      <c r="R28" s="35"/>
      <c r="S28" s="35"/>
      <c r="T28" s="35"/>
      <c r="U28" s="35"/>
      <c r="V28" s="52"/>
      <c r="W28" s="70"/>
      <c r="X28" s="70"/>
    </row>
    <row r="29" spans="1:24" x14ac:dyDescent="0.25">
      <c r="A29" s="72" t="s">
        <v>24</v>
      </c>
      <c r="B29" s="73"/>
      <c r="C29" s="74">
        <f>J5</f>
        <v>13056.06</v>
      </c>
      <c r="D29" s="2"/>
      <c r="E29" s="2"/>
      <c r="F29" s="66"/>
      <c r="G29" s="66"/>
      <c r="H29" s="75"/>
      <c r="I29" s="76"/>
      <c r="J29" s="69"/>
      <c r="K29" s="69"/>
      <c r="L29" s="48"/>
      <c r="M29" s="72" t="s">
        <v>24</v>
      </c>
      <c r="N29" s="73"/>
      <c r="O29" s="74"/>
      <c r="P29" s="77">
        <f>W5</f>
        <v>0</v>
      </c>
      <c r="Q29" s="65"/>
      <c r="R29" s="65"/>
      <c r="S29" s="65"/>
      <c r="T29" s="65"/>
      <c r="U29" s="65"/>
      <c r="V29" s="78"/>
      <c r="W29" s="79"/>
      <c r="X29" s="79"/>
    </row>
    <row r="30" spans="1:24" x14ac:dyDescent="0.25">
      <c r="A30" s="1" t="s">
        <v>25</v>
      </c>
      <c r="B30" s="80"/>
      <c r="C30" s="81">
        <f>J23</f>
        <v>35422.594999999994</v>
      </c>
      <c r="D30" s="2"/>
      <c r="E30" s="2"/>
      <c r="F30" s="66"/>
      <c r="G30" s="66"/>
      <c r="H30" s="67"/>
      <c r="I30" s="82"/>
      <c r="J30" s="83"/>
      <c r="K30" s="83"/>
      <c r="L30" s="48"/>
      <c r="M30" s="1" t="s">
        <v>26</v>
      </c>
      <c r="N30" s="80"/>
      <c r="O30" s="81"/>
      <c r="P30" s="2">
        <f>W16</f>
        <v>2256.9949999999999</v>
      </c>
      <c r="Q30" s="65"/>
      <c r="R30" s="65"/>
      <c r="S30" s="65"/>
      <c r="T30" s="65"/>
      <c r="U30" s="65"/>
      <c r="V30" s="78"/>
      <c r="W30" s="79"/>
      <c r="X30" s="79"/>
    </row>
    <row r="31" spans="1:24" x14ac:dyDescent="0.25">
      <c r="A31" s="1" t="s">
        <v>27</v>
      </c>
      <c r="B31" s="80"/>
      <c r="C31" s="81"/>
      <c r="D31" s="65"/>
      <c r="E31" s="65"/>
      <c r="F31" s="84"/>
      <c r="G31" s="84"/>
      <c r="H31" s="85"/>
      <c r="I31" s="65"/>
      <c r="J31" s="78"/>
      <c r="K31" s="78"/>
      <c r="L31" s="48"/>
      <c r="M31" s="1" t="s">
        <v>28</v>
      </c>
      <c r="N31" s="80"/>
      <c r="O31" s="81"/>
      <c r="P31" s="2">
        <f>H6+H7+H8+H9+H10+H11+H12</f>
        <v>2525.34</v>
      </c>
      <c r="Q31" s="65"/>
      <c r="R31" s="65"/>
      <c r="S31" s="65"/>
      <c r="T31" s="65"/>
      <c r="U31" s="65"/>
      <c r="V31" s="78"/>
      <c r="W31" s="79"/>
      <c r="X31" s="79"/>
    </row>
    <row r="32" spans="1:24" x14ac:dyDescent="0.25">
      <c r="A32" s="86"/>
      <c r="B32" s="1"/>
      <c r="C32" s="87"/>
      <c r="D32" s="87"/>
      <c r="E32" s="65"/>
      <c r="F32" s="78"/>
      <c r="G32" s="78"/>
      <c r="H32" s="65"/>
      <c r="I32" s="65"/>
      <c r="J32" s="78"/>
      <c r="K32" s="78"/>
      <c r="L32" s="48"/>
      <c r="M32" s="1"/>
      <c r="N32" s="1"/>
      <c r="O32" s="87"/>
      <c r="P32" s="87"/>
      <c r="Q32" s="65"/>
      <c r="R32" s="65"/>
      <c r="S32" s="65"/>
      <c r="T32" s="65"/>
      <c r="U32" s="65"/>
      <c r="V32" s="78"/>
      <c r="W32" s="79"/>
      <c r="X32" s="79"/>
    </row>
    <row r="33" spans="1:24" x14ac:dyDescent="0.25">
      <c r="A33" s="86"/>
      <c r="B33" s="1"/>
      <c r="C33" s="90"/>
      <c r="D33" s="65"/>
      <c r="E33" s="65"/>
      <c r="F33" s="78"/>
      <c r="G33" s="78"/>
      <c r="H33" s="65"/>
      <c r="I33" s="65"/>
      <c r="J33" s="91"/>
      <c r="K33" s="91"/>
      <c r="L33" s="3"/>
      <c r="M33" s="86"/>
      <c r="N33" s="1"/>
      <c r="O33" s="87"/>
      <c r="P33" s="87"/>
      <c r="Q33" s="87"/>
      <c r="R33" s="65"/>
      <c r="S33" s="65"/>
      <c r="T33" s="65"/>
      <c r="U33" s="65"/>
      <c r="V33" s="78"/>
      <c r="W33" s="79"/>
      <c r="X33" s="79"/>
    </row>
    <row r="34" spans="1:24" x14ac:dyDescent="0.25">
      <c r="A34" s="1"/>
      <c r="B34" s="80"/>
      <c r="C34" s="4"/>
      <c r="D34" s="65"/>
      <c r="E34" s="65"/>
      <c r="F34" s="65"/>
      <c r="G34" s="65"/>
      <c r="H34" s="65"/>
      <c r="I34" s="65"/>
      <c r="J34" s="65"/>
      <c r="K34" s="65"/>
      <c r="L34" s="48"/>
      <c r="M34" s="63"/>
      <c r="N34" s="63"/>
      <c r="O34" s="65"/>
      <c r="P34" s="65"/>
      <c r="Q34" s="65"/>
      <c r="R34" s="65"/>
      <c r="S34" s="65"/>
      <c r="T34" s="65"/>
      <c r="U34" s="63"/>
      <c r="V34" s="63"/>
      <c r="W34" s="63"/>
      <c r="X34" s="63"/>
    </row>
    <row r="35" spans="1:24" x14ac:dyDescent="0.25">
      <c r="A35" s="1"/>
      <c r="B35" s="80"/>
      <c r="C35" s="1"/>
      <c r="D35" s="2"/>
      <c r="E35" s="2"/>
      <c r="F35" s="2"/>
      <c r="G35" s="2"/>
      <c r="H35" s="2"/>
      <c r="I35" s="2"/>
      <c r="J35" s="2"/>
      <c r="K35" s="2"/>
      <c r="L35" s="3"/>
      <c r="M35" s="1"/>
      <c r="N35" s="1"/>
      <c r="O35" s="2"/>
      <c r="P35" s="2"/>
      <c r="Q35" s="2"/>
      <c r="R35" s="65"/>
      <c r="S35" s="65"/>
      <c r="T35" s="65"/>
      <c r="U35" s="63"/>
      <c r="V35" s="63"/>
      <c r="W35" s="63"/>
      <c r="X35" s="63"/>
    </row>
    <row r="36" spans="1:24" x14ac:dyDescent="0.25">
      <c r="A36" s="1"/>
      <c r="B36" s="80"/>
      <c r="C36" s="1"/>
      <c r="D36" s="2"/>
      <c r="E36" s="2"/>
      <c r="F36" s="2"/>
      <c r="G36" s="2"/>
      <c r="H36" s="2"/>
      <c r="I36" s="2"/>
      <c r="J36" s="2"/>
      <c r="K36" s="2"/>
      <c r="L36" s="3"/>
      <c r="M36" s="1"/>
      <c r="N36" s="80"/>
      <c r="O36" s="81"/>
      <c r="P36" s="2"/>
      <c r="Q36" s="2"/>
      <c r="R36" s="65"/>
      <c r="S36" s="65"/>
      <c r="T36" s="65"/>
      <c r="U36" s="65"/>
      <c r="V36" s="78"/>
      <c r="W36" s="79"/>
      <c r="X36" s="79"/>
    </row>
    <row r="37" spans="1:24" x14ac:dyDescent="0.25">
      <c r="A37" s="92"/>
      <c r="B37" s="92" t="s">
        <v>29</v>
      </c>
      <c r="C37" s="93">
        <f>C29+C30+C31+C32+C33</f>
        <v>48478.654999999992</v>
      </c>
      <c r="D37" s="93"/>
      <c r="E37" s="93"/>
      <c r="F37" s="93"/>
      <c r="G37" s="93"/>
      <c r="H37" s="93"/>
      <c r="I37" s="93"/>
      <c r="J37" s="93"/>
      <c r="K37" s="93"/>
      <c r="L37" s="94"/>
      <c r="M37" s="92"/>
      <c r="N37" s="95"/>
      <c r="O37" s="92" t="s">
        <v>29</v>
      </c>
      <c r="P37" s="93">
        <f>P29+P30+P31+P32+P33</f>
        <v>4782.335</v>
      </c>
      <c r="Q37" s="2"/>
      <c r="R37" s="65"/>
      <c r="S37" s="65"/>
      <c r="T37" s="65"/>
      <c r="U37" s="65"/>
      <c r="V37" s="78"/>
      <c r="W37" s="79"/>
      <c r="X37" s="79"/>
    </row>
    <row r="38" spans="1:24" x14ac:dyDescent="0.25">
      <c r="A38" s="1"/>
      <c r="B38" s="80"/>
      <c r="C38" s="81"/>
      <c r="D38" s="2"/>
      <c r="E38" s="2"/>
      <c r="F38" s="2"/>
      <c r="G38" s="2"/>
      <c r="H38" s="2"/>
      <c r="I38" s="2"/>
      <c r="J38" s="2"/>
      <c r="K38" s="2"/>
      <c r="L38" s="3"/>
      <c r="M38" s="1"/>
      <c r="N38" s="80"/>
      <c r="O38" s="81"/>
      <c r="P38" s="2" t="s">
        <v>93</v>
      </c>
      <c r="Q38" s="2"/>
      <c r="R38" s="65"/>
      <c r="S38" s="65"/>
      <c r="T38" s="65"/>
      <c r="U38" s="65"/>
      <c r="V38" s="78"/>
      <c r="W38" s="79"/>
      <c r="X38" s="79"/>
    </row>
    <row r="39" spans="1:24" x14ac:dyDescent="0.25">
      <c r="A39" s="107"/>
      <c r="B39" s="107"/>
      <c r="C39" s="107"/>
      <c r="D39" s="107"/>
      <c r="E39" s="107"/>
      <c r="F39" s="107"/>
      <c r="G39" s="107"/>
      <c r="H39" s="132"/>
      <c r="I39" s="132"/>
      <c r="J39" s="107"/>
      <c r="K39" s="107"/>
      <c r="L39" s="3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</row>
    <row r="40" spans="1:24" x14ac:dyDescent="0.25">
      <c r="A40" s="107"/>
      <c r="B40" s="107"/>
      <c r="C40" s="107"/>
      <c r="D40" s="107"/>
      <c r="E40" s="107"/>
      <c r="F40" s="107"/>
      <c r="G40" s="107"/>
      <c r="H40" s="133" t="s">
        <v>30</v>
      </c>
      <c r="I40" s="134">
        <f>C37-P37</f>
        <v>43696.319999999992</v>
      </c>
      <c r="J40" s="107"/>
      <c r="K40" s="107"/>
      <c r="L40" s="3"/>
      <c r="M40" s="107"/>
      <c r="N40" s="107"/>
      <c r="O40" s="107"/>
      <c r="P40" s="107"/>
      <c r="Q40" s="107"/>
      <c r="R40" s="107"/>
      <c r="S40" s="152"/>
      <c r="T40" s="152"/>
      <c r="U40" s="107"/>
      <c r="V40" s="107"/>
      <c r="W40" s="107"/>
      <c r="X40" s="107"/>
    </row>
    <row r="41" spans="1:24" x14ac:dyDescent="0.25">
      <c r="A41" s="107"/>
      <c r="B41" s="107"/>
      <c r="C41" s="107"/>
      <c r="D41" s="107"/>
      <c r="E41" s="107"/>
      <c r="F41" s="107"/>
      <c r="G41" s="107"/>
      <c r="H41" s="132"/>
      <c r="I41" s="132"/>
      <c r="J41" s="107"/>
      <c r="K41" s="107"/>
      <c r="L41" s="3"/>
      <c r="M41" s="107"/>
      <c r="N41" s="107"/>
      <c r="O41" s="107"/>
      <c r="P41" s="107"/>
      <c r="Q41" s="107"/>
      <c r="R41" s="107"/>
      <c r="S41" s="153"/>
      <c r="T41" s="154"/>
      <c r="U41" s="107"/>
      <c r="V41" s="107"/>
      <c r="W41" s="107"/>
      <c r="X41" s="107"/>
    </row>
    <row r="42" spans="1:24" x14ac:dyDescent="0.25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3"/>
      <c r="M42" s="107"/>
      <c r="N42" s="107"/>
      <c r="O42" s="107"/>
      <c r="P42" s="107"/>
      <c r="Q42" s="107"/>
      <c r="R42" s="107"/>
      <c r="S42" s="152"/>
      <c r="T42" s="152"/>
      <c r="U42" s="107"/>
      <c r="V42" s="107"/>
      <c r="W42" s="107"/>
      <c r="X42" s="107"/>
    </row>
  </sheetData>
  <conditionalFormatting sqref="C1:C5 O5:Q10 C10">
    <cfRule type="cellIs" dxfId="199" priority="16" operator="equal">
      <formula>15698.2</formula>
    </cfRule>
  </conditionalFormatting>
  <conditionalFormatting sqref="C32:G32">
    <cfRule type="cellIs" dxfId="198" priority="20" operator="equal">
      <formula>15698.2</formula>
    </cfRule>
  </conditionalFormatting>
  <conditionalFormatting sqref="D16:G31">
    <cfRule type="cellIs" dxfId="197" priority="13" operator="equal">
      <formula>"kapalı"</formula>
    </cfRule>
  </conditionalFormatting>
  <conditionalFormatting sqref="D33:G38">
    <cfRule type="cellIs" dxfId="196" priority="21" operator="equal">
      <formula>15698.2</formula>
    </cfRule>
  </conditionalFormatting>
  <conditionalFormatting sqref="D1:I4 D5:E5 H19:H22 H24:H30 H31:I38">
    <cfRule type="cellIs" dxfId="195" priority="38" operator="equal">
      <formula>"K.KART"</formula>
    </cfRule>
  </conditionalFormatting>
  <conditionalFormatting sqref="E6:E11">
    <cfRule type="cellIs" dxfId="194" priority="2" operator="equal">
      <formula>"K.KART"</formula>
    </cfRule>
  </conditionalFormatting>
  <conditionalFormatting sqref="E14:G15">
    <cfRule type="cellIs" dxfId="193" priority="14" operator="equal">
      <formula>"kapalı"</formula>
    </cfRule>
  </conditionalFormatting>
  <conditionalFormatting sqref="E32:G32 D33:G38">
    <cfRule type="cellIs" dxfId="192" priority="22" operator="equal">
      <formula>"kapalı"</formula>
    </cfRule>
  </conditionalFormatting>
  <conditionalFormatting sqref="F11 F12:G13">
    <cfRule type="cellIs" dxfId="191" priority="15" operator="equal">
      <formula>"kapalı"</formula>
    </cfRule>
  </conditionalFormatting>
  <conditionalFormatting sqref="F11">
    <cfRule type="cellIs" dxfId="190" priority="43" operator="equal">
      <formula>"K.KART"</formula>
    </cfRule>
  </conditionalFormatting>
  <conditionalFormatting sqref="F5:G5">
    <cfRule type="cellIs" dxfId="189" priority="23" operator="equal">
      <formula>15698.2</formula>
    </cfRule>
  </conditionalFormatting>
  <conditionalFormatting sqref="F5:G9 D6:D13">
    <cfRule type="cellIs" dxfId="188" priority="1" operator="equal">
      <formula>"kapalı"</formula>
    </cfRule>
  </conditionalFormatting>
  <conditionalFormatting sqref="F6:G6">
    <cfRule type="cellIs" dxfId="187" priority="9" operator="equal">
      <formula>"K.KART"</formula>
    </cfRule>
  </conditionalFormatting>
  <conditionalFormatting sqref="F13:G13">
    <cfRule type="cellIs" dxfId="186" priority="44" operator="equal">
      <formula>"K.KART"</formula>
    </cfRule>
  </conditionalFormatting>
  <conditionalFormatting sqref="H18">
    <cfRule type="cellIs" dxfId="185" priority="27" operator="equal">
      <formula>"K.KART"</formula>
    </cfRule>
  </conditionalFormatting>
  <conditionalFormatting sqref="H5:I9">
    <cfRule type="cellIs" dxfId="184" priority="8" operator="equal">
      <formula>"K.KART"</formula>
    </cfRule>
  </conditionalFormatting>
  <conditionalFormatting sqref="H10:I12">
    <cfRule type="cellIs" dxfId="183" priority="11" operator="equal">
      <formula>"K.KART"</formula>
    </cfRule>
  </conditionalFormatting>
  <conditionalFormatting sqref="I13">
    <cfRule type="cellIs" dxfId="182" priority="12" operator="equal">
      <formula>"K.KART"</formula>
    </cfRule>
  </conditionalFormatting>
  <conditionalFormatting sqref="I24:I28 I30">
    <cfRule type="cellIs" dxfId="181" priority="28" operator="equal">
      <formula>"K.KART"</formula>
    </cfRule>
  </conditionalFormatting>
  <conditionalFormatting sqref="O4:P4">
    <cfRule type="cellIs" dxfId="180" priority="30" operator="equal">
      <formula>"kapalı"</formula>
    </cfRule>
    <cfRule type="cellIs" dxfId="179" priority="29" operator="equal">
      <formula>15698.2</formula>
    </cfRule>
  </conditionalFormatting>
  <conditionalFormatting sqref="O11:P11">
    <cfRule type="cellIs" dxfId="178" priority="33" operator="equal">
      <formula>"kapalı"</formula>
    </cfRule>
    <cfRule type="cellIs" dxfId="177" priority="32" operator="equal">
      <formula>15698.2</formula>
    </cfRule>
  </conditionalFormatting>
  <conditionalFormatting sqref="O1:Q3 O12:Q12">
    <cfRule type="cellIs" dxfId="176" priority="41" operator="equal">
      <formula>"KAPALI"</formula>
    </cfRule>
    <cfRule type="cellIs" dxfId="175" priority="42" operator="equal">
      <formula>"açık"</formula>
    </cfRule>
  </conditionalFormatting>
  <conditionalFormatting sqref="O1:Q3 P11:Q31 O12 O27:O31 O33:O36 P33:Q38 O38">
    <cfRule type="cellIs" dxfId="174" priority="39" operator="equal">
      <formula>15698.2</formula>
    </cfRule>
  </conditionalFormatting>
  <conditionalFormatting sqref="O5:Q10 C32:D32">
    <cfRule type="cellIs" dxfId="173" priority="19" operator="equal">
      <formula>"açık"</formula>
    </cfRule>
    <cfRule type="cellIs" dxfId="172" priority="18" operator="equal">
      <formula>"KAPALI"</formula>
    </cfRule>
  </conditionalFormatting>
  <conditionalFormatting sqref="O27:Q36">
    <cfRule type="cellIs" dxfId="171" priority="5" operator="equal">
      <formula>"açık"</formula>
    </cfRule>
    <cfRule type="cellIs" dxfId="170" priority="4" operator="equal">
      <formula>"KAPALI"</formula>
    </cfRule>
  </conditionalFormatting>
  <conditionalFormatting sqref="O32:Q32">
    <cfRule type="cellIs" dxfId="169" priority="6" operator="equal">
      <formula>15698.2</formula>
    </cfRule>
  </conditionalFormatting>
  <conditionalFormatting sqref="P33">
    <cfRule type="cellIs" dxfId="168" priority="3" operator="equal">
      <formula>15698.2</formula>
    </cfRule>
  </conditionalFormatting>
  <conditionalFormatting sqref="P10:Q28 Q29:Q30">
    <cfRule type="cellIs" dxfId="167" priority="35" operator="equal">
      <formula>"kapalı"</formula>
    </cfRule>
  </conditionalFormatting>
  <conditionalFormatting sqref="P37:Q37 O38:Q38">
    <cfRule type="cellIs" dxfId="166" priority="36" operator="equal">
      <formula>"KAPALI"</formula>
    </cfRule>
    <cfRule type="cellIs" dxfId="165" priority="37" operator="equal">
      <formula>"açık"</formula>
    </cfRule>
  </conditionalFormatting>
  <conditionalFormatting sqref="Q11 S11:V11">
    <cfRule type="cellIs" dxfId="164" priority="34" operator="equal">
      <formula>"K.KART"</formula>
    </cfRule>
  </conditionalFormatting>
  <conditionalFormatting sqref="Q4:W4">
    <cfRule type="cellIs" dxfId="163" priority="31" operator="equal">
      <formula>"K.KART"</formula>
    </cfRule>
  </conditionalFormatting>
  <conditionalFormatting sqref="R5:R12 D10 H13:H17">
    <cfRule type="cellIs" dxfId="162" priority="17" operator="equal">
      <formula>"K.KART"</formula>
    </cfRule>
  </conditionalFormatting>
  <conditionalFormatting sqref="R13:R17 C37">
    <cfRule type="cellIs" dxfId="161" priority="25" operator="equal">
      <formula>15698.2</formula>
    </cfRule>
    <cfRule type="cellIs" dxfId="160" priority="26" operator="equal">
      <formula>"kapalı"</formula>
    </cfRule>
  </conditionalFormatting>
  <conditionalFormatting sqref="R1:T3 R15:R38">
    <cfRule type="cellIs" dxfId="159" priority="40" operator="equal">
      <formula>"K.KART"</formula>
    </cfRule>
  </conditionalFormatting>
  <conditionalFormatting sqref="S10:T38">
    <cfRule type="cellIs" dxfId="158" priority="24" operator="equal">
      <formula>"K.KART"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7F6D8-5B88-4EDD-AD9B-AFC3A04B1935}">
  <dimension ref="A1:X46"/>
  <sheetViews>
    <sheetView topLeftCell="A19" workbookViewId="0">
      <selection activeCell="I43" sqref="I43"/>
    </sheetView>
  </sheetViews>
  <sheetFormatPr defaultRowHeight="15" x14ac:dyDescent="0.25"/>
  <cols>
    <col min="1" max="1" width="21.85546875" customWidth="1"/>
    <col min="2" max="2" width="12.140625" customWidth="1"/>
    <col min="3" max="3" width="12.28515625" customWidth="1"/>
    <col min="5" max="5" width="10.5703125" customWidth="1"/>
    <col min="6" max="6" width="12.28515625" customWidth="1"/>
    <col min="7" max="7" width="11.42578125" customWidth="1"/>
    <col min="8" max="8" width="15.42578125" customWidth="1"/>
    <col min="9" max="9" width="11.5703125" customWidth="1"/>
    <col min="10" max="10" width="14" customWidth="1"/>
    <col min="11" max="11" width="6.42578125" customWidth="1"/>
    <col min="12" max="12" width="2.42578125" customWidth="1"/>
    <col min="13" max="13" width="22.28515625" customWidth="1"/>
    <col min="14" max="14" width="12" customWidth="1"/>
    <col min="15" max="15" width="15.5703125" customWidth="1"/>
    <col min="16" max="16" width="12" customWidth="1"/>
    <col min="19" max="19" width="13" customWidth="1"/>
    <col min="20" max="20" width="12.140625" customWidth="1"/>
    <col min="21" max="21" width="11.28515625" customWidth="1"/>
    <col min="22" max="22" width="11.85546875" customWidth="1"/>
    <col min="23" max="23" width="12.140625" customWidth="1"/>
    <col min="24" max="24" width="5.5703125" customWidth="1"/>
  </cols>
  <sheetData>
    <row r="1" spans="1:2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1"/>
      <c r="N1" s="1"/>
      <c r="O1" s="2"/>
      <c r="P1" s="2"/>
      <c r="Q1" s="2"/>
      <c r="R1" s="2"/>
      <c r="S1" s="2"/>
      <c r="T1" s="2"/>
      <c r="U1" s="2"/>
      <c r="V1" s="4"/>
      <c r="W1" s="5"/>
      <c r="X1" s="5"/>
    </row>
    <row r="2" spans="1:24" x14ac:dyDescent="0.25">
      <c r="A2" s="6" t="s">
        <v>0</v>
      </c>
      <c r="B2" s="6"/>
      <c r="C2" s="7"/>
      <c r="D2" s="7"/>
      <c r="E2" s="7"/>
      <c r="F2" s="7"/>
      <c r="G2" s="7"/>
      <c r="H2" s="7"/>
      <c r="I2" s="7"/>
      <c r="J2" s="7"/>
      <c r="K2" s="7"/>
      <c r="L2" s="3"/>
      <c r="M2" s="6" t="s">
        <v>1</v>
      </c>
      <c r="N2" s="6"/>
      <c r="O2" s="7"/>
      <c r="P2" s="7"/>
      <c r="Q2" s="7"/>
      <c r="R2" s="7"/>
      <c r="S2" s="7"/>
      <c r="T2" s="7"/>
      <c r="U2" s="7"/>
      <c r="V2" s="8"/>
      <c r="W2" s="9"/>
      <c r="X2" s="9"/>
    </row>
    <row r="3" spans="1:24" x14ac:dyDescent="0.25">
      <c r="A3" s="10" t="s">
        <v>105</v>
      </c>
      <c r="B3" s="10">
        <v>2025</v>
      </c>
      <c r="C3" s="11"/>
      <c r="D3" s="11"/>
      <c r="E3" s="11"/>
      <c r="F3" s="11"/>
      <c r="G3" s="11"/>
      <c r="H3" s="11"/>
      <c r="I3" s="11"/>
      <c r="J3" s="11"/>
      <c r="K3" s="11"/>
      <c r="L3" s="12"/>
      <c r="M3" s="10" t="s">
        <v>105</v>
      </c>
      <c r="N3" s="10">
        <v>2025</v>
      </c>
      <c r="O3" s="11"/>
      <c r="P3" s="11"/>
      <c r="Q3" s="11"/>
      <c r="R3" s="11"/>
      <c r="S3" s="11"/>
      <c r="T3" s="11"/>
      <c r="U3" s="11"/>
      <c r="V3" s="13"/>
      <c r="W3" s="14"/>
      <c r="X3" s="14"/>
    </row>
    <row r="4" spans="1:24" ht="25.5" x14ac:dyDescent="0.25">
      <c r="A4" s="15" t="s">
        <v>2</v>
      </c>
      <c r="B4" s="15" t="s">
        <v>3</v>
      </c>
      <c r="C4" s="16" t="s">
        <v>4</v>
      </c>
      <c r="D4" s="16" t="s">
        <v>5</v>
      </c>
      <c r="E4" s="16" t="s">
        <v>6</v>
      </c>
      <c r="F4" s="17" t="s">
        <v>68</v>
      </c>
      <c r="G4" s="17" t="s">
        <v>69</v>
      </c>
      <c r="H4" s="16" t="s">
        <v>8</v>
      </c>
      <c r="I4" s="16" t="s">
        <v>9</v>
      </c>
      <c r="J4" s="18" t="s">
        <v>10</v>
      </c>
      <c r="K4" s="18" t="s">
        <v>81</v>
      </c>
      <c r="L4" s="19"/>
      <c r="M4" s="15" t="s">
        <v>2</v>
      </c>
      <c r="N4" s="15" t="s">
        <v>3</v>
      </c>
      <c r="O4" s="16" t="s">
        <v>4</v>
      </c>
      <c r="P4" s="16" t="s">
        <v>11</v>
      </c>
      <c r="Q4" s="16" t="s">
        <v>5</v>
      </c>
      <c r="R4" s="16" t="s">
        <v>6</v>
      </c>
      <c r="S4" s="16" t="s">
        <v>68</v>
      </c>
      <c r="T4" s="16" t="s">
        <v>69</v>
      </c>
      <c r="U4" s="16" t="s">
        <v>8</v>
      </c>
      <c r="V4" s="18" t="s">
        <v>9</v>
      </c>
      <c r="W4" s="18" t="s">
        <v>12</v>
      </c>
      <c r="X4" s="18" t="s">
        <v>81</v>
      </c>
    </row>
    <row r="5" spans="1:24" x14ac:dyDescent="0.25">
      <c r="A5" s="20" t="s">
        <v>13</v>
      </c>
      <c r="B5" s="20"/>
      <c r="C5" s="21"/>
      <c r="D5" s="21"/>
      <c r="E5" s="21"/>
      <c r="F5" s="22"/>
      <c r="G5" s="22"/>
      <c r="H5" s="23"/>
      <c r="I5" s="21"/>
      <c r="J5" s="24">
        <v>43696.32</v>
      </c>
      <c r="K5" s="24"/>
      <c r="L5" s="25"/>
      <c r="M5" s="26" t="s">
        <v>13</v>
      </c>
      <c r="N5" s="20"/>
      <c r="O5" s="21"/>
      <c r="P5" s="21"/>
      <c r="Q5" s="21"/>
      <c r="R5" s="21"/>
      <c r="S5" s="21"/>
      <c r="T5" s="21"/>
      <c r="U5" s="21"/>
      <c r="V5" s="27"/>
      <c r="W5" s="28"/>
      <c r="X5" s="24"/>
    </row>
    <row r="6" spans="1:24" x14ac:dyDescent="0.25">
      <c r="A6" s="29" t="s">
        <v>22</v>
      </c>
      <c r="B6" s="34">
        <v>45812</v>
      </c>
      <c r="C6" s="30">
        <v>577776263</v>
      </c>
      <c r="D6" s="35" t="s">
        <v>15</v>
      </c>
      <c r="E6" s="146" t="s">
        <v>49</v>
      </c>
      <c r="F6" s="147">
        <v>15151.72</v>
      </c>
      <c r="G6" s="32"/>
      <c r="H6" s="40">
        <v>2525.34</v>
      </c>
      <c r="I6" s="123"/>
      <c r="J6" s="138">
        <f t="shared" ref="J6:J22" si="0">I6*K6</f>
        <v>0</v>
      </c>
      <c r="K6" s="139">
        <v>0.5</v>
      </c>
      <c r="L6" s="25"/>
      <c r="M6" s="126" t="s">
        <v>112</v>
      </c>
      <c r="N6" s="136">
        <v>45928</v>
      </c>
      <c r="O6" s="137" t="s">
        <v>113</v>
      </c>
      <c r="P6" s="123" t="s">
        <v>48</v>
      </c>
      <c r="Q6" s="123" t="s">
        <v>15</v>
      </c>
      <c r="R6" s="123" t="s">
        <v>17</v>
      </c>
      <c r="S6" s="123">
        <v>41800</v>
      </c>
      <c r="T6" s="123">
        <v>39809.519999999997</v>
      </c>
      <c r="U6" s="123"/>
      <c r="V6" s="123">
        <v>5175.17</v>
      </c>
      <c r="W6" s="138">
        <f t="shared" ref="W6:W15" si="1">V6*X6</f>
        <v>2587.585</v>
      </c>
      <c r="X6" s="139">
        <v>0.5</v>
      </c>
    </row>
    <row r="7" spans="1:24" x14ac:dyDescent="0.25">
      <c r="A7" s="29" t="s">
        <v>108</v>
      </c>
      <c r="B7" s="34">
        <v>45902</v>
      </c>
      <c r="C7" s="30">
        <v>600093800</v>
      </c>
      <c r="D7" s="35" t="s">
        <v>20</v>
      </c>
      <c r="E7" s="123" t="s">
        <v>17</v>
      </c>
      <c r="F7" s="147">
        <v>1400148.21</v>
      </c>
      <c r="G7" s="147">
        <v>1322593.5</v>
      </c>
      <c r="H7" s="116"/>
      <c r="I7" s="123">
        <v>145485.23000000001</v>
      </c>
      <c r="J7" s="138">
        <f t="shared" si="0"/>
        <v>72742.615000000005</v>
      </c>
      <c r="K7" s="139">
        <v>0.5</v>
      </c>
      <c r="L7" s="25"/>
      <c r="M7" s="126"/>
      <c r="N7" s="136"/>
      <c r="O7" s="137"/>
      <c r="P7" s="123"/>
      <c r="Q7" s="123"/>
      <c r="R7" s="123"/>
      <c r="S7" s="123"/>
      <c r="T7" s="123"/>
      <c r="U7" s="123"/>
      <c r="V7" s="123"/>
      <c r="W7" s="138">
        <f t="shared" si="1"/>
        <v>0</v>
      </c>
      <c r="X7" s="139">
        <v>0.5</v>
      </c>
    </row>
    <row r="8" spans="1:24" x14ac:dyDescent="0.25">
      <c r="A8" s="29" t="s">
        <v>108</v>
      </c>
      <c r="B8" s="34">
        <v>45902</v>
      </c>
      <c r="C8" s="30">
        <v>600087535</v>
      </c>
      <c r="D8" s="35" t="s">
        <v>20</v>
      </c>
      <c r="E8" s="123" t="s">
        <v>17</v>
      </c>
      <c r="F8" s="147">
        <v>1400003.92</v>
      </c>
      <c r="G8" s="147">
        <v>1322402.5</v>
      </c>
      <c r="H8" s="40"/>
      <c r="I8" s="123">
        <v>145464.22</v>
      </c>
      <c r="J8" s="138">
        <f t="shared" si="0"/>
        <v>72732.11</v>
      </c>
      <c r="K8" s="139">
        <v>0.5</v>
      </c>
      <c r="L8" s="19"/>
      <c r="M8" s="126"/>
      <c r="N8" s="136"/>
      <c r="O8" s="137"/>
      <c r="P8" s="123"/>
      <c r="Q8" s="123"/>
      <c r="R8" s="123"/>
      <c r="S8" s="123"/>
      <c r="T8" s="123"/>
      <c r="U8" s="123"/>
      <c r="V8" s="142"/>
      <c r="W8" s="138">
        <f t="shared" si="1"/>
        <v>0</v>
      </c>
      <c r="X8" s="139">
        <v>0.5</v>
      </c>
    </row>
    <row r="9" spans="1:24" x14ac:dyDescent="0.25">
      <c r="A9" s="29" t="s">
        <v>109</v>
      </c>
      <c r="B9" s="34">
        <v>45915</v>
      </c>
      <c r="C9" s="30">
        <v>603678246</v>
      </c>
      <c r="D9" s="35" t="s">
        <v>110</v>
      </c>
      <c r="E9" s="123" t="s">
        <v>17</v>
      </c>
      <c r="F9" s="147">
        <v>23610.26</v>
      </c>
      <c r="G9" s="147">
        <v>22485.97</v>
      </c>
      <c r="H9" s="116"/>
      <c r="I9" s="123">
        <v>2923.05</v>
      </c>
      <c r="J9" s="138">
        <f t="shared" si="0"/>
        <v>1461.5250000000001</v>
      </c>
      <c r="K9" s="139">
        <v>0.5</v>
      </c>
      <c r="L9" s="19"/>
      <c r="M9" s="126"/>
      <c r="N9" s="136"/>
      <c r="O9" s="137"/>
      <c r="P9" s="123"/>
      <c r="Q9" s="123"/>
      <c r="R9" s="123"/>
      <c r="S9" s="123"/>
      <c r="T9" s="123"/>
      <c r="U9" s="123"/>
      <c r="V9" s="142"/>
      <c r="W9" s="138">
        <f t="shared" si="1"/>
        <v>0</v>
      </c>
      <c r="X9" s="139">
        <v>0.5</v>
      </c>
    </row>
    <row r="10" spans="1:24" x14ac:dyDescent="0.25">
      <c r="A10" s="29" t="s">
        <v>109</v>
      </c>
      <c r="B10" s="34">
        <v>45916</v>
      </c>
      <c r="C10" s="30">
        <v>603775697</v>
      </c>
      <c r="D10" s="35" t="s">
        <v>35</v>
      </c>
      <c r="E10" s="123" t="s">
        <v>17</v>
      </c>
      <c r="F10" s="147">
        <v>19102.09</v>
      </c>
      <c r="G10" s="147">
        <v>17055.43</v>
      </c>
      <c r="H10" s="40"/>
      <c r="I10" s="40">
        <v>1705.5</v>
      </c>
      <c r="J10" s="138">
        <f t="shared" si="0"/>
        <v>852.75</v>
      </c>
      <c r="K10" s="139">
        <v>0.5</v>
      </c>
      <c r="L10" s="19"/>
      <c r="M10" s="42"/>
      <c r="N10" s="34"/>
      <c r="O10" s="30"/>
      <c r="P10" s="35"/>
      <c r="Q10" s="35"/>
      <c r="R10" s="123"/>
      <c r="S10" s="35"/>
      <c r="T10" s="35"/>
      <c r="U10" s="35"/>
      <c r="V10" s="144"/>
      <c r="W10" s="138">
        <f t="shared" si="1"/>
        <v>0</v>
      </c>
      <c r="X10" s="139">
        <v>0.5</v>
      </c>
    </row>
    <row r="11" spans="1:24" x14ac:dyDescent="0.25">
      <c r="A11" s="29" t="s">
        <v>111</v>
      </c>
      <c r="B11" s="34">
        <v>45918</v>
      </c>
      <c r="C11" s="45">
        <v>604664065</v>
      </c>
      <c r="D11" s="35" t="s">
        <v>15</v>
      </c>
      <c r="E11" s="148" t="s">
        <v>17</v>
      </c>
      <c r="F11" s="147">
        <v>25120.12</v>
      </c>
      <c r="G11" s="147">
        <v>23923.919999999998</v>
      </c>
      <c r="H11" s="40"/>
      <c r="I11" s="40">
        <v>3109.99</v>
      </c>
      <c r="J11" s="138">
        <f t="shared" si="0"/>
        <v>1554.9949999999999</v>
      </c>
      <c r="K11" s="139">
        <v>0.5</v>
      </c>
      <c r="L11" s="48"/>
      <c r="M11" s="120"/>
      <c r="N11" s="34"/>
      <c r="O11" s="30"/>
      <c r="P11" s="35"/>
      <c r="Q11" s="35"/>
      <c r="R11" s="123"/>
      <c r="S11" s="35"/>
      <c r="T11" s="35"/>
      <c r="U11" s="35"/>
      <c r="V11" s="145"/>
      <c r="W11" s="138">
        <f t="shared" si="1"/>
        <v>0</v>
      </c>
      <c r="X11" s="139">
        <v>0.5</v>
      </c>
    </row>
    <row r="12" spans="1:24" x14ac:dyDescent="0.25">
      <c r="A12" s="29" t="s">
        <v>18</v>
      </c>
      <c r="B12" s="34">
        <v>45919</v>
      </c>
      <c r="C12" s="30">
        <v>603418429</v>
      </c>
      <c r="D12" s="35" t="s">
        <v>15</v>
      </c>
      <c r="E12" s="148" t="s">
        <v>37</v>
      </c>
      <c r="F12" s="147">
        <v>25910.18</v>
      </c>
      <c r="G12" s="147">
        <v>24676.35</v>
      </c>
      <c r="H12" s="40">
        <v>4318.45</v>
      </c>
      <c r="I12" s="40">
        <v>3207.88</v>
      </c>
      <c r="J12" s="138">
        <f t="shared" si="0"/>
        <v>1603.94</v>
      </c>
      <c r="K12" s="139">
        <v>0.5</v>
      </c>
      <c r="L12" s="48"/>
      <c r="M12" s="49"/>
      <c r="N12" s="34"/>
      <c r="O12" s="30"/>
      <c r="P12" s="35"/>
      <c r="Q12" s="35"/>
      <c r="R12" s="123"/>
      <c r="S12" s="35"/>
      <c r="T12" s="35"/>
      <c r="U12" s="35"/>
      <c r="V12" s="36"/>
      <c r="W12" s="138">
        <f t="shared" si="1"/>
        <v>0</v>
      </c>
      <c r="X12" s="139">
        <v>0.5</v>
      </c>
    </row>
    <row r="13" spans="1:24" x14ac:dyDescent="0.25">
      <c r="A13" s="29" t="s">
        <v>19</v>
      </c>
      <c r="B13" s="34">
        <v>45930</v>
      </c>
      <c r="C13" s="30">
        <v>596681709</v>
      </c>
      <c r="D13" s="35" t="s">
        <v>20</v>
      </c>
      <c r="E13" s="148" t="s">
        <v>17</v>
      </c>
      <c r="F13" s="147">
        <v>22002.68</v>
      </c>
      <c r="G13" s="147">
        <v>20938.73</v>
      </c>
      <c r="H13" s="40"/>
      <c r="I13" s="40">
        <v>2721.94</v>
      </c>
      <c r="J13" s="138">
        <f t="shared" si="0"/>
        <v>1360.97</v>
      </c>
      <c r="K13" s="139">
        <v>0.5</v>
      </c>
      <c r="L13" s="48"/>
      <c r="M13" s="49"/>
      <c r="N13" s="34"/>
      <c r="O13" s="30"/>
      <c r="P13" s="35"/>
      <c r="Q13" s="35"/>
      <c r="R13" s="35"/>
      <c r="S13" s="35"/>
      <c r="T13" s="35"/>
      <c r="U13" s="35"/>
      <c r="V13" s="36"/>
      <c r="W13" s="138">
        <f t="shared" si="1"/>
        <v>0</v>
      </c>
      <c r="X13" s="139">
        <v>0.5</v>
      </c>
    </row>
    <row r="14" spans="1:24" x14ac:dyDescent="0.25">
      <c r="A14" s="29"/>
      <c r="B14" s="34"/>
      <c r="C14" s="30"/>
      <c r="D14" s="31"/>
      <c r="E14" s="35"/>
      <c r="F14" s="147"/>
      <c r="G14" s="32"/>
      <c r="H14" s="116"/>
      <c r="I14" s="41"/>
      <c r="J14" s="138">
        <f t="shared" si="0"/>
        <v>0</v>
      </c>
      <c r="K14" s="139">
        <v>0.5</v>
      </c>
      <c r="L14" s="48"/>
      <c r="M14" s="49"/>
      <c r="N14" s="34"/>
      <c r="O14" s="30"/>
      <c r="P14" s="35"/>
      <c r="Q14" s="35"/>
      <c r="R14" s="35"/>
      <c r="S14" s="35"/>
      <c r="T14" s="35"/>
      <c r="U14" s="35"/>
      <c r="V14" s="36"/>
      <c r="W14" s="138">
        <f t="shared" si="1"/>
        <v>0</v>
      </c>
      <c r="X14" s="139">
        <v>0.5</v>
      </c>
    </row>
    <row r="15" spans="1:24" x14ac:dyDescent="0.25">
      <c r="A15" s="29"/>
      <c r="B15" s="34"/>
      <c r="C15" s="30"/>
      <c r="D15" s="31"/>
      <c r="E15" s="35"/>
      <c r="F15" s="147"/>
      <c r="G15" s="32"/>
      <c r="H15" s="116"/>
      <c r="I15" s="41"/>
      <c r="J15" s="138">
        <f t="shared" si="0"/>
        <v>0</v>
      </c>
      <c r="K15" s="139">
        <v>0.5</v>
      </c>
      <c r="L15" s="48"/>
      <c r="M15" s="49"/>
      <c r="N15" s="30"/>
      <c r="O15" s="30"/>
      <c r="P15" s="35"/>
      <c r="Q15" s="35"/>
      <c r="R15" s="35"/>
      <c r="S15" s="35"/>
      <c r="T15" s="35"/>
      <c r="U15" s="35"/>
      <c r="V15" s="36"/>
      <c r="W15" s="138">
        <f t="shared" si="1"/>
        <v>0</v>
      </c>
      <c r="X15" s="139">
        <v>0.5</v>
      </c>
    </row>
    <row r="16" spans="1:24" x14ac:dyDescent="0.25">
      <c r="A16" s="29"/>
      <c r="B16" s="34"/>
      <c r="C16" s="30"/>
      <c r="D16" s="35"/>
      <c r="E16" s="35"/>
      <c r="F16" s="147"/>
      <c r="G16" s="32"/>
      <c r="H16" s="116"/>
      <c r="I16" s="41"/>
      <c r="J16" s="138">
        <f t="shared" si="0"/>
        <v>0</v>
      </c>
      <c r="K16" s="139">
        <v>0.5</v>
      </c>
      <c r="L16" s="48"/>
      <c r="M16" s="49"/>
      <c r="N16" s="30"/>
      <c r="O16" s="30"/>
      <c r="P16" s="35"/>
      <c r="Q16" s="35"/>
      <c r="R16" s="35" t="s">
        <v>23</v>
      </c>
      <c r="S16" s="35">
        <f>S6+S7+S8+S9+S10+S11+S12+S13+S14+S15</f>
        <v>41800</v>
      </c>
      <c r="T16" s="35">
        <f>T6+T7+T8+T9+T10+T12+T13+T11+T14+T15</f>
        <v>39809.519999999997</v>
      </c>
      <c r="U16" s="35">
        <f>U6+U7</f>
        <v>0</v>
      </c>
      <c r="V16" s="52">
        <f>V6+V7+V8+V9+V10+V11+V12+V13+V14+V15</f>
        <v>5175.17</v>
      </c>
      <c r="W16" s="33">
        <f>W6+W7+W8+W9+W10+W11+W12+W13+W14+W15</f>
        <v>2587.585</v>
      </c>
      <c r="X16" s="139">
        <v>0.5</v>
      </c>
    </row>
    <row r="17" spans="1:24" x14ac:dyDescent="0.25">
      <c r="A17" s="29"/>
      <c r="B17" s="34"/>
      <c r="C17" s="30"/>
      <c r="D17" s="35"/>
      <c r="E17" s="35"/>
      <c r="F17" s="147"/>
      <c r="G17" s="32"/>
      <c r="H17" s="116"/>
      <c r="I17" s="41"/>
      <c r="J17" s="138">
        <f t="shared" si="0"/>
        <v>0</v>
      </c>
      <c r="K17" s="139">
        <v>0.5</v>
      </c>
      <c r="L17" s="48"/>
      <c r="M17" s="49"/>
      <c r="N17" s="30"/>
      <c r="O17" s="30"/>
      <c r="P17" s="35"/>
      <c r="Q17" s="35"/>
      <c r="R17" s="35"/>
      <c r="S17" s="35"/>
      <c r="T17" s="35"/>
      <c r="U17" s="35"/>
      <c r="V17" s="52"/>
      <c r="W17" s="54"/>
      <c r="X17" s="140"/>
    </row>
    <row r="18" spans="1:24" x14ac:dyDescent="0.25">
      <c r="A18" s="29"/>
      <c r="B18" s="34"/>
      <c r="C18" s="30"/>
      <c r="D18" s="35"/>
      <c r="E18" s="35"/>
      <c r="F18" s="147"/>
      <c r="G18" s="32"/>
      <c r="H18" s="116"/>
      <c r="I18" s="41"/>
      <c r="J18" s="138">
        <f t="shared" si="0"/>
        <v>0</v>
      </c>
      <c r="K18" s="139">
        <v>0.5</v>
      </c>
      <c r="L18" s="48"/>
      <c r="M18" s="49"/>
      <c r="N18" s="30"/>
      <c r="O18" s="30"/>
      <c r="P18" s="35"/>
      <c r="Q18" s="35"/>
      <c r="R18" s="35"/>
      <c r="S18" s="35"/>
      <c r="T18" s="35"/>
      <c r="U18" s="35"/>
      <c r="V18" s="52"/>
      <c r="W18" s="54"/>
      <c r="X18" s="140"/>
    </row>
    <row r="19" spans="1:24" x14ac:dyDescent="0.25">
      <c r="A19" s="30"/>
      <c r="B19" s="34"/>
      <c r="C19" s="30"/>
      <c r="D19" s="35"/>
      <c r="E19" s="35"/>
      <c r="F19" s="147"/>
      <c r="G19" s="32"/>
      <c r="H19" s="116"/>
      <c r="I19" s="55"/>
      <c r="J19" s="138">
        <f t="shared" si="0"/>
        <v>0</v>
      </c>
      <c r="K19" s="139">
        <v>0.5</v>
      </c>
      <c r="L19" s="48"/>
      <c r="M19" s="49"/>
      <c r="N19" s="30"/>
      <c r="O19" s="30"/>
      <c r="P19" s="35"/>
      <c r="Q19" s="35"/>
      <c r="R19" s="35"/>
      <c r="S19" s="35"/>
      <c r="T19" s="35"/>
      <c r="U19" s="35"/>
      <c r="V19" s="52"/>
      <c r="W19" s="54"/>
      <c r="X19" s="140"/>
    </row>
    <row r="20" spans="1:24" x14ac:dyDescent="0.25">
      <c r="A20" s="30"/>
      <c r="B20" s="34"/>
      <c r="C20" s="30"/>
      <c r="D20" s="35"/>
      <c r="E20" s="35"/>
      <c r="F20" s="147"/>
      <c r="G20" s="32"/>
      <c r="H20" s="116"/>
      <c r="I20" s="55"/>
      <c r="J20" s="138">
        <f t="shared" si="0"/>
        <v>0</v>
      </c>
      <c r="K20" s="139">
        <v>0.5</v>
      </c>
      <c r="L20" s="48"/>
      <c r="M20" s="49"/>
      <c r="N20" s="30"/>
      <c r="O20" s="30"/>
      <c r="P20" s="35"/>
      <c r="Q20" s="35"/>
      <c r="R20" s="35"/>
      <c r="S20" s="35"/>
      <c r="T20" s="35"/>
      <c r="U20" s="35"/>
      <c r="V20" s="52"/>
      <c r="W20" s="54"/>
      <c r="X20" s="140"/>
    </row>
    <row r="21" spans="1:24" x14ac:dyDescent="0.25">
      <c r="A21" s="30"/>
      <c r="B21" s="34"/>
      <c r="C21" s="30"/>
      <c r="D21" s="35"/>
      <c r="E21" s="35"/>
      <c r="F21" s="32"/>
      <c r="G21" s="32"/>
      <c r="H21" s="116"/>
      <c r="I21" s="55"/>
      <c r="J21" s="138">
        <f t="shared" si="0"/>
        <v>0</v>
      </c>
      <c r="K21" s="139">
        <v>0.5</v>
      </c>
      <c r="L21" s="48"/>
      <c r="M21" s="56"/>
      <c r="N21" s="57"/>
      <c r="O21" s="58"/>
      <c r="P21" s="59"/>
      <c r="Q21" s="59"/>
      <c r="R21" s="59"/>
      <c r="S21" s="59"/>
      <c r="T21" s="59"/>
      <c r="U21" s="59"/>
      <c r="V21" s="60"/>
      <c r="W21" s="61"/>
      <c r="X21" s="140"/>
    </row>
    <row r="22" spans="1:24" x14ac:dyDescent="0.25">
      <c r="A22" s="30"/>
      <c r="B22" s="34"/>
      <c r="C22" s="30"/>
      <c r="D22" s="35"/>
      <c r="E22" s="35"/>
      <c r="F22" s="62"/>
      <c r="G22" s="62"/>
      <c r="H22" s="116"/>
      <c r="I22" s="55"/>
      <c r="J22" s="138">
        <f t="shared" si="0"/>
        <v>0</v>
      </c>
      <c r="K22" s="139">
        <v>0.5</v>
      </c>
      <c r="L22" s="48"/>
      <c r="M22" s="56"/>
      <c r="N22" s="57"/>
      <c r="O22" s="58"/>
      <c r="P22" s="59"/>
      <c r="Q22" s="59"/>
      <c r="R22" s="59"/>
      <c r="S22" s="59"/>
      <c r="T22" s="59"/>
      <c r="U22" s="59"/>
      <c r="V22" s="60"/>
      <c r="W22" s="61"/>
      <c r="X22" s="140"/>
    </row>
    <row r="23" spans="1:24" x14ac:dyDescent="0.25">
      <c r="A23" s="30"/>
      <c r="B23" s="34"/>
      <c r="C23" s="30"/>
      <c r="D23" s="35"/>
      <c r="E23" s="35" t="s">
        <v>23</v>
      </c>
      <c r="F23" s="117">
        <f>SUM(F6:F22)</f>
        <v>2931049.1799999997</v>
      </c>
      <c r="G23" s="117">
        <f>G6+G7</f>
        <v>1322593.5</v>
      </c>
      <c r="H23" s="116">
        <f>H6+H7+H8+H9+H10+H11</f>
        <v>2525.34</v>
      </c>
      <c r="I23" s="130">
        <f>SUM(I6:I22)</f>
        <v>304617.81</v>
      </c>
      <c r="J23" s="159">
        <f>SUM(J6:J22)</f>
        <v>152308.905</v>
      </c>
      <c r="K23" s="119"/>
      <c r="L23" s="48"/>
      <c r="M23" s="49"/>
      <c r="N23" s="30"/>
      <c r="O23" s="30"/>
      <c r="P23" s="35"/>
      <c r="Q23" s="35"/>
      <c r="R23" s="35"/>
      <c r="S23" s="35"/>
      <c r="T23" s="35"/>
      <c r="U23" s="35"/>
      <c r="V23" s="52"/>
      <c r="W23" s="54"/>
      <c r="X23" s="54"/>
    </row>
    <row r="24" spans="1:24" x14ac:dyDescent="0.25">
      <c r="A24" s="63"/>
      <c r="B24" s="64"/>
      <c r="C24" s="63"/>
      <c r="D24" s="65"/>
      <c r="E24" s="65"/>
      <c r="F24" s="66"/>
      <c r="G24" s="66"/>
      <c r="H24" s="67"/>
      <c r="I24" s="68"/>
      <c r="J24" s="69"/>
      <c r="K24" s="69"/>
      <c r="L24" s="48"/>
      <c r="M24" s="49"/>
      <c r="N24" s="30"/>
      <c r="O24" s="30"/>
      <c r="P24" s="35"/>
      <c r="Q24" s="35"/>
      <c r="R24" s="35"/>
      <c r="S24" s="35"/>
      <c r="T24" s="35"/>
      <c r="U24" s="35"/>
      <c r="V24" s="52"/>
      <c r="W24" s="70"/>
      <c r="X24" s="70"/>
    </row>
    <row r="25" spans="1:24" x14ac:dyDescent="0.25">
      <c r="A25" s="63"/>
      <c r="B25" s="64"/>
      <c r="C25" s="63"/>
      <c r="D25" s="65"/>
      <c r="E25" s="65"/>
      <c r="F25" s="66"/>
      <c r="G25" s="66"/>
      <c r="H25" s="67"/>
      <c r="I25" s="71"/>
      <c r="J25" s="69"/>
      <c r="K25" s="69"/>
      <c r="L25" s="48"/>
      <c r="M25" s="49"/>
      <c r="N25" s="30"/>
      <c r="O25" s="30"/>
      <c r="P25" s="35"/>
      <c r="Q25" s="35"/>
      <c r="R25" s="35"/>
      <c r="S25" s="35"/>
      <c r="T25" s="35"/>
      <c r="U25" s="35"/>
      <c r="V25" s="52"/>
      <c r="W25" s="70"/>
      <c r="X25" s="70"/>
    </row>
    <row r="26" spans="1:24" x14ac:dyDescent="0.25">
      <c r="A26" s="63"/>
      <c r="B26" s="64"/>
      <c r="C26" s="63"/>
      <c r="D26" s="65"/>
      <c r="E26" s="65"/>
      <c r="F26" s="66"/>
      <c r="G26" s="66"/>
      <c r="H26" s="67"/>
      <c r="I26" s="71"/>
      <c r="J26" s="69"/>
      <c r="K26" s="69"/>
      <c r="L26" s="48"/>
      <c r="M26" s="49"/>
      <c r="N26" s="30"/>
      <c r="O26" s="30"/>
      <c r="P26" s="35"/>
      <c r="Q26" s="35"/>
      <c r="R26" s="35"/>
      <c r="S26" s="35"/>
      <c r="T26" s="35"/>
      <c r="U26" s="35"/>
      <c r="V26" s="52"/>
      <c r="W26" s="70"/>
      <c r="X26" s="70"/>
    </row>
    <row r="27" spans="1:24" x14ac:dyDescent="0.25">
      <c r="A27" s="63"/>
      <c r="B27" s="64"/>
      <c r="C27" s="63"/>
      <c r="D27" s="65"/>
      <c r="E27" s="65"/>
      <c r="F27" s="66"/>
      <c r="G27" s="66"/>
      <c r="H27" s="67"/>
      <c r="I27" s="71"/>
      <c r="J27" s="69"/>
      <c r="K27" s="69"/>
      <c r="L27" s="48"/>
      <c r="M27" s="49"/>
      <c r="N27" s="30"/>
      <c r="O27" s="35"/>
      <c r="P27" s="35"/>
      <c r="Q27" s="35"/>
      <c r="R27" s="35"/>
      <c r="S27" s="35"/>
      <c r="T27" s="35"/>
      <c r="U27" s="35"/>
      <c r="V27" s="52"/>
      <c r="W27" s="70"/>
      <c r="X27" s="70"/>
    </row>
    <row r="28" spans="1:24" x14ac:dyDescent="0.25">
      <c r="A28" s="63"/>
      <c r="B28" s="64"/>
      <c r="C28" s="63"/>
      <c r="D28" s="65"/>
      <c r="E28" s="65"/>
      <c r="F28" s="66"/>
      <c r="G28" s="66"/>
      <c r="H28" s="67"/>
      <c r="I28" s="71"/>
      <c r="J28" s="69"/>
      <c r="K28" s="69"/>
      <c r="L28" s="48"/>
      <c r="M28" s="49"/>
      <c r="N28" s="30"/>
      <c r="O28" s="35"/>
      <c r="P28" s="35"/>
      <c r="Q28" s="35"/>
      <c r="R28" s="35"/>
      <c r="S28" s="35"/>
      <c r="T28" s="35"/>
      <c r="U28" s="35"/>
      <c r="V28" s="52"/>
      <c r="W28" s="70"/>
      <c r="X28" s="70"/>
    </row>
    <row r="29" spans="1:24" x14ac:dyDescent="0.25">
      <c r="A29" s="72" t="s">
        <v>24</v>
      </c>
      <c r="B29" s="73"/>
      <c r="C29" s="160">
        <f>J5</f>
        <v>43696.32</v>
      </c>
      <c r="D29" s="2"/>
      <c r="E29" s="2"/>
      <c r="F29" s="66"/>
      <c r="G29" s="66"/>
      <c r="H29" s="75"/>
      <c r="I29" s="76"/>
      <c r="J29" s="69"/>
      <c r="K29" s="69"/>
      <c r="L29" s="48"/>
      <c r="M29" s="72" t="s">
        <v>24</v>
      </c>
      <c r="N29" s="73"/>
      <c r="O29" s="74"/>
      <c r="P29" s="77">
        <f>W5</f>
        <v>0</v>
      </c>
      <c r="Q29" s="65"/>
      <c r="R29" s="65"/>
      <c r="S29" s="65"/>
      <c r="T29" s="65"/>
      <c r="U29" s="65"/>
      <c r="V29" s="78"/>
      <c r="W29" s="79"/>
      <c r="X29" s="79"/>
    </row>
    <row r="30" spans="1:24" x14ac:dyDescent="0.25">
      <c r="A30" s="1" t="s">
        <v>25</v>
      </c>
      <c r="B30" s="80"/>
      <c r="C30" s="81">
        <f>J23</f>
        <v>152308.905</v>
      </c>
      <c r="D30" s="2"/>
      <c r="E30" s="2"/>
      <c r="F30" s="66"/>
      <c r="G30" s="66"/>
      <c r="H30" s="67"/>
      <c r="I30" s="82"/>
      <c r="J30" s="83"/>
      <c r="K30" s="83"/>
      <c r="L30" s="48"/>
      <c r="M30" s="1" t="s">
        <v>26</v>
      </c>
      <c r="N30" s="80"/>
      <c r="O30" s="81"/>
      <c r="P30" s="2">
        <f>W16</f>
        <v>2587.585</v>
      </c>
      <c r="Q30" s="65"/>
      <c r="R30" s="65"/>
      <c r="S30" s="65"/>
      <c r="T30" s="65"/>
      <c r="U30" s="65"/>
      <c r="V30" s="78"/>
      <c r="W30" s="79"/>
      <c r="X30" s="79"/>
    </row>
    <row r="31" spans="1:24" x14ac:dyDescent="0.25">
      <c r="A31" s="1" t="s">
        <v>27</v>
      </c>
      <c r="B31" s="80"/>
      <c r="C31" s="81"/>
      <c r="D31" s="65"/>
      <c r="E31" s="65"/>
      <c r="F31" s="84"/>
      <c r="G31" s="84"/>
      <c r="H31" s="85"/>
      <c r="I31" s="65"/>
      <c r="J31" s="78"/>
      <c r="K31" s="78"/>
      <c r="L31" s="48"/>
      <c r="M31" s="1" t="s">
        <v>28</v>
      </c>
      <c r="N31" s="80"/>
      <c r="O31" s="81"/>
      <c r="P31" s="2">
        <f>H6+H7+H8+H9+H10+H11+H12</f>
        <v>6843.79</v>
      </c>
      <c r="Q31" s="65"/>
      <c r="R31" s="65"/>
      <c r="S31" s="65"/>
      <c r="T31" s="65"/>
      <c r="U31" s="65"/>
      <c r="V31" s="78"/>
      <c r="W31" s="79"/>
      <c r="X31" s="79"/>
    </row>
    <row r="32" spans="1:24" x14ac:dyDescent="0.25">
      <c r="A32" s="86"/>
      <c r="B32" s="1"/>
      <c r="C32" s="87"/>
      <c r="D32" s="87"/>
      <c r="E32" s="65"/>
      <c r="F32" s="78"/>
      <c r="G32" s="78"/>
      <c r="H32" s="65"/>
      <c r="I32" s="65"/>
      <c r="J32" s="78"/>
      <c r="K32" s="78"/>
      <c r="L32" s="48"/>
      <c r="M32" s="1"/>
      <c r="N32" s="1"/>
      <c r="O32" s="87"/>
      <c r="P32" s="87"/>
      <c r="Q32" s="65"/>
      <c r="R32" s="65"/>
      <c r="S32" s="65"/>
      <c r="T32" s="65"/>
      <c r="U32" s="65"/>
      <c r="V32" s="78"/>
      <c r="W32" s="79"/>
      <c r="X32" s="79"/>
    </row>
    <row r="33" spans="1:24" x14ac:dyDescent="0.25">
      <c r="A33" s="86"/>
      <c r="B33" s="1"/>
      <c r="C33" s="90"/>
      <c r="D33" s="65"/>
      <c r="E33" s="65"/>
      <c r="F33" s="78"/>
      <c r="G33" s="78"/>
      <c r="H33" s="65"/>
      <c r="I33" s="65"/>
      <c r="J33" s="91"/>
      <c r="K33" s="91"/>
      <c r="L33" s="3"/>
      <c r="M33" s="86"/>
      <c r="N33" s="1"/>
      <c r="O33" s="87"/>
      <c r="P33" s="87"/>
      <c r="Q33" s="87"/>
      <c r="R33" s="65"/>
      <c r="S33" s="65"/>
      <c r="T33" s="65"/>
      <c r="U33" s="65"/>
      <c r="V33" s="78"/>
      <c r="W33" s="79"/>
      <c r="X33" s="79"/>
    </row>
    <row r="34" spans="1:24" x14ac:dyDescent="0.25">
      <c r="A34" s="1"/>
      <c r="B34" s="80"/>
      <c r="C34" s="4"/>
      <c r="D34" s="65"/>
      <c r="E34" s="65"/>
      <c r="F34" s="65"/>
      <c r="G34" s="65"/>
      <c r="H34" s="65"/>
      <c r="I34" s="65"/>
      <c r="J34" s="65"/>
      <c r="K34" s="65"/>
      <c r="L34" s="48"/>
      <c r="M34" s="63"/>
      <c r="N34" s="63"/>
      <c r="O34" s="65"/>
      <c r="P34" s="65"/>
      <c r="Q34" s="65"/>
      <c r="R34" s="65"/>
      <c r="S34" s="65"/>
      <c r="T34" s="65"/>
      <c r="U34" s="63"/>
      <c r="V34" s="63"/>
      <c r="W34" s="63"/>
      <c r="X34" s="63"/>
    </row>
    <row r="35" spans="1:24" x14ac:dyDescent="0.25">
      <c r="A35" s="1"/>
      <c r="B35" s="80"/>
      <c r="C35" s="1"/>
      <c r="D35" s="2"/>
      <c r="E35" s="2"/>
      <c r="F35" s="2"/>
      <c r="G35" s="2"/>
      <c r="H35" s="2"/>
      <c r="I35" s="2"/>
      <c r="J35" s="2"/>
      <c r="K35" s="2"/>
      <c r="L35" s="3"/>
      <c r="M35" s="1"/>
      <c r="N35" s="1"/>
      <c r="O35" s="2"/>
      <c r="P35" s="2"/>
      <c r="Q35" s="2"/>
      <c r="R35" s="65"/>
      <c r="S35" s="65"/>
      <c r="T35" s="65"/>
      <c r="U35" s="63"/>
      <c r="V35" s="63"/>
      <c r="W35" s="63"/>
      <c r="X35" s="63"/>
    </row>
    <row r="36" spans="1:24" x14ac:dyDescent="0.25">
      <c r="A36" s="1"/>
      <c r="B36" s="80"/>
      <c r="C36" s="1"/>
      <c r="D36" s="2"/>
      <c r="E36" s="2"/>
      <c r="F36" s="2"/>
      <c r="G36" s="2"/>
      <c r="H36" s="2"/>
      <c r="I36" s="2"/>
      <c r="J36" s="2"/>
      <c r="K36" s="2"/>
      <c r="L36" s="3"/>
      <c r="M36" s="1"/>
      <c r="N36" s="80"/>
      <c r="O36" s="81"/>
      <c r="P36" s="2"/>
      <c r="Q36" s="2"/>
      <c r="R36" s="65"/>
      <c r="S36" s="65"/>
      <c r="T36" s="65"/>
      <c r="U36" s="65"/>
      <c r="V36" s="78"/>
      <c r="W36" s="79"/>
      <c r="X36" s="79"/>
    </row>
    <row r="37" spans="1:24" x14ac:dyDescent="0.25">
      <c r="A37" s="92"/>
      <c r="B37" s="92" t="s">
        <v>29</v>
      </c>
      <c r="C37" s="93">
        <f>C29+C30+C31+C32+C33</f>
        <v>196005.22500000001</v>
      </c>
      <c r="D37" s="93"/>
      <c r="E37" s="93"/>
      <c r="F37" s="93"/>
      <c r="G37" s="93"/>
      <c r="H37" s="93"/>
      <c r="I37" s="93"/>
      <c r="J37" s="93"/>
      <c r="K37" s="93"/>
      <c r="L37" s="94"/>
      <c r="M37" s="92"/>
      <c r="N37" s="95"/>
      <c r="O37" s="92" t="s">
        <v>29</v>
      </c>
      <c r="P37" s="93">
        <f>P29+P30+P31+P32+P33</f>
        <v>9431.375</v>
      </c>
      <c r="Q37" s="2"/>
      <c r="R37" s="65"/>
      <c r="S37" s="151"/>
      <c r="T37" s="151"/>
      <c r="U37" s="65"/>
      <c r="V37" s="78"/>
      <c r="W37" s="79"/>
      <c r="X37" s="79"/>
    </row>
    <row r="38" spans="1:24" x14ac:dyDescent="0.25">
      <c r="A38" s="1"/>
      <c r="B38" s="80"/>
      <c r="C38" s="81"/>
      <c r="D38" s="2"/>
      <c r="E38" s="2"/>
      <c r="F38" s="2"/>
      <c r="G38" s="2"/>
      <c r="H38" s="2"/>
      <c r="I38" s="2"/>
      <c r="J38" s="2"/>
      <c r="K38" s="2"/>
      <c r="L38" s="3"/>
      <c r="M38" s="1"/>
      <c r="N38" s="80"/>
      <c r="O38" s="81"/>
      <c r="P38" s="2" t="s">
        <v>93</v>
      </c>
      <c r="Q38" s="2"/>
      <c r="R38" s="65"/>
      <c r="S38" s="151"/>
      <c r="T38" s="151"/>
      <c r="U38" s="65"/>
      <c r="V38" s="78"/>
      <c r="W38" s="79"/>
      <c r="X38" s="79"/>
    </row>
    <row r="39" spans="1:24" x14ac:dyDescent="0.25">
      <c r="A39" s="107"/>
      <c r="B39" s="107"/>
      <c r="C39" s="107"/>
      <c r="D39" s="107"/>
      <c r="E39" s="107"/>
      <c r="F39" s="107"/>
      <c r="G39" s="107"/>
      <c r="H39" s="132"/>
      <c r="I39" s="132"/>
      <c r="J39" s="107"/>
      <c r="K39" s="107"/>
      <c r="L39" s="3"/>
      <c r="M39" s="107"/>
      <c r="N39" s="107"/>
      <c r="O39" s="107"/>
      <c r="P39" s="107"/>
      <c r="Q39" s="107"/>
      <c r="R39" s="107"/>
      <c r="S39" s="152"/>
      <c r="T39" s="152"/>
      <c r="U39" s="107"/>
      <c r="V39" s="107"/>
      <c r="W39" s="107"/>
      <c r="X39" s="107"/>
    </row>
    <row r="40" spans="1:24" x14ac:dyDescent="0.25">
      <c r="A40" s="107"/>
      <c r="B40" s="107"/>
      <c r="C40" s="107"/>
      <c r="D40" s="107"/>
      <c r="E40" s="107"/>
      <c r="F40" s="107"/>
      <c r="G40" s="107"/>
      <c r="H40" s="133" t="s">
        <v>23</v>
      </c>
      <c r="I40" s="134">
        <f>C37-P37</f>
        <v>186573.85</v>
      </c>
      <c r="J40" s="107"/>
      <c r="K40" s="107"/>
      <c r="L40" s="3"/>
      <c r="M40" s="107"/>
      <c r="N40" s="107"/>
      <c r="O40" s="107"/>
      <c r="P40" s="107"/>
      <c r="Q40" s="107"/>
      <c r="R40" s="107"/>
      <c r="S40" s="152"/>
      <c r="T40" s="152"/>
      <c r="U40" s="107"/>
      <c r="V40" s="107"/>
      <c r="W40" s="107"/>
      <c r="X40" s="107"/>
    </row>
    <row r="41" spans="1:24" x14ac:dyDescent="0.25">
      <c r="A41" s="107"/>
      <c r="B41" s="107"/>
      <c r="C41" s="107"/>
      <c r="D41" s="107"/>
      <c r="E41" s="107"/>
      <c r="F41" s="107"/>
      <c r="G41" s="107" t="s">
        <v>119</v>
      </c>
      <c r="H41" s="132"/>
      <c r="I41" s="162">
        <v>100000</v>
      </c>
      <c r="J41" s="107"/>
      <c r="K41" s="107"/>
      <c r="L41" s="3"/>
      <c r="M41" s="107"/>
      <c r="N41" s="107"/>
      <c r="O41" s="107"/>
      <c r="P41" s="107"/>
      <c r="Q41" s="107"/>
      <c r="R41" s="107"/>
      <c r="S41" s="153"/>
      <c r="T41" s="154"/>
      <c r="U41" s="107"/>
      <c r="V41" s="107"/>
      <c r="W41" s="107"/>
      <c r="X41" s="107"/>
    </row>
    <row r="42" spans="1:24" x14ac:dyDescent="0.25">
      <c r="A42" s="107"/>
      <c r="B42" s="107"/>
      <c r="C42" s="107"/>
      <c r="D42" s="107"/>
      <c r="E42" s="107"/>
      <c r="F42" s="107"/>
      <c r="G42" s="107" t="s">
        <v>124</v>
      </c>
      <c r="H42" s="107"/>
      <c r="I42" s="166">
        <v>85000</v>
      </c>
      <c r="J42" s="107"/>
      <c r="K42" s="107"/>
      <c r="L42" s="3"/>
      <c r="M42" s="107"/>
      <c r="N42" s="107"/>
      <c r="O42" s="107"/>
      <c r="P42" s="107"/>
      <c r="Q42" s="107"/>
      <c r="R42" s="107"/>
      <c r="S42" s="152"/>
      <c r="T42" s="152"/>
      <c r="U42" s="107"/>
      <c r="V42" s="107"/>
      <c r="W42" s="107"/>
      <c r="X42" s="107"/>
    </row>
    <row r="43" spans="1:24" x14ac:dyDescent="0.25">
      <c r="A43" s="107"/>
      <c r="B43" s="107"/>
      <c r="C43" s="107"/>
      <c r="D43" s="107"/>
      <c r="E43" s="107"/>
      <c r="F43" s="107"/>
      <c r="G43" s="107"/>
      <c r="H43" s="107" t="s">
        <v>30</v>
      </c>
      <c r="I43" s="161">
        <f>I40-I41-I42</f>
        <v>1573.8500000000058</v>
      </c>
      <c r="J43" s="107"/>
      <c r="K43" s="107"/>
      <c r="L43" s="3"/>
      <c r="M43" s="107"/>
      <c r="N43" s="107"/>
      <c r="O43" s="107"/>
      <c r="P43" s="107"/>
      <c r="Q43" s="107"/>
      <c r="R43" s="107"/>
      <c r="S43" s="152"/>
      <c r="T43" s="152"/>
      <c r="U43" s="107"/>
      <c r="V43" s="107"/>
      <c r="W43" s="107"/>
      <c r="X43" s="107"/>
    </row>
    <row r="44" spans="1:24" x14ac:dyDescent="0.25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3"/>
      <c r="M44" s="107"/>
      <c r="N44" s="107"/>
      <c r="O44" s="107"/>
      <c r="P44" s="107"/>
      <c r="Q44" s="107"/>
      <c r="R44" s="107"/>
      <c r="S44" s="152"/>
      <c r="T44" s="152"/>
      <c r="U44" s="107"/>
      <c r="V44" s="107"/>
      <c r="W44" s="107"/>
      <c r="X44" s="107"/>
    </row>
    <row r="45" spans="1:24" x14ac:dyDescent="0.25">
      <c r="S45" s="155"/>
      <c r="T45" s="155"/>
    </row>
    <row r="46" spans="1:24" x14ac:dyDescent="0.25">
      <c r="S46" s="155"/>
      <c r="T46" s="155"/>
    </row>
  </sheetData>
  <conditionalFormatting sqref="C1:C5 O5:Q10 C10">
    <cfRule type="cellIs" dxfId="157" priority="14" operator="equal">
      <formula>15698.2</formula>
    </cfRule>
  </conditionalFormatting>
  <conditionalFormatting sqref="C32:G32">
    <cfRule type="cellIs" dxfId="156" priority="18" operator="equal">
      <formula>15698.2</formula>
    </cfRule>
  </conditionalFormatting>
  <conditionalFormatting sqref="D16:G31">
    <cfRule type="cellIs" dxfId="155" priority="11" operator="equal">
      <formula>"kapalı"</formula>
    </cfRule>
  </conditionalFormatting>
  <conditionalFormatting sqref="D33:G38">
    <cfRule type="cellIs" dxfId="154" priority="19" operator="equal">
      <formula>15698.2</formula>
    </cfRule>
  </conditionalFormatting>
  <conditionalFormatting sqref="D1:I4 D5:E5 E6:E13 H19:H22 H24:H30 H31:I38">
    <cfRule type="cellIs" dxfId="153" priority="36" operator="equal">
      <formula>"K.KART"</formula>
    </cfRule>
  </conditionalFormatting>
  <conditionalFormatting sqref="E14:G15">
    <cfRule type="cellIs" dxfId="152" priority="12" operator="equal">
      <formula>"kapalı"</formula>
    </cfRule>
  </conditionalFormatting>
  <conditionalFormatting sqref="E32:G32 D33:G38">
    <cfRule type="cellIs" dxfId="151" priority="20" operator="equal">
      <formula>"kapalı"</formula>
    </cfRule>
  </conditionalFormatting>
  <conditionalFormatting sqref="F11 F12:G13">
    <cfRule type="cellIs" dxfId="150" priority="13" operator="equal">
      <formula>"kapalı"</formula>
    </cfRule>
  </conditionalFormatting>
  <conditionalFormatting sqref="F11">
    <cfRule type="cellIs" dxfId="149" priority="41" operator="equal">
      <formula>"K.KART"</formula>
    </cfRule>
  </conditionalFormatting>
  <conditionalFormatting sqref="F5:G5">
    <cfRule type="cellIs" dxfId="148" priority="21" operator="equal">
      <formula>15698.2</formula>
    </cfRule>
  </conditionalFormatting>
  <conditionalFormatting sqref="F5:G9 D6:D13">
    <cfRule type="cellIs" dxfId="147" priority="5" operator="equal">
      <formula>"kapalı"</formula>
    </cfRule>
  </conditionalFormatting>
  <conditionalFormatting sqref="F6:G6">
    <cfRule type="cellIs" dxfId="146" priority="7" operator="equal">
      <formula>"K.KART"</formula>
    </cfRule>
  </conditionalFormatting>
  <conditionalFormatting sqref="F8:G8">
    <cfRule type="cellIs" dxfId="145" priority="8" operator="equal">
      <formula>"K.KART"</formula>
    </cfRule>
  </conditionalFormatting>
  <conditionalFormatting sqref="F13:G13">
    <cfRule type="cellIs" dxfId="144" priority="42" operator="equal">
      <formula>"K.KART"</formula>
    </cfRule>
  </conditionalFormatting>
  <conditionalFormatting sqref="H18">
    <cfRule type="cellIs" dxfId="143" priority="25" operator="equal">
      <formula>"K.KART"</formula>
    </cfRule>
  </conditionalFormatting>
  <conditionalFormatting sqref="H5:I9">
    <cfRule type="cellIs" dxfId="142" priority="6" operator="equal">
      <formula>"K.KART"</formula>
    </cfRule>
  </conditionalFormatting>
  <conditionalFormatting sqref="H10:I12">
    <cfRule type="cellIs" dxfId="141" priority="9" operator="equal">
      <formula>"K.KART"</formula>
    </cfRule>
  </conditionalFormatting>
  <conditionalFormatting sqref="I13">
    <cfRule type="cellIs" dxfId="140" priority="10" operator="equal">
      <formula>"K.KART"</formula>
    </cfRule>
  </conditionalFormatting>
  <conditionalFormatting sqref="I24:I28 I30">
    <cfRule type="cellIs" dxfId="139" priority="26" operator="equal">
      <formula>"K.KART"</formula>
    </cfRule>
  </conditionalFormatting>
  <conditionalFormatting sqref="O4:P4">
    <cfRule type="cellIs" dxfId="138" priority="28" operator="equal">
      <formula>"kapalı"</formula>
    </cfRule>
    <cfRule type="cellIs" dxfId="137" priority="27" operator="equal">
      <formula>15698.2</formula>
    </cfRule>
  </conditionalFormatting>
  <conditionalFormatting sqref="O11:P11">
    <cfRule type="cellIs" dxfId="136" priority="31" operator="equal">
      <formula>"kapalı"</formula>
    </cfRule>
    <cfRule type="cellIs" dxfId="135" priority="30" operator="equal">
      <formula>15698.2</formula>
    </cfRule>
  </conditionalFormatting>
  <conditionalFormatting sqref="O1:Q3 O12:Q12">
    <cfRule type="cellIs" dxfId="134" priority="39" operator="equal">
      <formula>"KAPALI"</formula>
    </cfRule>
    <cfRule type="cellIs" dxfId="133" priority="40" operator="equal">
      <formula>"açık"</formula>
    </cfRule>
  </conditionalFormatting>
  <conditionalFormatting sqref="O1:Q3 P11:Q31 O12 O27:O31 O33:O36 P33:Q38 O38">
    <cfRule type="cellIs" dxfId="132" priority="37" operator="equal">
      <formula>15698.2</formula>
    </cfRule>
  </conditionalFormatting>
  <conditionalFormatting sqref="O5:Q10 C32:D32">
    <cfRule type="cellIs" dxfId="131" priority="17" operator="equal">
      <formula>"açık"</formula>
    </cfRule>
    <cfRule type="cellIs" dxfId="130" priority="16" operator="equal">
      <formula>"KAPALI"</formula>
    </cfRule>
  </conditionalFormatting>
  <conditionalFormatting sqref="O27:Q36">
    <cfRule type="cellIs" dxfId="129" priority="3" operator="equal">
      <formula>"açık"</formula>
    </cfRule>
    <cfRule type="cellIs" dxfId="128" priority="2" operator="equal">
      <formula>"KAPALI"</formula>
    </cfRule>
  </conditionalFormatting>
  <conditionalFormatting sqref="O32:Q32">
    <cfRule type="cellIs" dxfId="127" priority="4" operator="equal">
      <formula>15698.2</formula>
    </cfRule>
  </conditionalFormatting>
  <conditionalFormatting sqref="P33">
    <cfRule type="cellIs" dxfId="126" priority="1" operator="equal">
      <formula>15698.2</formula>
    </cfRule>
  </conditionalFormatting>
  <conditionalFormatting sqref="P10:Q28 Q29:Q30">
    <cfRule type="cellIs" dxfId="125" priority="33" operator="equal">
      <formula>"kapalı"</formula>
    </cfRule>
  </conditionalFormatting>
  <conditionalFormatting sqref="P37:Q37 O38:Q38">
    <cfRule type="cellIs" dxfId="124" priority="34" operator="equal">
      <formula>"KAPALI"</formula>
    </cfRule>
    <cfRule type="cellIs" dxfId="123" priority="35" operator="equal">
      <formula>"açık"</formula>
    </cfRule>
  </conditionalFormatting>
  <conditionalFormatting sqref="Q11 S11:V11">
    <cfRule type="cellIs" dxfId="122" priority="32" operator="equal">
      <formula>"K.KART"</formula>
    </cfRule>
  </conditionalFormatting>
  <conditionalFormatting sqref="Q4:W4">
    <cfRule type="cellIs" dxfId="121" priority="29" operator="equal">
      <formula>"K.KART"</formula>
    </cfRule>
  </conditionalFormatting>
  <conditionalFormatting sqref="R5:R12 D10 H13:H17">
    <cfRule type="cellIs" dxfId="120" priority="15" operator="equal">
      <formula>"K.KART"</formula>
    </cfRule>
  </conditionalFormatting>
  <conditionalFormatting sqref="R13:R17 C37">
    <cfRule type="cellIs" dxfId="119" priority="23" operator="equal">
      <formula>15698.2</formula>
    </cfRule>
    <cfRule type="cellIs" dxfId="118" priority="24" operator="equal">
      <formula>"kapalı"</formula>
    </cfRule>
  </conditionalFormatting>
  <conditionalFormatting sqref="R1:T3 R15:R38">
    <cfRule type="cellIs" dxfId="117" priority="38" operator="equal">
      <formula>"K.KART"</formula>
    </cfRule>
  </conditionalFormatting>
  <conditionalFormatting sqref="S10:T38">
    <cfRule type="cellIs" dxfId="116" priority="22" operator="equal">
      <formula>"K.KART"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E538-3DAF-4CAB-B1E4-C5D2A9968306}">
  <dimension ref="A1:X45"/>
  <sheetViews>
    <sheetView workbookViewId="0">
      <selection activeCell="M4" sqref="M4"/>
    </sheetView>
  </sheetViews>
  <sheetFormatPr defaultRowHeight="15" x14ac:dyDescent="0.25"/>
  <cols>
    <col min="1" max="1" width="21.85546875" customWidth="1"/>
    <col min="2" max="2" width="12.140625" customWidth="1"/>
    <col min="3" max="3" width="12.28515625" customWidth="1"/>
    <col min="5" max="5" width="10.5703125" customWidth="1"/>
    <col min="6" max="6" width="12.28515625" customWidth="1"/>
    <col min="7" max="7" width="11.42578125" customWidth="1"/>
    <col min="8" max="8" width="14.42578125" customWidth="1"/>
    <col min="9" max="9" width="11.5703125" customWidth="1"/>
    <col min="10" max="10" width="14" customWidth="1"/>
    <col min="11" max="11" width="6.42578125" customWidth="1"/>
    <col min="12" max="12" width="2.42578125" customWidth="1"/>
    <col min="13" max="13" width="22.28515625" customWidth="1"/>
    <col min="14" max="14" width="12" customWidth="1"/>
    <col min="15" max="15" width="15.5703125" customWidth="1"/>
    <col min="16" max="16" width="12" customWidth="1"/>
    <col min="19" max="19" width="13" customWidth="1"/>
    <col min="20" max="20" width="12.140625" customWidth="1"/>
    <col min="21" max="21" width="11.28515625" customWidth="1"/>
    <col min="22" max="22" width="11.85546875" customWidth="1"/>
    <col min="23" max="23" width="12.140625" customWidth="1"/>
    <col min="24" max="24" width="5.5703125" customWidth="1"/>
  </cols>
  <sheetData>
    <row r="1" spans="1:2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1"/>
      <c r="N1" s="1"/>
      <c r="O1" s="2"/>
      <c r="P1" s="2"/>
      <c r="Q1" s="2"/>
      <c r="R1" s="2"/>
      <c r="S1" s="2"/>
      <c r="T1" s="2"/>
      <c r="U1" s="2"/>
      <c r="V1" s="4"/>
      <c r="W1" s="5"/>
      <c r="X1" s="5"/>
    </row>
    <row r="2" spans="1:24" x14ac:dyDescent="0.25">
      <c r="A2" s="6" t="s">
        <v>0</v>
      </c>
      <c r="B2" s="6"/>
      <c r="C2" s="7"/>
      <c r="D2" s="7"/>
      <c r="E2" s="7"/>
      <c r="F2" s="7"/>
      <c r="G2" s="7"/>
      <c r="H2" s="7"/>
      <c r="I2" s="7"/>
      <c r="J2" s="7"/>
      <c r="K2" s="7"/>
      <c r="L2" s="3"/>
      <c r="M2" s="6" t="s">
        <v>1</v>
      </c>
      <c r="N2" s="6"/>
      <c r="O2" s="7"/>
      <c r="P2" s="7"/>
      <c r="Q2" s="7"/>
      <c r="R2" s="7"/>
      <c r="S2" s="7"/>
      <c r="T2" s="7"/>
      <c r="U2" s="7"/>
      <c r="V2" s="8"/>
      <c r="W2" s="9"/>
      <c r="X2" s="9"/>
    </row>
    <row r="3" spans="1:24" x14ac:dyDescent="0.25">
      <c r="A3" s="10" t="s">
        <v>114</v>
      </c>
      <c r="B3" s="10">
        <v>2025</v>
      </c>
      <c r="C3" s="11"/>
      <c r="D3" s="11"/>
      <c r="E3" s="11"/>
      <c r="F3" s="11"/>
      <c r="G3" s="11"/>
      <c r="H3" s="11"/>
      <c r="I3" s="11"/>
      <c r="J3" s="11"/>
      <c r="K3" s="11"/>
      <c r="L3" s="12"/>
      <c r="M3" s="10" t="s">
        <v>114</v>
      </c>
      <c r="N3" s="10">
        <v>2025</v>
      </c>
      <c r="O3" s="11"/>
      <c r="P3" s="11"/>
      <c r="Q3" s="11"/>
      <c r="R3" s="11"/>
      <c r="S3" s="11"/>
      <c r="T3" s="11"/>
      <c r="U3" s="11"/>
      <c r="V3" s="13"/>
      <c r="W3" s="14"/>
      <c r="X3" s="14"/>
    </row>
    <row r="4" spans="1:24" ht="25.5" x14ac:dyDescent="0.25">
      <c r="A4" s="15" t="s">
        <v>2</v>
      </c>
      <c r="B4" s="15" t="s">
        <v>3</v>
      </c>
      <c r="C4" s="16" t="s">
        <v>4</v>
      </c>
      <c r="D4" s="16" t="s">
        <v>5</v>
      </c>
      <c r="E4" s="16" t="s">
        <v>6</v>
      </c>
      <c r="F4" s="17" t="s">
        <v>68</v>
      </c>
      <c r="G4" s="17" t="s">
        <v>69</v>
      </c>
      <c r="H4" s="16" t="s">
        <v>8</v>
      </c>
      <c r="I4" s="16" t="s">
        <v>9</v>
      </c>
      <c r="J4" s="18" t="s">
        <v>10</v>
      </c>
      <c r="K4" s="18" t="s">
        <v>81</v>
      </c>
      <c r="L4" s="19"/>
      <c r="M4" s="15" t="s">
        <v>2</v>
      </c>
      <c r="N4" s="15" t="s">
        <v>3</v>
      </c>
      <c r="O4" s="16" t="s">
        <v>4</v>
      </c>
      <c r="P4" s="16" t="s">
        <v>11</v>
      </c>
      <c r="Q4" s="16" t="s">
        <v>5</v>
      </c>
      <c r="R4" s="16" t="s">
        <v>6</v>
      </c>
      <c r="S4" s="16" t="s">
        <v>68</v>
      </c>
      <c r="T4" s="16" t="s">
        <v>69</v>
      </c>
      <c r="U4" s="16" t="s">
        <v>8</v>
      </c>
      <c r="V4" s="18" t="s">
        <v>9</v>
      </c>
      <c r="W4" s="18" t="s">
        <v>12</v>
      </c>
      <c r="X4" s="18" t="s">
        <v>81</v>
      </c>
    </row>
    <row r="5" spans="1:24" x14ac:dyDescent="0.25">
      <c r="A5" s="20" t="s">
        <v>13</v>
      </c>
      <c r="B5" s="20"/>
      <c r="C5" s="21"/>
      <c r="D5" s="21"/>
      <c r="E5" s="21"/>
      <c r="F5" s="22"/>
      <c r="G5" s="22"/>
      <c r="H5" s="23"/>
      <c r="I5" s="21"/>
      <c r="J5" s="163">
        <v>1573.85</v>
      </c>
      <c r="K5" s="24"/>
      <c r="L5" s="25"/>
      <c r="M5" s="26" t="s">
        <v>13</v>
      </c>
      <c r="N5" s="20"/>
      <c r="O5" s="21"/>
      <c r="P5" s="21"/>
      <c r="Q5" s="21"/>
      <c r="R5" s="21"/>
      <c r="S5" s="21"/>
      <c r="T5" s="21"/>
      <c r="U5" s="21"/>
      <c r="V5" s="27"/>
      <c r="W5" s="28"/>
      <c r="X5" s="24"/>
    </row>
    <row r="6" spans="1:24" x14ac:dyDescent="0.25">
      <c r="A6" s="29" t="s">
        <v>22</v>
      </c>
      <c r="B6" s="34">
        <v>45812</v>
      </c>
      <c r="C6" s="30">
        <v>577776263</v>
      </c>
      <c r="D6" s="35" t="s">
        <v>15</v>
      </c>
      <c r="E6" s="146" t="s">
        <v>32</v>
      </c>
      <c r="F6" s="147">
        <v>15151.72</v>
      </c>
      <c r="G6" s="32"/>
      <c r="H6" s="40">
        <v>2525.34</v>
      </c>
      <c r="I6" s="123"/>
      <c r="J6" s="138">
        <f t="shared" ref="J6:J21" si="0">I6*K6</f>
        <v>0</v>
      </c>
      <c r="K6" s="139">
        <v>0.5</v>
      </c>
      <c r="L6" s="25"/>
      <c r="M6" s="126"/>
      <c r="N6" s="136"/>
      <c r="O6" s="137"/>
      <c r="P6" s="123"/>
      <c r="Q6" s="123"/>
      <c r="R6" s="123"/>
      <c r="S6" s="123"/>
      <c r="T6" s="123"/>
      <c r="U6" s="123"/>
      <c r="V6" s="123"/>
      <c r="W6" s="138">
        <f t="shared" ref="W6:W13" si="1">V6*X6</f>
        <v>0</v>
      </c>
      <c r="X6" s="139">
        <v>0.5</v>
      </c>
    </row>
    <row r="7" spans="1:24" x14ac:dyDescent="0.25">
      <c r="A7" s="29" t="s">
        <v>18</v>
      </c>
      <c r="B7" s="34">
        <v>45919</v>
      </c>
      <c r="C7" s="30">
        <v>603418429</v>
      </c>
      <c r="D7" s="35" t="s">
        <v>15</v>
      </c>
      <c r="E7" s="149" t="s">
        <v>21</v>
      </c>
      <c r="F7" s="147">
        <v>25910.18</v>
      </c>
      <c r="G7" s="147">
        <v>24676.35</v>
      </c>
      <c r="H7" s="116">
        <v>4318.45</v>
      </c>
      <c r="I7" s="123"/>
      <c r="J7" s="138">
        <f t="shared" si="0"/>
        <v>0</v>
      </c>
      <c r="K7" s="139">
        <v>0.5</v>
      </c>
      <c r="L7" s="25"/>
      <c r="M7" s="126"/>
      <c r="N7" s="136"/>
      <c r="O7" s="137"/>
      <c r="P7" s="123"/>
      <c r="Q7" s="123"/>
      <c r="R7" s="123"/>
      <c r="S7" s="123"/>
      <c r="T7" s="123"/>
      <c r="U7" s="123"/>
      <c r="V7" s="123"/>
      <c r="W7" s="138">
        <f t="shared" si="1"/>
        <v>0</v>
      </c>
      <c r="X7" s="139">
        <v>0.5</v>
      </c>
    </row>
    <row r="8" spans="1:24" x14ac:dyDescent="0.25">
      <c r="A8" s="29" t="s">
        <v>109</v>
      </c>
      <c r="B8" s="34">
        <v>45936</v>
      </c>
      <c r="C8" s="30">
        <v>609156037</v>
      </c>
      <c r="D8" s="31" t="s">
        <v>35</v>
      </c>
      <c r="E8" s="123" t="s">
        <v>17</v>
      </c>
      <c r="F8" s="147">
        <v>13760.48</v>
      </c>
      <c r="G8" s="32">
        <v>12475.17</v>
      </c>
      <c r="H8" s="116"/>
      <c r="I8" s="123">
        <v>1247.5</v>
      </c>
      <c r="J8" s="138">
        <f t="shared" si="0"/>
        <v>623.75</v>
      </c>
      <c r="K8" s="139">
        <v>0.5</v>
      </c>
      <c r="L8" s="19"/>
      <c r="M8" s="126"/>
      <c r="N8" s="136"/>
      <c r="O8" s="137"/>
      <c r="P8" s="123"/>
      <c r="Q8" s="123"/>
      <c r="R8" s="123"/>
      <c r="S8" s="123"/>
      <c r="T8" s="123"/>
      <c r="U8" s="123"/>
      <c r="V8" s="142"/>
      <c r="W8" s="138">
        <f t="shared" si="1"/>
        <v>0</v>
      </c>
      <c r="X8" s="139">
        <v>0.5</v>
      </c>
    </row>
    <row r="9" spans="1:24" x14ac:dyDescent="0.25">
      <c r="A9" s="29" t="s">
        <v>109</v>
      </c>
      <c r="B9" s="34">
        <v>45936</v>
      </c>
      <c r="C9" s="30">
        <v>609156037</v>
      </c>
      <c r="D9" s="35" t="s">
        <v>115</v>
      </c>
      <c r="E9" s="123" t="s">
        <v>17</v>
      </c>
      <c r="F9" s="147">
        <v>100</v>
      </c>
      <c r="G9" s="147">
        <v>100</v>
      </c>
      <c r="H9" s="40"/>
      <c r="I9" s="40">
        <v>10</v>
      </c>
      <c r="J9" s="138">
        <f t="shared" si="0"/>
        <v>5</v>
      </c>
      <c r="K9" s="139">
        <v>0.5</v>
      </c>
      <c r="L9" s="19"/>
      <c r="M9" s="42"/>
      <c r="N9" s="34"/>
      <c r="O9" s="30"/>
      <c r="P9" s="35"/>
      <c r="Q9" s="35"/>
      <c r="R9" s="123"/>
      <c r="S9" s="35"/>
      <c r="T9" s="35"/>
      <c r="U9" s="35"/>
      <c r="V9" s="144"/>
      <c r="W9" s="138">
        <f t="shared" si="1"/>
        <v>0</v>
      </c>
      <c r="X9" s="139">
        <v>0.5</v>
      </c>
    </row>
    <row r="10" spans="1:24" x14ac:dyDescent="0.25">
      <c r="A10" s="29" t="s">
        <v>116</v>
      </c>
      <c r="B10" s="34">
        <v>45938</v>
      </c>
      <c r="C10" s="45">
        <v>609638432</v>
      </c>
      <c r="D10" s="35" t="s">
        <v>35</v>
      </c>
      <c r="E10" s="148" t="s">
        <v>17</v>
      </c>
      <c r="F10" s="147">
        <v>28846.73</v>
      </c>
      <c r="G10" s="147">
        <v>25979.98</v>
      </c>
      <c r="H10" s="40"/>
      <c r="I10" s="40">
        <v>2597.9</v>
      </c>
      <c r="J10" s="138">
        <f t="shared" si="0"/>
        <v>1298.95</v>
      </c>
      <c r="K10" s="139">
        <v>0.5</v>
      </c>
      <c r="L10" s="48"/>
      <c r="M10" s="120"/>
      <c r="N10" s="34"/>
      <c r="O10" s="30"/>
      <c r="P10" s="35"/>
      <c r="Q10" s="35"/>
      <c r="R10" s="123"/>
      <c r="S10" s="35"/>
      <c r="T10" s="35"/>
      <c r="U10" s="35"/>
      <c r="V10" s="145"/>
      <c r="W10" s="138">
        <f t="shared" si="1"/>
        <v>0</v>
      </c>
      <c r="X10" s="139">
        <v>0.5</v>
      </c>
    </row>
    <row r="11" spans="1:24" x14ac:dyDescent="0.25">
      <c r="A11" s="29" t="s">
        <v>116</v>
      </c>
      <c r="B11" s="34">
        <v>45938</v>
      </c>
      <c r="C11" s="45">
        <v>609638432</v>
      </c>
      <c r="D11" s="35" t="s">
        <v>115</v>
      </c>
      <c r="E11" s="148" t="s">
        <v>17</v>
      </c>
      <c r="F11" s="147">
        <v>100</v>
      </c>
      <c r="G11" s="147">
        <v>100</v>
      </c>
      <c r="H11" s="40"/>
      <c r="I11" s="40">
        <v>10</v>
      </c>
      <c r="J11" s="138">
        <f t="shared" si="0"/>
        <v>5</v>
      </c>
      <c r="K11" s="139">
        <v>0.5</v>
      </c>
      <c r="L11" s="48"/>
      <c r="M11" s="49"/>
      <c r="N11" s="34"/>
      <c r="O11" s="30"/>
      <c r="P11" s="35"/>
      <c r="Q11" s="35"/>
      <c r="R11" s="123"/>
      <c r="S11" s="35"/>
      <c r="T11" s="35"/>
      <c r="U11" s="35"/>
      <c r="V11" s="36"/>
      <c r="W11" s="138">
        <f t="shared" si="1"/>
        <v>0</v>
      </c>
      <c r="X11" s="139">
        <v>0.5</v>
      </c>
    </row>
    <row r="12" spans="1:24" x14ac:dyDescent="0.25">
      <c r="A12" s="29" t="s">
        <v>117</v>
      </c>
      <c r="B12" s="34">
        <v>45937</v>
      </c>
      <c r="C12" s="30">
        <v>609552128</v>
      </c>
      <c r="D12" s="35" t="s">
        <v>35</v>
      </c>
      <c r="E12" s="148" t="s">
        <v>17</v>
      </c>
      <c r="F12" s="147">
        <v>18843.16</v>
      </c>
      <c r="G12" s="147">
        <v>17011.18</v>
      </c>
      <c r="H12" s="40"/>
      <c r="I12" s="40">
        <v>1701.1</v>
      </c>
      <c r="J12" s="138">
        <f t="shared" si="0"/>
        <v>850.55</v>
      </c>
      <c r="K12" s="139">
        <v>0.5</v>
      </c>
      <c r="L12" s="48"/>
      <c r="M12" s="49"/>
      <c r="N12" s="34"/>
      <c r="O12" s="30"/>
      <c r="P12" s="35"/>
      <c r="Q12" s="35"/>
      <c r="R12" s="35"/>
      <c r="S12" s="35"/>
      <c r="T12" s="35"/>
      <c r="U12" s="35"/>
      <c r="V12" s="36"/>
      <c r="W12" s="138">
        <f t="shared" si="1"/>
        <v>0</v>
      </c>
      <c r="X12" s="139">
        <v>0.5</v>
      </c>
    </row>
    <row r="13" spans="1:24" x14ac:dyDescent="0.25">
      <c r="A13" s="29" t="s">
        <v>117</v>
      </c>
      <c r="B13" s="34">
        <v>45937</v>
      </c>
      <c r="C13" s="30">
        <v>609552128</v>
      </c>
      <c r="D13" s="31" t="s">
        <v>115</v>
      </c>
      <c r="E13" s="148" t="s">
        <v>17</v>
      </c>
      <c r="F13" s="147">
        <v>100</v>
      </c>
      <c r="G13" s="32">
        <v>100</v>
      </c>
      <c r="H13" s="116"/>
      <c r="I13" s="164">
        <v>10</v>
      </c>
      <c r="J13" s="138">
        <f t="shared" si="0"/>
        <v>5</v>
      </c>
      <c r="K13" s="139">
        <v>0.5</v>
      </c>
      <c r="L13" s="48"/>
      <c r="M13" s="49"/>
      <c r="N13" s="34"/>
      <c r="O13" s="30"/>
      <c r="P13" s="35"/>
      <c r="Q13" s="35"/>
      <c r="R13" s="35"/>
      <c r="S13" s="35"/>
      <c r="T13" s="35"/>
      <c r="U13" s="35"/>
      <c r="V13" s="36"/>
      <c r="W13" s="138">
        <f t="shared" si="1"/>
        <v>0</v>
      </c>
      <c r="X13" s="139">
        <v>0.5</v>
      </c>
    </row>
    <row r="14" spans="1:24" x14ac:dyDescent="0.25">
      <c r="A14" s="29" t="s">
        <v>118</v>
      </c>
      <c r="B14" s="34">
        <v>45940</v>
      </c>
      <c r="C14" s="30">
        <v>610400584</v>
      </c>
      <c r="D14" s="35" t="s">
        <v>35</v>
      </c>
      <c r="E14" s="148" t="s">
        <v>17</v>
      </c>
      <c r="F14" s="147">
        <v>10464.040000000001</v>
      </c>
      <c r="G14" s="32">
        <v>9504.3700000000008</v>
      </c>
      <c r="H14" s="116"/>
      <c r="I14" s="164">
        <v>950.4</v>
      </c>
      <c r="J14" s="138">
        <f t="shared" si="0"/>
        <v>475.2</v>
      </c>
      <c r="K14" s="139">
        <v>0.5</v>
      </c>
      <c r="L14" s="48"/>
      <c r="M14" s="49"/>
      <c r="N14" s="30"/>
      <c r="O14" s="30"/>
      <c r="P14" s="35"/>
      <c r="Q14" s="35"/>
      <c r="R14" s="35" t="s">
        <v>23</v>
      </c>
      <c r="S14" s="35">
        <f>S6+S7+S8+S9+S10+S11+S12+S13</f>
        <v>0</v>
      </c>
      <c r="T14" s="35">
        <f>T6+T7+T8+T9+T11+T12+T10+T13</f>
        <v>0</v>
      </c>
      <c r="U14" s="35">
        <f>U6+U7</f>
        <v>0</v>
      </c>
      <c r="V14" s="52">
        <f>V6+V7+V8+V9+V10+V11+V12+V13</f>
        <v>0</v>
      </c>
      <c r="W14" s="33" t="e">
        <f>W6+W7+#REF!+W8+W9+W10+W11+W12+W13+#REF!</f>
        <v>#REF!</v>
      </c>
      <c r="X14" s="139">
        <v>0.5</v>
      </c>
    </row>
    <row r="15" spans="1:24" x14ac:dyDescent="0.25">
      <c r="A15" s="29" t="s">
        <v>76</v>
      </c>
      <c r="B15" s="34">
        <v>45949</v>
      </c>
      <c r="C15" s="30">
        <v>611096463</v>
      </c>
      <c r="D15" s="35" t="s">
        <v>35</v>
      </c>
      <c r="E15" s="148" t="s">
        <v>17</v>
      </c>
      <c r="F15" s="147">
        <v>7382.06</v>
      </c>
      <c r="G15" s="32">
        <v>6591.12</v>
      </c>
      <c r="H15" s="116"/>
      <c r="I15" s="164">
        <v>659</v>
      </c>
      <c r="J15" s="138">
        <f t="shared" si="0"/>
        <v>329.5</v>
      </c>
      <c r="K15" s="139">
        <v>0.5</v>
      </c>
      <c r="L15" s="48"/>
      <c r="M15" s="49"/>
      <c r="N15" s="30"/>
      <c r="O15" s="30"/>
      <c r="P15" s="35"/>
      <c r="Q15" s="35"/>
      <c r="R15" s="35"/>
      <c r="S15" s="35"/>
      <c r="T15" s="35"/>
      <c r="U15" s="35"/>
      <c r="V15" s="52"/>
      <c r="W15" s="54"/>
      <c r="X15" s="140"/>
    </row>
    <row r="16" spans="1:24" x14ac:dyDescent="0.25">
      <c r="A16" s="29" t="s">
        <v>120</v>
      </c>
      <c r="B16" s="34">
        <v>45945</v>
      </c>
      <c r="C16" s="30">
        <v>611337701</v>
      </c>
      <c r="D16" s="35" t="s">
        <v>35</v>
      </c>
      <c r="E16" s="148" t="s">
        <v>17</v>
      </c>
      <c r="F16" s="147">
        <v>15838.26</v>
      </c>
      <c r="G16" s="32">
        <v>14298.44</v>
      </c>
      <c r="H16" s="116"/>
      <c r="I16" s="164">
        <v>1429.8</v>
      </c>
      <c r="J16" s="138">
        <f t="shared" si="0"/>
        <v>714.9</v>
      </c>
      <c r="K16" s="139">
        <v>0.5</v>
      </c>
      <c r="L16" s="48"/>
      <c r="M16" s="49"/>
      <c r="N16" s="30"/>
      <c r="O16" s="30"/>
      <c r="P16" s="35"/>
      <c r="Q16" s="35"/>
      <c r="R16" s="35"/>
      <c r="S16" s="35"/>
      <c r="T16" s="35"/>
      <c r="U16" s="35"/>
      <c r="V16" s="52"/>
      <c r="W16" s="54"/>
      <c r="X16" s="140"/>
    </row>
    <row r="17" spans="1:24" x14ac:dyDescent="0.25">
      <c r="A17" s="29" t="s">
        <v>120</v>
      </c>
      <c r="B17" s="34">
        <v>45945</v>
      </c>
      <c r="C17" s="30">
        <v>611337701</v>
      </c>
      <c r="D17" s="35" t="s">
        <v>115</v>
      </c>
      <c r="E17" s="148" t="s">
        <v>17</v>
      </c>
      <c r="F17" s="147">
        <v>100</v>
      </c>
      <c r="G17" s="32">
        <v>100</v>
      </c>
      <c r="H17" s="116"/>
      <c r="I17" s="165">
        <v>10</v>
      </c>
      <c r="J17" s="138">
        <f t="shared" si="0"/>
        <v>5</v>
      </c>
      <c r="K17" s="139">
        <v>0.5</v>
      </c>
      <c r="L17" s="48"/>
      <c r="M17" s="49"/>
      <c r="N17" s="30"/>
      <c r="O17" s="30"/>
      <c r="P17" s="35"/>
      <c r="Q17" s="35"/>
      <c r="R17" s="35"/>
      <c r="S17" s="35"/>
      <c r="T17" s="35"/>
      <c r="U17" s="35"/>
      <c r="V17" s="52"/>
      <c r="W17" s="54"/>
      <c r="X17" s="140"/>
    </row>
    <row r="18" spans="1:24" x14ac:dyDescent="0.25">
      <c r="A18" s="150" t="s">
        <v>121</v>
      </c>
      <c r="B18" s="34">
        <v>45948</v>
      </c>
      <c r="C18" s="30">
        <v>612716293</v>
      </c>
      <c r="D18" s="35" t="s">
        <v>35</v>
      </c>
      <c r="E18" s="148" t="s">
        <v>17</v>
      </c>
      <c r="F18" s="147">
        <v>7939.15</v>
      </c>
      <c r="G18" s="32">
        <v>7167.3</v>
      </c>
      <c r="H18" s="116"/>
      <c r="I18" s="165">
        <v>716.7</v>
      </c>
      <c r="J18" s="138">
        <f t="shared" si="0"/>
        <v>358.35</v>
      </c>
      <c r="K18" s="139">
        <v>0.5</v>
      </c>
      <c r="L18" s="48"/>
      <c r="M18" s="49"/>
      <c r="N18" s="30"/>
      <c r="O18" s="30"/>
      <c r="P18" s="35"/>
      <c r="Q18" s="35"/>
      <c r="R18" s="35"/>
      <c r="S18" s="35"/>
      <c r="T18" s="35"/>
      <c r="U18" s="35"/>
      <c r="V18" s="52"/>
      <c r="W18" s="54"/>
      <c r="X18" s="140"/>
    </row>
    <row r="19" spans="1:24" x14ac:dyDescent="0.25">
      <c r="A19" s="150" t="s">
        <v>121</v>
      </c>
      <c r="B19" s="34">
        <v>45948</v>
      </c>
      <c r="C19" s="30">
        <v>612716293</v>
      </c>
      <c r="D19" s="35" t="s">
        <v>115</v>
      </c>
      <c r="E19" s="148" t="s">
        <v>17</v>
      </c>
      <c r="F19" s="32">
        <v>100</v>
      </c>
      <c r="G19" s="32">
        <v>100</v>
      </c>
      <c r="H19" s="116"/>
      <c r="I19" s="165">
        <v>10</v>
      </c>
      <c r="J19" s="138">
        <f t="shared" si="0"/>
        <v>5</v>
      </c>
      <c r="K19" s="139">
        <v>0.5</v>
      </c>
      <c r="L19" s="48"/>
      <c r="M19" s="56"/>
      <c r="N19" s="57"/>
      <c r="O19" s="58"/>
      <c r="P19" s="59"/>
      <c r="Q19" s="59"/>
      <c r="R19" s="59"/>
      <c r="S19" s="59"/>
      <c r="T19" s="59"/>
      <c r="U19" s="59"/>
      <c r="V19" s="60"/>
      <c r="W19" s="61"/>
      <c r="X19" s="140"/>
    </row>
    <row r="20" spans="1:24" x14ac:dyDescent="0.25">
      <c r="A20" s="150" t="s">
        <v>122</v>
      </c>
      <c r="B20" s="34" t="s">
        <v>123</v>
      </c>
      <c r="C20" s="30">
        <v>613489267</v>
      </c>
      <c r="D20" s="35" t="s">
        <v>35</v>
      </c>
      <c r="E20" s="148" t="s">
        <v>17</v>
      </c>
      <c r="F20" s="32">
        <v>16546.86</v>
      </c>
      <c r="G20" s="32">
        <v>14938.13</v>
      </c>
      <c r="H20" s="116"/>
      <c r="I20" s="165">
        <v>1493.8</v>
      </c>
      <c r="J20" s="138">
        <f t="shared" ref="J20" si="2">I20*K20</f>
        <v>746.9</v>
      </c>
      <c r="K20" s="139">
        <v>0.5</v>
      </c>
      <c r="L20" s="48"/>
      <c r="M20" s="56"/>
      <c r="N20" s="57"/>
      <c r="O20" s="58"/>
      <c r="P20" s="59"/>
      <c r="Q20" s="59"/>
      <c r="R20" s="59"/>
      <c r="S20" s="59"/>
      <c r="T20" s="59"/>
      <c r="U20" s="59"/>
      <c r="V20" s="60"/>
      <c r="W20" s="61"/>
      <c r="X20" s="140"/>
    </row>
    <row r="21" spans="1:24" x14ac:dyDescent="0.25">
      <c r="A21" s="30"/>
      <c r="B21" s="34"/>
      <c r="C21" s="30"/>
      <c r="D21" s="35"/>
      <c r="E21" s="35"/>
      <c r="F21" s="62"/>
      <c r="G21" s="62"/>
      <c r="H21" s="116"/>
      <c r="I21" s="165"/>
      <c r="J21" s="138">
        <f t="shared" si="0"/>
        <v>0</v>
      </c>
      <c r="K21" s="139">
        <v>0.5</v>
      </c>
      <c r="L21" s="48"/>
      <c r="M21" s="56"/>
      <c r="N21" s="57"/>
      <c r="O21" s="58"/>
      <c r="P21" s="59"/>
      <c r="Q21" s="59"/>
      <c r="R21" s="59"/>
      <c r="S21" s="59"/>
      <c r="T21" s="59"/>
      <c r="U21" s="59"/>
      <c r="V21" s="60"/>
      <c r="W21" s="61"/>
      <c r="X21" s="140"/>
    </row>
    <row r="22" spans="1:24" x14ac:dyDescent="0.25">
      <c r="A22" s="30"/>
      <c r="B22" s="34"/>
      <c r="C22" s="30"/>
      <c r="D22" s="35"/>
      <c r="E22" s="35" t="s">
        <v>23</v>
      </c>
      <c r="F22" s="117">
        <f>SUM(F6:F21)</f>
        <v>161182.64000000001</v>
      </c>
      <c r="G22" s="117">
        <f>G6+G7</f>
        <v>24676.35</v>
      </c>
      <c r="H22" s="116">
        <f>H6+H7+H8+H9+H10</f>
        <v>6843.79</v>
      </c>
      <c r="I22" s="130">
        <f>SUM(I6:I21)</f>
        <v>10846.199999999999</v>
      </c>
      <c r="J22" s="119">
        <f>SUM(J6:J21)</f>
        <v>5423.0999999999995</v>
      </c>
      <c r="K22" s="119"/>
      <c r="L22" s="48"/>
      <c r="M22" s="49"/>
      <c r="N22" s="30"/>
      <c r="O22" s="30"/>
      <c r="P22" s="35"/>
      <c r="Q22" s="35"/>
      <c r="R22" s="35"/>
      <c r="S22" s="35"/>
      <c r="T22" s="35"/>
      <c r="U22" s="35"/>
      <c r="V22" s="52"/>
      <c r="W22" s="54"/>
      <c r="X22" s="54"/>
    </row>
    <row r="23" spans="1:24" x14ac:dyDescent="0.25">
      <c r="A23" s="63"/>
      <c r="B23" s="64"/>
      <c r="C23" s="63"/>
      <c r="D23" s="65"/>
      <c r="E23" s="65"/>
      <c r="F23" s="66"/>
      <c r="G23" s="66"/>
      <c r="H23" s="67"/>
      <c r="I23" s="68"/>
      <c r="J23" s="69"/>
      <c r="K23" s="69"/>
      <c r="L23" s="48"/>
      <c r="M23" s="49"/>
      <c r="N23" s="30"/>
      <c r="O23" s="30"/>
      <c r="P23" s="35"/>
      <c r="Q23" s="35"/>
      <c r="R23" s="35"/>
      <c r="S23" s="35"/>
      <c r="T23" s="35"/>
      <c r="U23" s="35"/>
      <c r="V23" s="52"/>
      <c r="W23" s="70"/>
      <c r="X23" s="70"/>
    </row>
    <row r="24" spans="1:24" x14ac:dyDescent="0.25">
      <c r="A24" s="63"/>
      <c r="B24" s="64"/>
      <c r="C24" s="63"/>
      <c r="D24" s="65"/>
      <c r="E24" s="65"/>
      <c r="F24" s="66"/>
      <c r="G24" s="66"/>
      <c r="H24" s="67"/>
      <c r="I24" s="71"/>
      <c r="J24" s="69"/>
      <c r="K24" s="69"/>
      <c r="L24" s="48"/>
      <c r="M24" s="49"/>
      <c r="N24" s="30"/>
      <c r="O24" s="30"/>
      <c r="P24" s="35"/>
      <c r="Q24" s="35"/>
      <c r="R24" s="35"/>
      <c r="S24" s="35"/>
      <c r="T24" s="35"/>
      <c r="U24" s="35"/>
      <c r="V24" s="52"/>
      <c r="W24" s="70"/>
      <c r="X24" s="70"/>
    </row>
    <row r="25" spans="1:24" x14ac:dyDescent="0.25">
      <c r="A25" s="63"/>
      <c r="B25" s="64"/>
      <c r="C25" s="63"/>
      <c r="D25" s="65"/>
      <c r="E25" s="65"/>
      <c r="F25" s="66"/>
      <c r="G25" s="66"/>
      <c r="H25" s="67"/>
      <c r="I25" s="71"/>
      <c r="J25" s="69"/>
      <c r="K25" s="69"/>
      <c r="L25" s="48"/>
      <c r="M25" s="49"/>
      <c r="N25" s="30"/>
      <c r="O25" s="30"/>
      <c r="P25" s="35"/>
      <c r="Q25" s="35"/>
      <c r="R25" s="35"/>
      <c r="S25" s="35"/>
      <c r="T25" s="35"/>
      <c r="U25" s="35"/>
      <c r="V25" s="52"/>
      <c r="W25" s="70"/>
      <c r="X25" s="70"/>
    </row>
    <row r="26" spans="1:24" x14ac:dyDescent="0.25">
      <c r="A26" s="63"/>
      <c r="B26" s="64"/>
      <c r="C26" s="63"/>
      <c r="D26" s="65"/>
      <c r="E26" s="65"/>
      <c r="F26" s="66"/>
      <c r="G26" s="66"/>
      <c r="H26" s="67"/>
      <c r="I26" s="71"/>
      <c r="J26" s="69"/>
      <c r="K26" s="69"/>
      <c r="L26" s="48"/>
      <c r="M26" s="49"/>
      <c r="N26" s="30"/>
      <c r="O26" s="35"/>
      <c r="P26" s="35"/>
      <c r="Q26" s="35"/>
      <c r="R26" s="35"/>
      <c r="S26" s="35"/>
      <c r="T26" s="35"/>
      <c r="U26" s="35"/>
      <c r="V26" s="52"/>
      <c r="W26" s="70"/>
      <c r="X26" s="70"/>
    </row>
    <row r="27" spans="1:24" x14ac:dyDescent="0.25">
      <c r="A27" s="63"/>
      <c r="B27" s="64"/>
      <c r="C27" s="63"/>
      <c r="D27" s="65"/>
      <c r="E27" s="65"/>
      <c r="F27" s="66"/>
      <c r="G27" s="66"/>
      <c r="H27" s="67"/>
      <c r="I27" s="71"/>
      <c r="J27" s="69"/>
      <c r="K27" s="69"/>
      <c r="L27" s="48"/>
      <c r="M27" s="49"/>
      <c r="N27" s="30"/>
      <c r="O27" s="35"/>
      <c r="P27" s="35"/>
      <c r="Q27" s="35"/>
      <c r="R27" s="35"/>
      <c r="S27" s="35"/>
      <c r="T27" s="35"/>
      <c r="U27" s="35"/>
      <c r="V27" s="52"/>
      <c r="W27" s="70"/>
      <c r="X27" s="70"/>
    </row>
    <row r="28" spans="1:24" x14ac:dyDescent="0.25">
      <c r="A28" s="72" t="s">
        <v>24</v>
      </c>
      <c r="B28" s="73"/>
      <c r="C28" s="74">
        <f>J5</f>
        <v>1573.85</v>
      </c>
      <c r="D28" s="2"/>
      <c r="E28" s="2"/>
      <c r="F28" s="66"/>
      <c r="G28" s="66"/>
      <c r="H28" s="75"/>
      <c r="I28" s="76"/>
      <c r="J28" s="69"/>
      <c r="K28" s="69"/>
      <c r="L28" s="48"/>
      <c r="M28" s="72" t="s">
        <v>24</v>
      </c>
      <c r="N28" s="73"/>
      <c r="O28" s="74"/>
      <c r="P28" s="77">
        <f>W5</f>
        <v>0</v>
      </c>
      <c r="Q28" s="65"/>
      <c r="R28" s="65"/>
      <c r="S28" s="65"/>
      <c r="T28" s="65"/>
      <c r="U28" s="65"/>
      <c r="V28" s="78"/>
      <c r="W28" s="79"/>
      <c r="X28" s="79"/>
    </row>
    <row r="29" spans="1:24" x14ac:dyDescent="0.25">
      <c r="A29" s="1" t="s">
        <v>25</v>
      </c>
      <c r="B29" s="80"/>
      <c r="C29" s="81">
        <f>J22</f>
        <v>5423.0999999999995</v>
      </c>
      <c r="D29" s="2"/>
      <c r="E29" s="2"/>
      <c r="F29" s="66"/>
      <c r="G29" s="66"/>
      <c r="H29" s="67"/>
      <c r="I29" s="82"/>
      <c r="J29" s="83"/>
      <c r="K29" s="83"/>
      <c r="L29" s="48"/>
      <c r="M29" s="1" t="s">
        <v>26</v>
      </c>
      <c r="N29" s="80"/>
      <c r="O29" s="81"/>
      <c r="P29" s="2">
        <f>H6</f>
        <v>2525.34</v>
      </c>
      <c r="Q29" s="65"/>
      <c r="R29" s="65"/>
      <c r="S29" s="65"/>
      <c r="T29" s="65"/>
      <c r="U29" s="65"/>
      <c r="V29" s="78"/>
      <c r="W29" s="79"/>
      <c r="X29" s="79"/>
    </row>
    <row r="30" spans="1:24" x14ac:dyDescent="0.25">
      <c r="A30" s="1" t="s">
        <v>27</v>
      </c>
      <c r="B30" s="80"/>
      <c r="C30" s="81"/>
      <c r="D30" s="65"/>
      <c r="E30" s="65"/>
      <c r="F30" s="84"/>
      <c r="G30" s="84"/>
      <c r="H30" s="85"/>
      <c r="I30" s="65"/>
      <c r="J30" s="78"/>
      <c r="K30" s="78"/>
      <c r="L30" s="48"/>
      <c r="M30" s="1" t="s">
        <v>28</v>
      </c>
      <c r="N30" s="80"/>
      <c r="O30" s="81"/>
      <c r="P30" s="2">
        <f>H6+H7+H8+H9+H10+H11</f>
        <v>6843.79</v>
      </c>
      <c r="Q30" s="65"/>
      <c r="R30" s="65"/>
      <c r="S30" s="65"/>
      <c r="T30" s="65"/>
      <c r="U30" s="65"/>
      <c r="V30" s="78"/>
      <c r="W30" s="79"/>
      <c r="X30" s="79"/>
    </row>
    <row r="31" spans="1:24" x14ac:dyDescent="0.25">
      <c r="A31" s="86"/>
      <c r="B31" s="1"/>
      <c r="C31" s="87"/>
      <c r="D31" s="87"/>
      <c r="E31" s="65"/>
      <c r="F31" s="78"/>
      <c r="G31" s="78"/>
      <c r="H31" s="65"/>
      <c r="I31" s="65"/>
      <c r="J31" s="78"/>
      <c r="K31" s="78"/>
      <c r="L31" s="48"/>
      <c r="M31" s="1" t="s">
        <v>125</v>
      </c>
      <c r="N31" s="1"/>
      <c r="O31" s="87"/>
      <c r="P31" s="87">
        <v>1100</v>
      </c>
      <c r="Q31" s="65"/>
      <c r="R31" s="65"/>
      <c r="S31" s="65"/>
      <c r="T31" s="65"/>
      <c r="U31" s="65"/>
      <c r="V31" s="78"/>
      <c r="W31" s="79"/>
      <c r="X31" s="79"/>
    </row>
    <row r="32" spans="1:24" x14ac:dyDescent="0.25">
      <c r="A32" s="86"/>
      <c r="B32" s="1"/>
      <c r="C32" s="90"/>
      <c r="D32" s="65"/>
      <c r="E32" s="65"/>
      <c r="F32" s="78"/>
      <c r="G32" s="78"/>
      <c r="H32" s="65"/>
      <c r="I32" s="65"/>
      <c r="J32" s="91"/>
      <c r="K32" s="91"/>
      <c r="L32" s="3"/>
      <c r="M32" s="86"/>
      <c r="N32" s="1"/>
      <c r="O32" s="87"/>
      <c r="P32" s="87"/>
      <c r="Q32" s="87"/>
      <c r="R32" s="65"/>
      <c r="S32" s="65"/>
      <c r="T32" s="65"/>
      <c r="U32" s="65"/>
      <c r="V32" s="78"/>
      <c r="W32" s="79"/>
      <c r="X32" s="79"/>
    </row>
    <row r="33" spans="1:24" x14ac:dyDescent="0.25">
      <c r="A33" s="1"/>
      <c r="B33" s="80"/>
      <c r="C33" s="4"/>
      <c r="D33" s="65"/>
      <c r="E33" s="65"/>
      <c r="F33" s="65"/>
      <c r="G33" s="65"/>
      <c r="H33" s="65"/>
      <c r="I33" s="65"/>
      <c r="J33" s="65"/>
      <c r="K33" s="65"/>
      <c r="L33" s="48"/>
      <c r="M33" s="63"/>
      <c r="N33" s="63"/>
      <c r="O33" s="65"/>
      <c r="P33" s="65"/>
      <c r="Q33" s="65"/>
      <c r="R33" s="65"/>
      <c r="S33" s="65"/>
      <c r="T33" s="65"/>
      <c r="U33" s="63"/>
      <c r="V33" s="63"/>
      <c r="W33" s="63"/>
      <c r="X33" s="63"/>
    </row>
    <row r="34" spans="1:24" x14ac:dyDescent="0.25">
      <c r="A34" s="1"/>
      <c r="B34" s="80"/>
      <c r="C34" s="1"/>
      <c r="D34" s="2"/>
      <c r="E34" s="2"/>
      <c r="F34" s="2"/>
      <c r="G34" s="2"/>
      <c r="H34" s="2"/>
      <c r="I34" s="2"/>
      <c r="J34" s="2"/>
      <c r="K34" s="2"/>
      <c r="L34" s="3"/>
      <c r="M34" s="1"/>
      <c r="N34" s="1"/>
      <c r="O34" s="2"/>
      <c r="P34" s="2"/>
      <c r="Q34" s="2"/>
      <c r="R34" s="65"/>
      <c r="S34" s="65"/>
      <c r="T34" s="65"/>
      <c r="U34" s="63"/>
      <c r="V34" s="63"/>
      <c r="W34" s="63"/>
      <c r="X34" s="63"/>
    </row>
    <row r="35" spans="1:24" x14ac:dyDescent="0.25">
      <c r="A35" s="1"/>
      <c r="B35" s="80"/>
      <c r="C35" s="1"/>
      <c r="D35" s="2"/>
      <c r="E35" s="2"/>
      <c r="F35" s="2"/>
      <c r="G35" s="2"/>
      <c r="H35" s="2"/>
      <c r="I35" s="2"/>
      <c r="J35" s="2"/>
      <c r="K35" s="2"/>
      <c r="L35" s="3"/>
      <c r="M35" s="1"/>
      <c r="N35" s="80"/>
      <c r="O35" s="81"/>
      <c r="P35" s="2"/>
      <c r="Q35" s="2"/>
      <c r="R35" s="65"/>
      <c r="S35" s="65"/>
      <c r="T35" s="65"/>
      <c r="U35" s="65"/>
      <c r="V35" s="78"/>
      <c r="W35" s="79"/>
      <c r="X35" s="79"/>
    </row>
    <row r="36" spans="1:24" x14ac:dyDescent="0.25">
      <c r="A36" s="92"/>
      <c r="B36" s="92" t="s">
        <v>29</v>
      </c>
      <c r="C36" s="93">
        <f>C28+C29+C30+C31+C32</f>
        <v>6996.9499999999989</v>
      </c>
      <c r="D36" s="93"/>
      <c r="E36" s="93"/>
      <c r="F36" s="93"/>
      <c r="G36" s="93"/>
      <c r="H36" s="93"/>
      <c r="I36" s="93"/>
      <c r="J36" s="93"/>
      <c r="K36" s="93"/>
      <c r="L36" s="94"/>
      <c r="M36" s="92"/>
      <c r="N36" s="95"/>
      <c r="O36" s="92" t="s">
        <v>29</v>
      </c>
      <c r="P36" s="93">
        <f>P28+P29+P30+P31+P32</f>
        <v>10469.130000000001</v>
      </c>
      <c r="Q36" s="2"/>
      <c r="R36" s="65"/>
      <c r="S36" s="65"/>
      <c r="T36" s="65"/>
      <c r="U36" s="65"/>
      <c r="V36" s="78"/>
      <c r="W36" s="79"/>
      <c r="X36" s="79"/>
    </row>
    <row r="37" spans="1:24" x14ac:dyDescent="0.25">
      <c r="A37" s="1"/>
      <c r="B37" s="80"/>
      <c r="C37" s="81"/>
      <c r="D37" s="2"/>
      <c r="E37" s="2"/>
      <c r="F37" s="2"/>
      <c r="G37" s="2"/>
      <c r="H37" s="167"/>
      <c r="I37" s="167"/>
      <c r="J37" s="2"/>
      <c r="K37" s="2"/>
      <c r="L37" s="3"/>
      <c r="M37" s="1"/>
      <c r="N37" s="80"/>
      <c r="O37" s="81"/>
      <c r="P37" s="2" t="s">
        <v>93</v>
      </c>
      <c r="Q37" s="2"/>
      <c r="R37" s="65"/>
      <c r="S37" s="65"/>
      <c r="T37" s="65"/>
      <c r="U37" s="65"/>
      <c r="V37" s="78"/>
      <c r="W37" s="79"/>
      <c r="X37" s="79"/>
    </row>
    <row r="38" spans="1:24" x14ac:dyDescent="0.25">
      <c r="A38" s="107"/>
      <c r="B38" s="107"/>
      <c r="C38" s="107"/>
      <c r="D38" s="107"/>
      <c r="E38" s="107"/>
      <c r="F38" s="107"/>
      <c r="G38" s="107"/>
      <c r="H38" s="152"/>
      <c r="I38" s="152"/>
      <c r="J38" s="107"/>
      <c r="K38" s="107"/>
      <c r="L38" s="3"/>
      <c r="M38" s="107"/>
      <c r="N38" s="107"/>
      <c r="O38" s="107"/>
      <c r="P38" s="107"/>
      <c r="Q38" s="107"/>
      <c r="R38" s="152"/>
      <c r="S38" s="152"/>
      <c r="T38" s="152"/>
      <c r="U38" s="107"/>
      <c r="V38" s="107"/>
      <c r="W38" s="107"/>
      <c r="X38" s="107"/>
    </row>
    <row r="39" spans="1:24" x14ac:dyDescent="0.25">
      <c r="A39" s="107"/>
      <c r="B39" s="107"/>
      <c r="C39" s="107"/>
      <c r="D39" s="107"/>
      <c r="E39" s="107"/>
      <c r="F39" s="107"/>
      <c r="G39" s="107"/>
      <c r="H39" s="153"/>
      <c r="I39" s="154"/>
      <c r="J39" s="107"/>
      <c r="K39" s="107"/>
      <c r="L39" s="3"/>
      <c r="M39" s="107"/>
      <c r="N39" s="107"/>
      <c r="O39" s="107"/>
      <c r="P39" s="107"/>
      <c r="Q39" s="107"/>
      <c r="R39" s="152"/>
      <c r="S39" s="152"/>
      <c r="T39" s="152"/>
      <c r="U39" s="107"/>
      <c r="V39" s="107"/>
      <c r="W39" s="107"/>
      <c r="X39" s="107"/>
    </row>
    <row r="40" spans="1:24" x14ac:dyDescent="0.25">
      <c r="A40" s="107"/>
      <c r="B40" s="107"/>
      <c r="C40" s="107"/>
      <c r="D40" s="107"/>
      <c r="E40" s="107"/>
      <c r="F40" s="107"/>
      <c r="G40" s="107"/>
      <c r="H40" s="152"/>
      <c r="I40" s="152"/>
      <c r="J40" s="107"/>
      <c r="K40" s="107"/>
      <c r="L40" s="3"/>
      <c r="M40" s="107"/>
      <c r="N40" s="107"/>
      <c r="O40" s="107"/>
      <c r="P40" s="107"/>
      <c r="Q40" s="107"/>
      <c r="R40" s="152"/>
      <c r="S40" s="153"/>
      <c r="T40" s="154"/>
      <c r="U40" s="107"/>
      <c r="V40" s="107"/>
      <c r="W40" s="107"/>
      <c r="X40" s="107"/>
    </row>
    <row r="41" spans="1:24" x14ac:dyDescent="0.25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3"/>
      <c r="M41" s="132"/>
      <c r="N41" s="132"/>
      <c r="O41" s="107"/>
      <c r="P41" s="107"/>
      <c r="Q41" s="107"/>
      <c r="R41" s="152"/>
      <c r="S41" s="152"/>
      <c r="T41" s="152"/>
      <c r="U41" s="107"/>
      <c r="V41" s="107"/>
      <c r="W41" s="107"/>
      <c r="X41" s="107"/>
    </row>
    <row r="42" spans="1:24" x14ac:dyDescent="0.25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3"/>
      <c r="M42" s="133" t="s">
        <v>30</v>
      </c>
      <c r="N42" s="134">
        <f>P36-C36</f>
        <v>3472.1800000000021</v>
      </c>
      <c r="O42" s="107"/>
      <c r="P42" s="107"/>
      <c r="Q42" s="107"/>
      <c r="R42" s="152"/>
      <c r="S42" s="152"/>
      <c r="T42" s="152"/>
      <c r="U42" s="107"/>
      <c r="V42" s="107"/>
      <c r="W42" s="107"/>
      <c r="X42" s="107"/>
    </row>
    <row r="43" spans="1:24" x14ac:dyDescent="0.25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3"/>
      <c r="M43" s="132"/>
      <c r="N43" s="132"/>
      <c r="O43" s="107"/>
      <c r="P43" s="107"/>
      <c r="Q43" s="107"/>
      <c r="R43" s="152"/>
      <c r="S43" s="152"/>
      <c r="T43" s="152"/>
      <c r="U43" s="107"/>
      <c r="V43" s="107"/>
      <c r="W43" s="107"/>
      <c r="X43" s="107"/>
    </row>
    <row r="44" spans="1:24" x14ac:dyDescent="0.25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3"/>
      <c r="M44" s="107"/>
      <c r="N44" s="107"/>
      <c r="O44" s="107"/>
      <c r="P44" s="107"/>
      <c r="Q44" s="107"/>
      <c r="R44" s="152"/>
      <c r="S44" s="152"/>
      <c r="T44" s="152"/>
      <c r="U44" s="107"/>
      <c r="V44" s="107"/>
      <c r="W44" s="107"/>
      <c r="X44" s="107"/>
    </row>
    <row r="45" spans="1:24" x14ac:dyDescent="0.25">
      <c r="R45" s="155"/>
      <c r="S45" s="155"/>
      <c r="T45" s="155"/>
    </row>
  </sheetData>
  <conditionalFormatting sqref="C1:C5 O5:Q9 P10:Q30">
    <cfRule type="cellIs" dxfId="115" priority="20" operator="equal">
      <formula>15698.2</formula>
    </cfRule>
  </conditionalFormatting>
  <conditionalFormatting sqref="C36">
    <cfRule type="cellIs" dxfId="114" priority="30" operator="equal">
      <formula>"kapalı"</formula>
    </cfRule>
    <cfRule type="cellIs" dxfId="113" priority="29" operator="equal">
      <formula>15698.2</formula>
    </cfRule>
  </conditionalFormatting>
  <conditionalFormatting sqref="C31:D31">
    <cfRule type="cellIs" dxfId="112" priority="22" operator="equal">
      <formula>"KAPALI"</formula>
    </cfRule>
    <cfRule type="cellIs" dxfId="111" priority="23" operator="equal">
      <formula>"açık"</formula>
    </cfRule>
  </conditionalFormatting>
  <conditionalFormatting sqref="C31:G31">
    <cfRule type="cellIs" dxfId="110" priority="24" operator="equal">
      <formula>15698.2</formula>
    </cfRule>
  </conditionalFormatting>
  <conditionalFormatting sqref="D9">
    <cfRule type="cellIs" dxfId="109" priority="21" operator="equal">
      <formula>"K.KART"</formula>
    </cfRule>
  </conditionalFormatting>
  <conditionalFormatting sqref="D14:D20 D21:G30">
    <cfRule type="cellIs" dxfId="108" priority="17" operator="equal">
      <formula>"kapalı"</formula>
    </cfRule>
  </conditionalFormatting>
  <conditionalFormatting sqref="D32:G37">
    <cfRule type="cellIs" dxfId="107" priority="25" operator="equal">
      <formula>15698.2</formula>
    </cfRule>
  </conditionalFormatting>
  <conditionalFormatting sqref="D1:I4 D5:E5 H5:I8 R5:R11 E6:E20 S9:T37 H12:H15 R14:R37 H17:H21 H23:H29 H30:I37">
    <cfRule type="cellIs" dxfId="106" priority="42" operator="equal">
      <formula>"K.KART"</formula>
    </cfRule>
  </conditionalFormatting>
  <conditionalFormatting sqref="E31:G31 D32:G37">
    <cfRule type="cellIs" dxfId="105" priority="26" operator="equal">
      <formula>"kapalı"</formula>
    </cfRule>
  </conditionalFormatting>
  <conditionalFormatting sqref="F10">
    <cfRule type="cellIs" dxfId="104" priority="47" operator="equal">
      <formula>"K.KART"</formula>
    </cfRule>
    <cfRule type="cellIs" dxfId="103" priority="19" operator="equal">
      <formula>"kapalı"</formula>
    </cfRule>
  </conditionalFormatting>
  <conditionalFormatting sqref="F5:G5">
    <cfRule type="cellIs" dxfId="102" priority="27" operator="equal">
      <formula>15698.2</formula>
    </cfRule>
  </conditionalFormatting>
  <conditionalFormatting sqref="F5:G8 D6:D7 D9:D12 P9:Q27 F11:G20">
    <cfRule type="cellIs" dxfId="101" priority="11" operator="equal">
      <formula>"kapalı"</formula>
    </cfRule>
  </conditionalFormatting>
  <conditionalFormatting sqref="F6:G6">
    <cfRule type="cellIs" dxfId="100" priority="13" operator="equal">
      <formula>"K.KART"</formula>
    </cfRule>
  </conditionalFormatting>
  <conditionalFormatting sqref="F12:G12">
    <cfRule type="cellIs" dxfId="99" priority="48" operator="equal">
      <formula>"K.KART"</formula>
    </cfRule>
  </conditionalFormatting>
  <conditionalFormatting sqref="H16">
    <cfRule type="cellIs" dxfId="98" priority="31" operator="equal">
      <formula>"K.KART"</formula>
    </cfRule>
  </conditionalFormatting>
  <conditionalFormatting sqref="H9:I11">
    <cfRule type="cellIs" dxfId="97" priority="15" operator="equal">
      <formula>"K.KART"</formula>
    </cfRule>
  </conditionalFormatting>
  <conditionalFormatting sqref="I12">
    <cfRule type="cellIs" dxfId="96" priority="16" operator="equal">
      <formula>"K.KART"</formula>
    </cfRule>
  </conditionalFormatting>
  <conditionalFormatting sqref="I23:I27 I29">
    <cfRule type="cellIs" dxfId="95" priority="32" operator="equal">
      <formula>"K.KART"</formula>
    </cfRule>
  </conditionalFormatting>
  <conditionalFormatting sqref="O4:P4 R12:R15">
    <cfRule type="cellIs" dxfId="94" priority="33" operator="equal">
      <formula>15698.2</formula>
    </cfRule>
    <cfRule type="cellIs" dxfId="93" priority="34" operator="equal">
      <formula>"kapalı"</formula>
    </cfRule>
  </conditionalFormatting>
  <conditionalFormatting sqref="O10:P10">
    <cfRule type="cellIs" dxfId="92" priority="36" operator="equal">
      <formula>15698.2</formula>
    </cfRule>
    <cfRule type="cellIs" dxfId="91" priority="37" operator="equal">
      <formula>"kapalı"</formula>
    </cfRule>
  </conditionalFormatting>
  <conditionalFormatting sqref="O1:Q3 O11 O26:O30 O32:O35 P32:Q37 O37">
    <cfRule type="cellIs" dxfId="90" priority="43" operator="equal">
      <formula>15698.2</formula>
    </cfRule>
  </conditionalFormatting>
  <conditionalFormatting sqref="O1:Q3 O5:Q9 O11:Q11">
    <cfRule type="cellIs" dxfId="89" priority="45" operator="equal">
      <formula>"KAPALI"</formula>
    </cfRule>
    <cfRule type="cellIs" dxfId="88" priority="46" operator="equal">
      <formula>"açık"</formula>
    </cfRule>
  </conditionalFormatting>
  <conditionalFormatting sqref="O26:Q35">
    <cfRule type="cellIs" dxfId="87" priority="8" operator="equal">
      <formula>"KAPALI"</formula>
    </cfRule>
    <cfRule type="cellIs" dxfId="86" priority="9" operator="equal">
      <formula>"açık"</formula>
    </cfRule>
  </conditionalFormatting>
  <conditionalFormatting sqref="O31:Q31">
    <cfRule type="cellIs" dxfId="85" priority="10" operator="equal">
      <formula>15698.2</formula>
    </cfRule>
  </conditionalFormatting>
  <conditionalFormatting sqref="P32">
    <cfRule type="cellIs" dxfId="84" priority="7" operator="equal">
      <formula>15698.2</formula>
    </cfRule>
  </conditionalFormatting>
  <conditionalFormatting sqref="P36:Q36 O37:Q37">
    <cfRule type="cellIs" dxfId="83" priority="40" operator="equal">
      <formula>"KAPALI"</formula>
    </cfRule>
    <cfRule type="cellIs" dxfId="82" priority="41" operator="equal">
      <formula>"açık"</formula>
    </cfRule>
  </conditionalFormatting>
  <conditionalFormatting sqref="Q10 S10:V10">
    <cfRule type="cellIs" dxfId="81" priority="38" operator="equal">
      <formula>"K.KART"</formula>
    </cfRule>
  </conditionalFormatting>
  <conditionalFormatting sqref="Q28:Q29">
    <cfRule type="cellIs" dxfId="80" priority="39" operator="equal">
      <formula>"kapalı"</formula>
    </cfRule>
  </conditionalFormatting>
  <conditionalFormatting sqref="Q4:W4">
    <cfRule type="cellIs" dxfId="79" priority="35" operator="equal">
      <formula>"K.KART"</formula>
    </cfRule>
  </conditionalFormatting>
  <conditionalFormatting sqref="R1:T3">
    <cfRule type="cellIs" dxfId="78" priority="44" operator="equal">
      <formula>"K.KART"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DCC4-420F-49D5-A2B9-19ACEE960A2A}">
  <dimension ref="A1:X45"/>
  <sheetViews>
    <sheetView topLeftCell="A4" workbookViewId="0">
      <selection activeCell="F13" sqref="F13"/>
    </sheetView>
  </sheetViews>
  <sheetFormatPr defaultRowHeight="15" x14ac:dyDescent="0.25"/>
  <cols>
    <col min="1" max="1" width="21.85546875" customWidth="1"/>
    <col min="2" max="2" width="12.140625" customWidth="1"/>
    <col min="3" max="3" width="12.28515625" customWidth="1"/>
    <col min="5" max="5" width="10.5703125" customWidth="1"/>
    <col min="6" max="6" width="12.28515625" customWidth="1"/>
    <col min="7" max="7" width="11.42578125" customWidth="1"/>
    <col min="8" max="8" width="14.42578125" customWidth="1"/>
    <col min="9" max="9" width="11.5703125" customWidth="1"/>
    <col min="10" max="10" width="14" customWidth="1"/>
    <col min="11" max="11" width="6.42578125" customWidth="1"/>
    <col min="12" max="12" width="2.42578125" customWidth="1"/>
    <col min="13" max="13" width="22.28515625" customWidth="1"/>
    <col min="14" max="14" width="12" customWidth="1"/>
    <col min="15" max="15" width="15.5703125" customWidth="1"/>
    <col min="16" max="16" width="12" customWidth="1"/>
    <col min="19" max="19" width="13" customWidth="1"/>
    <col min="20" max="20" width="12.140625" customWidth="1"/>
    <col min="21" max="21" width="11.28515625" customWidth="1"/>
    <col min="22" max="22" width="11.85546875" customWidth="1"/>
    <col min="23" max="23" width="12.140625" customWidth="1"/>
    <col min="24" max="24" width="5.5703125" customWidth="1"/>
  </cols>
  <sheetData>
    <row r="1" spans="1:2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1"/>
      <c r="N1" s="1"/>
      <c r="O1" s="2"/>
      <c r="P1" s="2"/>
      <c r="Q1" s="2"/>
      <c r="R1" s="2"/>
      <c r="S1" s="2"/>
      <c r="T1" s="2"/>
      <c r="U1" s="2"/>
      <c r="V1" s="4"/>
      <c r="W1" s="5"/>
      <c r="X1" s="5"/>
    </row>
    <row r="2" spans="1:24" x14ac:dyDescent="0.25">
      <c r="A2" s="6" t="s">
        <v>0</v>
      </c>
      <c r="B2" s="6"/>
      <c r="C2" s="7"/>
      <c r="D2" s="7"/>
      <c r="E2" s="7"/>
      <c r="F2" s="7"/>
      <c r="G2" s="7"/>
      <c r="H2" s="7"/>
      <c r="I2" s="7"/>
      <c r="J2" s="7"/>
      <c r="K2" s="7"/>
      <c r="L2" s="3"/>
      <c r="M2" s="6" t="s">
        <v>1</v>
      </c>
      <c r="N2" s="6"/>
      <c r="O2" s="7"/>
      <c r="P2" s="7"/>
      <c r="Q2" s="7"/>
      <c r="R2" s="7"/>
      <c r="S2" s="7"/>
      <c r="T2" s="7"/>
      <c r="U2" s="7"/>
      <c r="V2" s="8"/>
      <c r="W2" s="9"/>
      <c r="X2" s="9"/>
    </row>
    <row r="3" spans="1:24" x14ac:dyDescent="0.25">
      <c r="A3" s="10" t="s">
        <v>128</v>
      </c>
      <c r="B3" s="10">
        <v>2025</v>
      </c>
      <c r="C3" s="11"/>
      <c r="D3" s="11"/>
      <c r="E3" s="11"/>
      <c r="F3" s="11"/>
      <c r="G3" s="11"/>
      <c r="H3" s="11"/>
      <c r="I3" s="11"/>
      <c r="J3" s="11"/>
      <c r="K3" s="11"/>
      <c r="L3" s="12"/>
      <c r="M3" s="10" t="s">
        <v>128</v>
      </c>
      <c r="N3" s="10">
        <v>2025</v>
      </c>
      <c r="O3" s="11"/>
      <c r="P3" s="11"/>
      <c r="Q3" s="11"/>
      <c r="R3" s="11"/>
      <c r="S3" s="11"/>
      <c r="T3" s="11"/>
      <c r="U3" s="11"/>
      <c r="V3" s="13"/>
      <c r="W3" s="14"/>
      <c r="X3" s="14"/>
    </row>
    <row r="4" spans="1:24" ht="25.5" x14ac:dyDescent="0.25">
      <c r="A4" s="15" t="s">
        <v>2</v>
      </c>
      <c r="B4" s="15" t="s">
        <v>3</v>
      </c>
      <c r="C4" s="16" t="s">
        <v>4</v>
      </c>
      <c r="D4" s="16" t="s">
        <v>5</v>
      </c>
      <c r="E4" s="16" t="s">
        <v>6</v>
      </c>
      <c r="F4" s="17" t="s">
        <v>68</v>
      </c>
      <c r="G4" s="17" t="s">
        <v>69</v>
      </c>
      <c r="H4" s="16" t="s">
        <v>8</v>
      </c>
      <c r="I4" s="16" t="s">
        <v>9</v>
      </c>
      <c r="J4" s="18" t="s">
        <v>10</v>
      </c>
      <c r="K4" s="18" t="s">
        <v>81</v>
      </c>
      <c r="L4" s="19"/>
      <c r="M4" s="15" t="s">
        <v>2</v>
      </c>
      <c r="N4" s="15" t="s">
        <v>3</v>
      </c>
      <c r="O4" s="16" t="s">
        <v>4</v>
      </c>
      <c r="P4" s="16" t="s">
        <v>11</v>
      </c>
      <c r="Q4" s="16" t="s">
        <v>5</v>
      </c>
      <c r="R4" s="16" t="s">
        <v>6</v>
      </c>
      <c r="S4" s="16" t="s">
        <v>68</v>
      </c>
      <c r="T4" s="16" t="s">
        <v>69</v>
      </c>
      <c r="U4" s="16" t="s">
        <v>8</v>
      </c>
      <c r="V4" s="18" t="s">
        <v>9</v>
      </c>
      <c r="W4" s="18" t="s">
        <v>12</v>
      </c>
      <c r="X4" s="18" t="s">
        <v>81</v>
      </c>
    </row>
    <row r="5" spans="1:24" x14ac:dyDescent="0.25">
      <c r="A5" s="20" t="s">
        <v>13</v>
      </c>
      <c r="B5" s="20"/>
      <c r="C5" s="21"/>
      <c r="D5" s="21"/>
      <c r="E5" s="21"/>
      <c r="F5" s="22"/>
      <c r="G5" s="22"/>
      <c r="H5" s="23"/>
      <c r="I5" s="21"/>
      <c r="J5" s="163">
        <v>1573.85</v>
      </c>
      <c r="K5" s="24"/>
      <c r="L5" s="25"/>
      <c r="M5" s="26" t="s">
        <v>13</v>
      </c>
      <c r="N5" s="20"/>
      <c r="O5" s="21"/>
      <c r="P5" s="21"/>
      <c r="Q5" s="21"/>
      <c r="R5" s="21"/>
      <c r="S5" s="21"/>
      <c r="T5" s="21"/>
      <c r="U5" s="21"/>
      <c r="V5" s="27"/>
      <c r="W5" s="28"/>
      <c r="X5" s="24"/>
    </row>
    <row r="6" spans="1:24" x14ac:dyDescent="0.25">
      <c r="A6" s="29" t="s">
        <v>22</v>
      </c>
      <c r="B6" s="34">
        <v>45812</v>
      </c>
      <c r="C6" s="30">
        <v>577776263</v>
      </c>
      <c r="D6" s="35" t="s">
        <v>15</v>
      </c>
      <c r="E6" s="146" t="s">
        <v>46</v>
      </c>
      <c r="F6" s="147">
        <v>15151.72</v>
      </c>
      <c r="G6" s="32"/>
      <c r="H6" s="40">
        <v>2525.34</v>
      </c>
      <c r="I6" s="123"/>
      <c r="J6" s="138">
        <f t="shared" ref="J6:J21" si="0">I6*K6</f>
        <v>0</v>
      </c>
      <c r="K6" s="139">
        <v>0.5</v>
      </c>
      <c r="L6" s="25"/>
      <c r="M6" s="126" t="s">
        <v>130</v>
      </c>
      <c r="N6" s="136">
        <v>45976</v>
      </c>
      <c r="O6" s="137" t="s">
        <v>131</v>
      </c>
      <c r="P6" s="123" t="s">
        <v>48</v>
      </c>
      <c r="Q6" s="123" t="s">
        <v>35</v>
      </c>
      <c r="R6" s="123" t="s">
        <v>17</v>
      </c>
      <c r="S6" s="123">
        <v>8827.4500000000007</v>
      </c>
      <c r="T6" s="123">
        <v>7881.63</v>
      </c>
      <c r="U6" s="123"/>
      <c r="V6" s="123"/>
      <c r="W6" s="138">
        <f t="shared" ref="W6:W13" si="1">V6*X6</f>
        <v>0</v>
      </c>
      <c r="X6" s="139">
        <v>0.5</v>
      </c>
    </row>
    <row r="7" spans="1:24" x14ac:dyDescent="0.25">
      <c r="A7" s="29" t="s">
        <v>18</v>
      </c>
      <c r="B7" s="34">
        <v>45919</v>
      </c>
      <c r="C7" s="30">
        <v>603418429</v>
      </c>
      <c r="D7" s="35" t="s">
        <v>15</v>
      </c>
      <c r="E7" s="149" t="s">
        <v>33</v>
      </c>
      <c r="F7" s="147">
        <v>25910.18</v>
      </c>
      <c r="G7" s="147">
        <v>24676.35</v>
      </c>
      <c r="H7" s="116">
        <v>4318.45</v>
      </c>
      <c r="I7" s="123"/>
      <c r="J7" s="138">
        <f t="shared" si="0"/>
        <v>0</v>
      </c>
      <c r="K7" s="139">
        <v>0.5</v>
      </c>
      <c r="L7" s="25"/>
      <c r="M7" s="126" t="s">
        <v>130</v>
      </c>
      <c r="N7" s="136">
        <v>45976</v>
      </c>
      <c r="O7" s="137" t="s">
        <v>132</v>
      </c>
      <c r="P7" s="123" t="s">
        <v>48</v>
      </c>
      <c r="Q7" s="123" t="s">
        <v>15</v>
      </c>
      <c r="R7" s="123" t="s">
        <v>17</v>
      </c>
      <c r="S7" s="123">
        <v>21810</v>
      </c>
      <c r="T7" s="123">
        <v>20771.43</v>
      </c>
      <c r="U7" s="123"/>
      <c r="V7" s="123"/>
      <c r="W7" s="138">
        <f t="shared" si="1"/>
        <v>0</v>
      </c>
      <c r="X7" s="139">
        <v>0.5</v>
      </c>
    </row>
    <row r="8" spans="1:24" x14ac:dyDescent="0.25">
      <c r="A8" s="29" t="s">
        <v>129</v>
      </c>
      <c r="B8" s="34">
        <v>45968</v>
      </c>
      <c r="C8" s="30">
        <v>617403266</v>
      </c>
      <c r="D8" s="31" t="s">
        <v>20</v>
      </c>
      <c r="E8" s="123" t="s">
        <v>17</v>
      </c>
      <c r="F8" s="147">
        <v>129120.85</v>
      </c>
      <c r="G8" s="32">
        <v>122621.07</v>
      </c>
      <c r="H8" s="116"/>
      <c r="I8" s="123"/>
      <c r="J8" s="138">
        <f t="shared" si="0"/>
        <v>0</v>
      </c>
      <c r="K8" s="139">
        <v>0.5</v>
      </c>
      <c r="L8" s="19"/>
      <c r="M8" s="126" t="s">
        <v>133</v>
      </c>
      <c r="N8" s="136">
        <v>45982</v>
      </c>
      <c r="O8" s="137" t="s">
        <v>134</v>
      </c>
      <c r="P8" s="123" t="s">
        <v>48</v>
      </c>
      <c r="Q8" s="123" t="s">
        <v>15</v>
      </c>
      <c r="R8" s="123" t="s">
        <v>17</v>
      </c>
      <c r="S8" s="123">
        <v>31490</v>
      </c>
      <c r="T8" s="123">
        <v>29990.47</v>
      </c>
      <c r="U8" s="123"/>
      <c r="V8" s="142"/>
      <c r="W8" s="138">
        <f t="shared" si="1"/>
        <v>0</v>
      </c>
      <c r="X8" s="139">
        <v>0.5</v>
      </c>
    </row>
    <row r="9" spans="1:24" x14ac:dyDescent="0.25">
      <c r="A9" s="29"/>
      <c r="B9" s="34"/>
      <c r="C9" s="30"/>
      <c r="D9" s="35"/>
      <c r="E9" s="123"/>
      <c r="F9" s="147"/>
      <c r="G9" s="147"/>
      <c r="H9" s="40"/>
      <c r="I9" s="40"/>
      <c r="J9" s="138">
        <f t="shared" si="0"/>
        <v>0</v>
      </c>
      <c r="K9" s="139">
        <v>0.5</v>
      </c>
      <c r="L9" s="19"/>
      <c r="M9" s="42"/>
      <c r="N9" s="34"/>
      <c r="O9" s="30"/>
      <c r="P9" s="35"/>
      <c r="Q9" s="35"/>
      <c r="R9" s="123"/>
      <c r="S9" s="35"/>
      <c r="T9" s="35"/>
      <c r="U9" s="35"/>
      <c r="V9" s="144"/>
      <c r="W9" s="138">
        <f t="shared" si="1"/>
        <v>0</v>
      </c>
      <c r="X9" s="139">
        <v>0.5</v>
      </c>
    </row>
    <row r="10" spans="1:24" x14ac:dyDescent="0.25">
      <c r="A10" s="29"/>
      <c r="B10" s="34"/>
      <c r="C10" s="45"/>
      <c r="D10" s="35"/>
      <c r="E10" s="148"/>
      <c r="F10" s="147"/>
      <c r="G10" s="147"/>
      <c r="H10" s="40"/>
      <c r="I10" s="40"/>
      <c r="J10" s="138">
        <f t="shared" si="0"/>
        <v>0</v>
      </c>
      <c r="K10" s="139">
        <v>0.5</v>
      </c>
      <c r="L10" s="48"/>
      <c r="M10" s="120"/>
      <c r="N10" s="34"/>
      <c r="O10" s="30"/>
      <c r="P10" s="35"/>
      <c r="Q10" s="35"/>
      <c r="R10" s="123"/>
      <c r="S10" s="35"/>
      <c r="T10" s="35"/>
      <c r="U10" s="35"/>
      <c r="V10" s="145"/>
      <c r="W10" s="138">
        <f t="shared" si="1"/>
        <v>0</v>
      </c>
      <c r="X10" s="139">
        <v>0.5</v>
      </c>
    </row>
    <row r="11" spans="1:24" x14ac:dyDescent="0.25">
      <c r="A11" s="29"/>
      <c r="B11" s="34"/>
      <c r="C11" s="45"/>
      <c r="D11" s="35"/>
      <c r="E11" s="148"/>
      <c r="F11" s="147"/>
      <c r="G11" s="147"/>
      <c r="H11" s="40"/>
      <c r="I11" s="40"/>
      <c r="J11" s="138">
        <f t="shared" si="0"/>
        <v>0</v>
      </c>
      <c r="K11" s="139">
        <v>0.5</v>
      </c>
      <c r="L11" s="48"/>
      <c r="M11" s="49"/>
      <c r="N11" s="34"/>
      <c r="O11" s="30"/>
      <c r="P11" s="35"/>
      <c r="Q11" s="35"/>
      <c r="R11" s="123"/>
      <c r="S11" s="35"/>
      <c r="T11" s="35"/>
      <c r="U11" s="35"/>
      <c r="V11" s="36"/>
      <c r="W11" s="138">
        <f t="shared" si="1"/>
        <v>0</v>
      </c>
      <c r="X11" s="139">
        <v>0.5</v>
      </c>
    </row>
    <row r="12" spans="1:24" x14ac:dyDescent="0.25">
      <c r="A12" s="29"/>
      <c r="B12" s="34"/>
      <c r="C12" s="30"/>
      <c r="D12" s="35"/>
      <c r="E12" s="148"/>
      <c r="F12" s="147"/>
      <c r="G12" s="147"/>
      <c r="H12" s="40"/>
      <c r="I12" s="40"/>
      <c r="J12" s="138">
        <f t="shared" si="0"/>
        <v>0</v>
      </c>
      <c r="K12" s="139">
        <v>0.5</v>
      </c>
      <c r="L12" s="48"/>
      <c r="M12" s="49"/>
      <c r="N12" s="34"/>
      <c r="O12" s="30"/>
      <c r="P12" s="35"/>
      <c r="Q12" s="35"/>
      <c r="R12" s="35"/>
      <c r="S12" s="35"/>
      <c r="T12" s="35"/>
      <c r="U12" s="35"/>
      <c r="V12" s="36"/>
      <c r="W12" s="138">
        <f t="shared" si="1"/>
        <v>0</v>
      </c>
      <c r="X12" s="139">
        <v>0.5</v>
      </c>
    </row>
    <row r="13" spans="1:24" x14ac:dyDescent="0.25">
      <c r="A13" s="29"/>
      <c r="B13" s="34"/>
      <c r="C13" s="30"/>
      <c r="D13" s="31"/>
      <c r="E13" s="148"/>
      <c r="F13" s="147"/>
      <c r="G13" s="32"/>
      <c r="H13" s="116"/>
      <c r="I13" s="164"/>
      <c r="J13" s="138">
        <f t="shared" si="0"/>
        <v>0</v>
      </c>
      <c r="K13" s="139">
        <v>0.5</v>
      </c>
      <c r="L13" s="48"/>
      <c r="M13" s="49"/>
      <c r="N13" s="34"/>
      <c r="O13" s="30"/>
      <c r="P13" s="35"/>
      <c r="Q13" s="35"/>
      <c r="R13" s="35"/>
      <c r="S13" s="35"/>
      <c r="T13" s="35"/>
      <c r="U13" s="35"/>
      <c r="V13" s="36"/>
      <c r="W13" s="138">
        <f t="shared" si="1"/>
        <v>0</v>
      </c>
      <c r="X13" s="139">
        <v>0.5</v>
      </c>
    </row>
    <row r="14" spans="1:24" x14ac:dyDescent="0.25">
      <c r="A14" s="29"/>
      <c r="B14" s="34"/>
      <c r="C14" s="30"/>
      <c r="D14" s="35"/>
      <c r="E14" s="148"/>
      <c r="F14" s="147"/>
      <c r="G14" s="32"/>
      <c r="H14" s="116"/>
      <c r="I14" s="164"/>
      <c r="J14" s="138">
        <f t="shared" si="0"/>
        <v>0</v>
      </c>
      <c r="K14" s="139">
        <v>0.5</v>
      </c>
      <c r="L14" s="48"/>
      <c r="M14" s="49"/>
      <c r="N14" s="30"/>
      <c r="O14" s="30"/>
      <c r="P14" s="35"/>
      <c r="Q14" s="35"/>
      <c r="R14" s="35" t="s">
        <v>23</v>
      </c>
      <c r="S14" s="35">
        <f>S6+S7+S8+S9+S10+S11+S12+S13</f>
        <v>62127.45</v>
      </c>
      <c r="T14" s="35">
        <f>T6+T7+T8+T9+T11+T12+T10+T13</f>
        <v>58643.53</v>
      </c>
      <c r="U14" s="35">
        <f>U6+U7</f>
        <v>0</v>
      </c>
      <c r="V14" s="52">
        <f>V6+V7+V8+V9+V10+V11+V12+V13</f>
        <v>0</v>
      </c>
      <c r="W14" s="33" t="e">
        <f>W6+W7+#REF!+W8+W9+W10+W11+W12+W13+#REF!</f>
        <v>#REF!</v>
      </c>
      <c r="X14" s="139">
        <v>0.5</v>
      </c>
    </row>
    <row r="15" spans="1:24" x14ac:dyDescent="0.25">
      <c r="A15" s="29"/>
      <c r="B15" s="34"/>
      <c r="C15" s="30"/>
      <c r="D15" s="35"/>
      <c r="E15" s="148"/>
      <c r="F15" s="147"/>
      <c r="G15" s="32"/>
      <c r="H15" s="116"/>
      <c r="I15" s="164"/>
      <c r="J15" s="138">
        <f t="shared" si="0"/>
        <v>0</v>
      </c>
      <c r="K15" s="139">
        <v>0.5</v>
      </c>
      <c r="L15" s="48"/>
      <c r="M15" s="49"/>
      <c r="N15" s="30"/>
      <c r="O15" s="30"/>
      <c r="P15" s="35"/>
      <c r="Q15" s="35"/>
      <c r="R15" s="35"/>
      <c r="S15" s="35"/>
      <c r="T15" s="35"/>
      <c r="U15" s="35"/>
      <c r="V15" s="52"/>
      <c r="W15" s="54"/>
      <c r="X15" s="140"/>
    </row>
    <row r="16" spans="1:24" x14ac:dyDescent="0.25">
      <c r="A16" s="29"/>
      <c r="B16" s="34"/>
      <c r="C16" s="30"/>
      <c r="D16" s="35"/>
      <c r="E16" s="148"/>
      <c r="F16" s="147"/>
      <c r="G16" s="32"/>
      <c r="H16" s="116"/>
      <c r="I16" s="164"/>
      <c r="J16" s="138">
        <f t="shared" si="0"/>
        <v>0</v>
      </c>
      <c r="K16" s="139">
        <v>0.5</v>
      </c>
      <c r="L16" s="48"/>
      <c r="M16" s="49"/>
      <c r="N16" s="30"/>
      <c r="O16" s="30"/>
      <c r="P16" s="35"/>
      <c r="Q16" s="35"/>
      <c r="R16" s="35"/>
      <c r="S16" s="35"/>
      <c r="T16" s="35"/>
      <c r="U16" s="35"/>
      <c r="V16" s="52"/>
      <c r="W16" s="54"/>
      <c r="X16" s="140"/>
    </row>
    <row r="17" spans="1:24" x14ac:dyDescent="0.25">
      <c r="A17" s="29"/>
      <c r="B17" s="34"/>
      <c r="C17" s="30"/>
      <c r="D17" s="35"/>
      <c r="E17" s="148"/>
      <c r="F17" s="147"/>
      <c r="G17" s="32"/>
      <c r="H17" s="116"/>
      <c r="I17" s="165"/>
      <c r="J17" s="138">
        <f t="shared" si="0"/>
        <v>0</v>
      </c>
      <c r="K17" s="139">
        <v>0.5</v>
      </c>
      <c r="L17" s="48"/>
      <c r="M17" s="49"/>
      <c r="N17" s="30"/>
      <c r="O17" s="30"/>
      <c r="P17" s="35"/>
      <c r="Q17" s="35"/>
      <c r="R17" s="35"/>
      <c r="S17" s="35"/>
      <c r="T17" s="35"/>
      <c r="U17" s="35"/>
      <c r="V17" s="52"/>
      <c r="W17" s="54"/>
      <c r="X17" s="140"/>
    </row>
    <row r="18" spans="1:24" x14ac:dyDescent="0.25">
      <c r="A18" s="150"/>
      <c r="B18" s="34"/>
      <c r="C18" s="30"/>
      <c r="D18" s="35"/>
      <c r="E18" s="148"/>
      <c r="F18" s="147"/>
      <c r="G18" s="32"/>
      <c r="H18" s="116"/>
      <c r="I18" s="165"/>
      <c r="J18" s="138">
        <f t="shared" si="0"/>
        <v>0</v>
      </c>
      <c r="K18" s="139">
        <v>0.5</v>
      </c>
      <c r="L18" s="48"/>
      <c r="M18" s="49"/>
      <c r="N18" s="30"/>
      <c r="O18" s="30"/>
      <c r="P18" s="35"/>
      <c r="Q18" s="35"/>
      <c r="R18" s="35"/>
      <c r="S18" s="35"/>
      <c r="T18" s="35"/>
      <c r="U18" s="35"/>
      <c r="V18" s="52"/>
      <c r="W18" s="54"/>
      <c r="X18" s="140"/>
    </row>
    <row r="19" spans="1:24" x14ac:dyDescent="0.25">
      <c r="A19" s="150"/>
      <c r="B19" s="34"/>
      <c r="C19" s="30"/>
      <c r="D19" s="35"/>
      <c r="E19" s="148"/>
      <c r="F19" s="32"/>
      <c r="G19" s="32"/>
      <c r="H19" s="116"/>
      <c r="I19" s="165"/>
      <c r="J19" s="138">
        <f t="shared" si="0"/>
        <v>0</v>
      </c>
      <c r="K19" s="139">
        <v>0.5</v>
      </c>
      <c r="L19" s="48"/>
      <c r="M19" s="56"/>
      <c r="N19" s="57"/>
      <c r="O19" s="58"/>
      <c r="P19" s="59"/>
      <c r="Q19" s="59"/>
      <c r="R19" s="59"/>
      <c r="S19" s="59"/>
      <c r="T19" s="59"/>
      <c r="U19" s="59"/>
      <c r="V19" s="60"/>
      <c r="W19" s="61"/>
      <c r="X19" s="140"/>
    </row>
    <row r="20" spans="1:24" x14ac:dyDescent="0.25">
      <c r="A20" s="150"/>
      <c r="B20" s="34"/>
      <c r="C20" s="30"/>
      <c r="D20" s="35"/>
      <c r="E20" s="148"/>
      <c r="F20" s="32"/>
      <c r="G20" s="32"/>
      <c r="H20" s="116"/>
      <c r="I20" s="165"/>
      <c r="J20" s="138">
        <f t="shared" si="0"/>
        <v>0</v>
      </c>
      <c r="K20" s="139">
        <v>0.5</v>
      </c>
      <c r="L20" s="48"/>
      <c r="M20" s="56"/>
      <c r="N20" s="57"/>
      <c r="O20" s="58"/>
      <c r="P20" s="59"/>
      <c r="Q20" s="59"/>
      <c r="R20" s="59"/>
      <c r="S20" s="59"/>
      <c r="T20" s="59"/>
      <c r="U20" s="59"/>
      <c r="V20" s="60"/>
      <c r="W20" s="61"/>
      <c r="X20" s="140"/>
    </row>
    <row r="21" spans="1:24" x14ac:dyDescent="0.25">
      <c r="A21" s="30"/>
      <c r="B21" s="34"/>
      <c r="C21" s="30"/>
      <c r="D21" s="35"/>
      <c r="E21" s="35"/>
      <c r="F21" s="62"/>
      <c r="G21" s="62"/>
      <c r="H21" s="116"/>
      <c r="I21" s="165"/>
      <c r="J21" s="138">
        <f t="shared" si="0"/>
        <v>0</v>
      </c>
      <c r="K21" s="139">
        <v>0.5</v>
      </c>
      <c r="L21" s="48"/>
      <c r="M21" s="56"/>
      <c r="N21" s="57"/>
      <c r="O21" s="58"/>
      <c r="P21" s="59"/>
      <c r="Q21" s="59"/>
      <c r="R21" s="59"/>
      <c r="S21" s="59"/>
      <c r="T21" s="59"/>
      <c r="U21" s="59"/>
      <c r="V21" s="60"/>
      <c r="W21" s="61"/>
      <c r="X21" s="140"/>
    </row>
    <row r="22" spans="1:24" x14ac:dyDescent="0.25">
      <c r="A22" s="30"/>
      <c r="B22" s="34"/>
      <c r="C22" s="30"/>
      <c r="D22" s="35"/>
      <c r="E22" s="35" t="s">
        <v>23</v>
      </c>
      <c r="F22" s="117">
        <f>SUM(F6:F21)</f>
        <v>170182.75</v>
      </c>
      <c r="G22" s="117">
        <f>G6+G7</f>
        <v>24676.35</v>
      </c>
      <c r="H22" s="116">
        <f>H6+H7+H8+H9+H10</f>
        <v>6843.79</v>
      </c>
      <c r="I22" s="130">
        <f>SUM(I6:I21)</f>
        <v>0</v>
      </c>
      <c r="J22" s="119">
        <f>SUM(J6:J21)</f>
        <v>0</v>
      </c>
      <c r="K22" s="119"/>
      <c r="L22" s="48"/>
      <c r="M22" s="49"/>
      <c r="N22" s="30"/>
      <c r="O22" s="30"/>
      <c r="P22" s="35"/>
      <c r="Q22" s="35"/>
      <c r="R22" s="35"/>
      <c r="S22" s="35"/>
      <c r="T22" s="35"/>
      <c r="U22" s="35"/>
      <c r="V22" s="52"/>
      <c r="W22" s="54"/>
      <c r="X22" s="54"/>
    </row>
    <row r="23" spans="1:24" x14ac:dyDescent="0.25">
      <c r="A23" s="63"/>
      <c r="B23" s="64"/>
      <c r="C23" s="63"/>
      <c r="D23" s="65"/>
      <c r="E23" s="65"/>
      <c r="F23" s="66"/>
      <c r="G23" s="66"/>
      <c r="H23" s="67"/>
      <c r="I23" s="68"/>
      <c r="J23" s="69"/>
      <c r="K23" s="69"/>
      <c r="L23" s="48"/>
      <c r="M23" s="49"/>
      <c r="N23" s="30"/>
      <c r="O23" s="30"/>
      <c r="P23" s="35"/>
      <c r="Q23" s="35"/>
      <c r="R23" s="35"/>
      <c r="S23" s="35"/>
      <c r="T23" s="35"/>
      <c r="U23" s="35"/>
      <c r="V23" s="52"/>
      <c r="W23" s="70"/>
      <c r="X23" s="70"/>
    </row>
    <row r="24" spans="1:24" x14ac:dyDescent="0.25">
      <c r="A24" s="63"/>
      <c r="B24" s="64"/>
      <c r="C24" s="63"/>
      <c r="D24" s="65"/>
      <c r="E24" s="65"/>
      <c r="F24" s="66"/>
      <c r="G24" s="66"/>
      <c r="H24" s="67"/>
      <c r="I24" s="71"/>
      <c r="J24" s="69"/>
      <c r="K24" s="69"/>
      <c r="L24" s="48"/>
      <c r="M24" s="49"/>
      <c r="N24" s="30"/>
      <c r="O24" s="30"/>
      <c r="P24" s="35"/>
      <c r="Q24" s="35"/>
      <c r="R24" s="35"/>
      <c r="S24" s="35"/>
      <c r="T24" s="35"/>
      <c r="U24" s="35"/>
      <c r="V24" s="52"/>
      <c r="W24" s="70"/>
      <c r="X24" s="70"/>
    </row>
    <row r="25" spans="1:24" x14ac:dyDescent="0.25">
      <c r="A25" s="63"/>
      <c r="B25" s="64"/>
      <c r="C25" s="63"/>
      <c r="D25" s="65"/>
      <c r="E25" s="65"/>
      <c r="F25" s="66"/>
      <c r="G25" s="66"/>
      <c r="H25" s="67"/>
      <c r="I25" s="71"/>
      <c r="J25" s="69"/>
      <c r="K25" s="69"/>
      <c r="L25" s="48"/>
      <c r="M25" s="49"/>
      <c r="N25" s="30"/>
      <c r="O25" s="30"/>
      <c r="P25" s="35"/>
      <c r="Q25" s="35"/>
      <c r="R25" s="35"/>
      <c r="S25" s="35"/>
      <c r="T25" s="35"/>
      <c r="U25" s="35"/>
      <c r="V25" s="52"/>
      <c r="W25" s="70"/>
      <c r="X25" s="70"/>
    </row>
    <row r="26" spans="1:24" x14ac:dyDescent="0.25">
      <c r="A26" s="63"/>
      <c r="B26" s="64"/>
      <c r="C26" s="63"/>
      <c r="D26" s="65"/>
      <c r="E26" s="65"/>
      <c r="F26" s="66"/>
      <c r="G26" s="66"/>
      <c r="H26" s="67"/>
      <c r="I26" s="71"/>
      <c r="J26" s="69"/>
      <c r="K26" s="69"/>
      <c r="L26" s="48"/>
      <c r="M26" s="49"/>
      <c r="N26" s="30"/>
      <c r="O26" s="35"/>
      <c r="P26" s="35"/>
      <c r="Q26" s="35"/>
      <c r="R26" s="35"/>
      <c r="S26" s="35"/>
      <c r="T26" s="35"/>
      <c r="U26" s="35"/>
      <c r="V26" s="52"/>
      <c r="W26" s="70"/>
      <c r="X26" s="70"/>
    </row>
    <row r="27" spans="1:24" x14ac:dyDescent="0.25">
      <c r="A27" s="63"/>
      <c r="B27" s="64"/>
      <c r="C27" s="63"/>
      <c r="D27" s="65"/>
      <c r="E27" s="65"/>
      <c r="F27" s="66"/>
      <c r="G27" s="66"/>
      <c r="H27" s="67"/>
      <c r="I27" s="71"/>
      <c r="J27" s="69"/>
      <c r="K27" s="69"/>
      <c r="L27" s="48"/>
      <c r="M27" s="49"/>
      <c r="N27" s="30"/>
      <c r="O27" s="35"/>
      <c r="P27" s="35"/>
      <c r="Q27" s="35"/>
      <c r="R27" s="35"/>
      <c r="S27" s="35"/>
      <c r="T27" s="35"/>
      <c r="U27" s="35"/>
      <c r="V27" s="52"/>
      <c r="W27" s="70"/>
      <c r="X27" s="70"/>
    </row>
    <row r="28" spans="1:24" x14ac:dyDescent="0.25">
      <c r="A28" s="72" t="s">
        <v>24</v>
      </c>
      <c r="B28" s="73"/>
      <c r="C28" s="74">
        <f>J5</f>
        <v>1573.85</v>
      </c>
      <c r="D28" s="2"/>
      <c r="E28" s="2"/>
      <c r="F28" s="66"/>
      <c r="G28" s="66"/>
      <c r="H28" s="75"/>
      <c r="I28" s="76"/>
      <c r="J28" s="69"/>
      <c r="K28" s="69"/>
      <c r="L28" s="48"/>
      <c r="M28" s="72" t="s">
        <v>24</v>
      </c>
      <c r="N28" s="73"/>
      <c r="O28" s="74"/>
      <c r="P28" s="77">
        <f>W5</f>
        <v>0</v>
      </c>
      <c r="Q28" s="65"/>
      <c r="R28" s="65"/>
      <c r="S28" s="65"/>
      <c r="T28" s="65"/>
      <c r="U28" s="65"/>
      <c r="V28" s="78"/>
      <c r="W28" s="79"/>
      <c r="X28" s="79"/>
    </row>
    <row r="29" spans="1:24" x14ac:dyDescent="0.25">
      <c r="A29" s="1" t="s">
        <v>25</v>
      </c>
      <c r="B29" s="80"/>
      <c r="C29" s="81">
        <f>J22</f>
        <v>0</v>
      </c>
      <c r="D29" s="2"/>
      <c r="E29" s="2"/>
      <c r="F29" s="66"/>
      <c r="G29" s="66"/>
      <c r="H29" s="67"/>
      <c r="I29" s="82"/>
      <c r="J29" s="83"/>
      <c r="K29" s="83"/>
      <c r="L29" s="48"/>
      <c r="M29" s="1" t="s">
        <v>26</v>
      </c>
      <c r="N29" s="80"/>
      <c r="O29" s="81"/>
      <c r="P29" s="2">
        <f>H6</f>
        <v>2525.34</v>
      </c>
      <c r="Q29" s="65"/>
      <c r="R29" s="65"/>
      <c r="S29" s="65"/>
      <c r="T29" s="65"/>
      <c r="U29" s="65"/>
      <c r="V29" s="78"/>
      <c r="W29" s="79"/>
      <c r="X29" s="79"/>
    </row>
    <row r="30" spans="1:24" x14ac:dyDescent="0.25">
      <c r="A30" s="1" t="s">
        <v>27</v>
      </c>
      <c r="B30" s="80"/>
      <c r="C30" s="81"/>
      <c r="D30" s="65"/>
      <c r="E30" s="65"/>
      <c r="F30" s="84"/>
      <c r="G30" s="84"/>
      <c r="H30" s="85"/>
      <c r="I30" s="65"/>
      <c r="J30" s="78"/>
      <c r="K30" s="78"/>
      <c r="L30" s="48"/>
      <c r="M30" s="1" t="s">
        <v>28</v>
      </c>
      <c r="N30" s="80"/>
      <c r="O30" s="81"/>
      <c r="P30" s="2">
        <f>H6+H7+H8+H9+H10+H11</f>
        <v>6843.79</v>
      </c>
      <c r="Q30" s="65"/>
      <c r="R30" s="65"/>
      <c r="S30" s="65"/>
      <c r="T30" s="65"/>
      <c r="U30" s="65"/>
      <c r="V30" s="78"/>
      <c r="W30" s="79"/>
      <c r="X30" s="79"/>
    </row>
    <row r="31" spans="1:24" x14ac:dyDescent="0.25">
      <c r="A31" s="86"/>
      <c r="B31" s="1"/>
      <c r="C31" s="87"/>
      <c r="D31" s="87"/>
      <c r="E31" s="65"/>
      <c r="F31" s="78"/>
      <c r="G31" s="78"/>
      <c r="H31" s="65"/>
      <c r="I31" s="65"/>
      <c r="J31" s="78"/>
      <c r="K31" s="78"/>
      <c r="L31" s="48"/>
      <c r="M31" s="1" t="s">
        <v>125</v>
      </c>
      <c r="N31" s="1"/>
      <c r="O31" s="87"/>
      <c r="P31" s="87">
        <v>1100</v>
      </c>
      <c r="Q31" s="65"/>
      <c r="R31" s="65"/>
      <c r="S31" s="65"/>
      <c r="T31" s="65"/>
      <c r="U31" s="65"/>
      <c r="V31" s="78"/>
      <c r="W31" s="79"/>
      <c r="X31" s="79"/>
    </row>
    <row r="32" spans="1:24" x14ac:dyDescent="0.25">
      <c r="A32" s="86"/>
      <c r="B32" s="1"/>
      <c r="C32" s="90"/>
      <c r="D32" s="65"/>
      <c r="E32" s="65"/>
      <c r="F32" s="78"/>
      <c r="G32" s="78"/>
      <c r="H32" s="65"/>
      <c r="I32" s="65"/>
      <c r="J32" s="91"/>
      <c r="K32" s="91"/>
      <c r="L32" s="3"/>
      <c r="M32" s="86"/>
      <c r="N32" s="1"/>
      <c r="O32" s="87"/>
      <c r="P32" s="87"/>
      <c r="Q32" s="87"/>
      <c r="R32" s="65"/>
      <c r="S32" s="65"/>
      <c r="T32" s="65"/>
      <c r="U32" s="65"/>
      <c r="V32" s="78"/>
      <c r="W32" s="79"/>
      <c r="X32" s="79"/>
    </row>
    <row r="33" spans="1:24" x14ac:dyDescent="0.25">
      <c r="A33" s="1"/>
      <c r="B33" s="80"/>
      <c r="C33" s="4"/>
      <c r="D33" s="65"/>
      <c r="E33" s="65"/>
      <c r="F33" s="65"/>
      <c r="G33" s="65"/>
      <c r="H33" s="65"/>
      <c r="I33" s="65"/>
      <c r="J33" s="65"/>
      <c r="K33" s="65"/>
      <c r="L33" s="48"/>
      <c r="M33" s="63"/>
      <c r="N33" s="63"/>
      <c r="O33" s="65"/>
      <c r="P33" s="65"/>
      <c r="Q33" s="65"/>
      <c r="R33" s="65"/>
      <c r="S33" s="65"/>
      <c r="T33" s="65"/>
      <c r="U33" s="63"/>
      <c r="V33" s="63"/>
      <c r="W33" s="63"/>
      <c r="X33" s="63"/>
    </row>
    <row r="34" spans="1:24" x14ac:dyDescent="0.25">
      <c r="A34" s="1"/>
      <c r="B34" s="80"/>
      <c r="C34" s="1"/>
      <c r="D34" s="2"/>
      <c r="E34" s="2"/>
      <c r="F34" s="2"/>
      <c r="G34" s="2"/>
      <c r="H34" s="2"/>
      <c r="I34" s="2"/>
      <c r="J34" s="2"/>
      <c r="K34" s="2"/>
      <c r="L34" s="3"/>
      <c r="M34" s="1"/>
      <c r="N34" s="1"/>
      <c r="O34" s="2"/>
      <c r="P34" s="2"/>
      <c r="Q34" s="2"/>
      <c r="R34" s="65"/>
      <c r="S34" s="65"/>
      <c r="T34" s="65"/>
      <c r="U34" s="63"/>
      <c r="V34" s="63"/>
      <c r="W34" s="63"/>
      <c r="X34" s="63"/>
    </row>
    <row r="35" spans="1:24" x14ac:dyDescent="0.25">
      <c r="A35" s="1"/>
      <c r="B35" s="80"/>
      <c r="C35" s="1"/>
      <c r="D35" s="2"/>
      <c r="E35" s="2"/>
      <c r="F35" s="2"/>
      <c r="G35" s="2"/>
      <c r="H35" s="2"/>
      <c r="I35" s="2"/>
      <c r="J35" s="2"/>
      <c r="K35" s="2"/>
      <c r="L35" s="3"/>
      <c r="M35" s="1"/>
      <c r="N35" s="80"/>
      <c r="O35" s="81"/>
      <c r="P35" s="2"/>
      <c r="Q35" s="2"/>
      <c r="R35" s="65"/>
      <c r="S35" s="65"/>
      <c r="T35" s="65"/>
      <c r="U35" s="65"/>
      <c r="V35" s="78"/>
      <c r="W35" s="79"/>
      <c r="X35" s="79"/>
    </row>
    <row r="36" spans="1:24" x14ac:dyDescent="0.25">
      <c r="A36" s="92"/>
      <c r="B36" s="92" t="s">
        <v>29</v>
      </c>
      <c r="C36" s="93">
        <f>C28+C29+C30+C31+C32</f>
        <v>1573.85</v>
      </c>
      <c r="D36" s="93"/>
      <c r="E36" s="93"/>
      <c r="F36" s="93"/>
      <c r="G36" s="93"/>
      <c r="H36" s="93"/>
      <c r="I36" s="93"/>
      <c r="J36" s="93"/>
      <c r="K36" s="93"/>
      <c r="L36" s="94"/>
      <c r="M36" s="92"/>
      <c r="N36" s="95"/>
      <c r="O36" s="92" t="s">
        <v>29</v>
      </c>
      <c r="P36" s="93">
        <f>P28+P29+P30+P31+P32</f>
        <v>10469.130000000001</v>
      </c>
      <c r="Q36" s="2"/>
      <c r="R36" s="65"/>
      <c r="S36" s="65"/>
      <c r="T36" s="65"/>
      <c r="U36" s="65"/>
      <c r="V36" s="78"/>
      <c r="W36" s="79"/>
      <c r="X36" s="79"/>
    </row>
    <row r="37" spans="1:24" x14ac:dyDescent="0.25">
      <c r="A37" s="1"/>
      <c r="B37" s="80"/>
      <c r="C37" s="81"/>
      <c r="D37" s="2"/>
      <c r="E37" s="2"/>
      <c r="F37" s="2"/>
      <c r="G37" s="2"/>
      <c r="H37" s="167"/>
      <c r="I37" s="167"/>
      <c r="J37" s="2"/>
      <c r="K37" s="2"/>
      <c r="L37" s="3"/>
      <c r="M37" s="1"/>
      <c r="N37" s="80"/>
      <c r="O37" s="81"/>
      <c r="P37" s="2" t="s">
        <v>93</v>
      </c>
      <c r="Q37" s="2"/>
      <c r="R37" s="65"/>
      <c r="S37" s="65"/>
      <c r="T37" s="65"/>
      <c r="U37" s="65"/>
      <c r="V37" s="78"/>
      <c r="W37" s="79"/>
      <c r="X37" s="79"/>
    </row>
    <row r="38" spans="1:24" x14ac:dyDescent="0.25">
      <c r="A38" s="107"/>
      <c r="B38" s="107"/>
      <c r="C38" s="107"/>
      <c r="D38" s="107"/>
      <c r="E38" s="107"/>
      <c r="F38" s="107"/>
      <c r="G38" s="107"/>
      <c r="H38" s="152"/>
      <c r="I38" s="152"/>
      <c r="J38" s="107"/>
      <c r="K38" s="107"/>
      <c r="L38" s="3"/>
      <c r="M38" s="107"/>
      <c r="N38" s="107"/>
      <c r="O38" s="107"/>
      <c r="P38" s="107"/>
      <c r="Q38" s="107"/>
      <c r="R38" s="152"/>
      <c r="S38" s="152"/>
      <c r="T38" s="152"/>
      <c r="U38" s="107"/>
      <c r="V38" s="107"/>
      <c r="W38" s="107"/>
      <c r="X38" s="107"/>
    </row>
    <row r="39" spans="1:24" x14ac:dyDescent="0.25">
      <c r="A39" s="107"/>
      <c r="B39" s="107"/>
      <c r="C39" s="107"/>
      <c r="D39" s="107"/>
      <c r="E39" s="107"/>
      <c r="F39" s="107"/>
      <c r="G39" s="107"/>
      <c r="H39" s="153"/>
      <c r="I39" s="154"/>
      <c r="J39" s="107"/>
      <c r="K39" s="107"/>
      <c r="L39" s="3"/>
      <c r="M39" s="107"/>
      <c r="N39" s="107"/>
      <c r="O39" s="107"/>
      <c r="P39" s="107"/>
      <c r="Q39" s="107"/>
      <c r="R39" s="152"/>
      <c r="S39" s="152"/>
      <c r="T39" s="152"/>
      <c r="U39" s="107"/>
      <c r="V39" s="107"/>
      <c r="W39" s="107"/>
      <c r="X39" s="107"/>
    </row>
    <row r="40" spans="1:24" x14ac:dyDescent="0.25">
      <c r="A40" s="107"/>
      <c r="B40" s="107"/>
      <c r="C40" s="107"/>
      <c r="D40" s="107"/>
      <c r="E40" s="107"/>
      <c r="F40" s="107"/>
      <c r="G40" s="107"/>
      <c r="H40" s="152"/>
      <c r="I40" s="152"/>
      <c r="J40" s="107"/>
      <c r="K40" s="107"/>
      <c r="L40" s="3"/>
      <c r="M40" s="107"/>
      <c r="N40" s="107"/>
      <c r="O40" s="107"/>
      <c r="P40" s="107"/>
      <c r="Q40" s="107"/>
      <c r="R40" s="152"/>
      <c r="S40" s="153"/>
      <c r="T40" s="154"/>
      <c r="U40" s="107"/>
      <c r="V40" s="107"/>
      <c r="W40" s="107"/>
      <c r="X40" s="107"/>
    </row>
    <row r="41" spans="1:24" x14ac:dyDescent="0.25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3"/>
      <c r="M41" s="132"/>
      <c r="N41" s="132"/>
      <c r="O41" s="107"/>
      <c r="P41" s="107"/>
      <c r="Q41" s="107"/>
      <c r="R41" s="152"/>
      <c r="S41" s="152"/>
      <c r="T41" s="152"/>
      <c r="U41" s="107"/>
      <c r="V41" s="107"/>
      <c r="W41" s="107"/>
      <c r="X41" s="107"/>
    </row>
    <row r="42" spans="1:24" x14ac:dyDescent="0.25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3"/>
      <c r="M42" s="133" t="s">
        <v>30</v>
      </c>
      <c r="N42" s="134">
        <f>P36-C36</f>
        <v>8895.2800000000007</v>
      </c>
      <c r="O42" s="107"/>
      <c r="P42" s="107"/>
      <c r="Q42" s="107"/>
      <c r="R42" s="152"/>
      <c r="S42" s="152"/>
      <c r="T42" s="152"/>
      <c r="U42" s="107"/>
      <c r="V42" s="107"/>
      <c r="W42" s="107"/>
      <c r="X42" s="107"/>
    </row>
    <row r="43" spans="1:24" x14ac:dyDescent="0.25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3"/>
      <c r="M43" s="132"/>
      <c r="N43" s="132"/>
      <c r="O43" s="107"/>
      <c r="P43" s="107"/>
      <c r="Q43" s="107"/>
      <c r="R43" s="152"/>
      <c r="S43" s="152"/>
      <c r="T43" s="152"/>
      <c r="U43" s="107"/>
      <c r="V43" s="107"/>
      <c r="W43" s="107"/>
      <c r="X43" s="107"/>
    </row>
    <row r="44" spans="1:24" x14ac:dyDescent="0.25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3"/>
      <c r="M44" s="107"/>
      <c r="N44" s="107"/>
      <c r="O44" s="107"/>
      <c r="P44" s="107"/>
      <c r="Q44" s="107"/>
      <c r="R44" s="152"/>
      <c r="S44" s="152"/>
      <c r="T44" s="152"/>
      <c r="U44" s="107"/>
      <c r="V44" s="107"/>
      <c r="W44" s="107"/>
      <c r="X44" s="107"/>
    </row>
    <row r="45" spans="1:24" x14ac:dyDescent="0.25">
      <c r="R45" s="155"/>
      <c r="S45" s="155"/>
      <c r="T45" s="155"/>
    </row>
  </sheetData>
  <conditionalFormatting sqref="C1:C5 O5:Q9 P10:Q30">
    <cfRule type="cellIs" dxfId="77" priority="11" operator="equal">
      <formula>15698.2</formula>
    </cfRule>
  </conditionalFormatting>
  <conditionalFormatting sqref="C36">
    <cfRule type="cellIs" dxfId="76" priority="20" operator="equal">
      <formula>"kapalı"</formula>
    </cfRule>
    <cfRule type="cellIs" dxfId="75" priority="19" operator="equal">
      <formula>15698.2</formula>
    </cfRule>
  </conditionalFormatting>
  <conditionalFormatting sqref="C31:D31">
    <cfRule type="cellIs" dxfId="74" priority="13" operator="equal">
      <formula>"KAPALI"</formula>
    </cfRule>
    <cfRule type="cellIs" dxfId="73" priority="14" operator="equal">
      <formula>"açık"</formula>
    </cfRule>
  </conditionalFormatting>
  <conditionalFormatting sqref="C31:G31">
    <cfRule type="cellIs" dxfId="72" priority="15" operator="equal">
      <formula>15698.2</formula>
    </cfRule>
  </conditionalFormatting>
  <conditionalFormatting sqref="D9">
    <cfRule type="cellIs" dxfId="71" priority="12" operator="equal">
      <formula>"K.KART"</formula>
    </cfRule>
  </conditionalFormatting>
  <conditionalFormatting sqref="D14:D20 D21:G30">
    <cfRule type="cellIs" dxfId="70" priority="9" operator="equal">
      <formula>"kapalı"</formula>
    </cfRule>
  </conditionalFormatting>
  <conditionalFormatting sqref="D32:G37">
    <cfRule type="cellIs" dxfId="69" priority="16" operator="equal">
      <formula>15698.2</formula>
    </cfRule>
  </conditionalFormatting>
  <conditionalFormatting sqref="D1:I4 D5:E5 H5:I8 R5:R11 E6:E20 S9:T37 H12:H15 R14:R37 H17:H21 H23:H29 H30:I37">
    <cfRule type="cellIs" dxfId="68" priority="32" operator="equal">
      <formula>"K.KART"</formula>
    </cfRule>
  </conditionalFormatting>
  <conditionalFormatting sqref="E31:G31 D32:G37">
    <cfRule type="cellIs" dxfId="67" priority="17" operator="equal">
      <formula>"kapalı"</formula>
    </cfRule>
  </conditionalFormatting>
  <conditionalFormatting sqref="F10">
    <cfRule type="cellIs" dxfId="66" priority="37" operator="equal">
      <formula>"K.KART"</formula>
    </cfRule>
    <cfRule type="cellIs" dxfId="65" priority="10" operator="equal">
      <formula>"kapalı"</formula>
    </cfRule>
  </conditionalFormatting>
  <conditionalFormatting sqref="F5:G5">
    <cfRule type="cellIs" dxfId="64" priority="18" operator="equal">
      <formula>15698.2</formula>
    </cfRule>
  </conditionalFormatting>
  <conditionalFormatting sqref="F5:G8 D6:D7 D9:D12 P9:Q27 F11:G20">
    <cfRule type="cellIs" dxfId="63" priority="5" operator="equal">
      <formula>"kapalı"</formula>
    </cfRule>
  </conditionalFormatting>
  <conditionalFormatting sqref="F6:G6">
    <cfRule type="cellIs" dxfId="62" priority="6" operator="equal">
      <formula>"K.KART"</formula>
    </cfRule>
  </conditionalFormatting>
  <conditionalFormatting sqref="F12:G12">
    <cfRule type="cellIs" dxfId="61" priority="38" operator="equal">
      <formula>"K.KART"</formula>
    </cfRule>
  </conditionalFormatting>
  <conditionalFormatting sqref="H16">
    <cfRule type="cellIs" dxfId="60" priority="21" operator="equal">
      <formula>"K.KART"</formula>
    </cfRule>
  </conditionalFormatting>
  <conditionalFormatting sqref="H9:I11">
    <cfRule type="cellIs" dxfId="59" priority="7" operator="equal">
      <formula>"K.KART"</formula>
    </cfRule>
  </conditionalFormatting>
  <conditionalFormatting sqref="I12">
    <cfRule type="cellIs" dxfId="58" priority="8" operator="equal">
      <formula>"K.KART"</formula>
    </cfRule>
  </conditionalFormatting>
  <conditionalFormatting sqref="I23:I27 I29">
    <cfRule type="cellIs" dxfId="57" priority="22" operator="equal">
      <formula>"K.KART"</formula>
    </cfRule>
  </conditionalFormatting>
  <conditionalFormatting sqref="O4:P4 R12:R15">
    <cfRule type="cellIs" dxfId="56" priority="23" operator="equal">
      <formula>15698.2</formula>
    </cfRule>
    <cfRule type="cellIs" dxfId="55" priority="24" operator="equal">
      <formula>"kapalı"</formula>
    </cfRule>
  </conditionalFormatting>
  <conditionalFormatting sqref="O10:P10">
    <cfRule type="cellIs" dxfId="54" priority="26" operator="equal">
      <formula>15698.2</formula>
    </cfRule>
    <cfRule type="cellIs" dxfId="53" priority="27" operator="equal">
      <formula>"kapalı"</formula>
    </cfRule>
  </conditionalFormatting>
  <conditionalFormatting sqref="O1:Q3 O11 O26:O30 O32:O35 P32:Q37 O37">
    <cfRule type="cellIs" dxfId="52" priority="33" operator="equal">
      <formula>15698.2</formula>
    </cfRule>
  </conditionalFormatting>
  <conditionalFormatting sqref="O1:Q3 O5:Q9 O11:Q11">
    <cfRule type="cellIs" dxfId="51" priority="35" operator="equal">
      <formula>"KAPALI"</formula>
    </cfRule>
    <cfRule type="cellIs" dxfId="50" priority="36" operator="equal">
      <formula>"açık"</formula>
    </cfRule>
  </conditionalFormatting>
  <conditionalFormatting sqref="O26:Q35">
    <cfRule type="cellIs" dxfId="49" priority="2" operator="equal">
      <formula>"KAPALI"</formula>
    </cfRule>
    <cfRule type="cellIs" dxfId="48" priority="3" operator="equal">
      <formula>"açık"</formula>
    </cfRule>
  </conditionalFormatting>
  <conditionalFormatting sqref="O31:Q31">
    <cfRule type="cellIs" dxfId="47" priority="4" operator="equal">
      <formula>15698.2</formula>
    </cfRule>
  </conditionalFormatting>
  <conditionalFormatting sqref="P32">
    <cfRule type="cellIs" dxfId="46" priority="1" operator="equal">
      <formula>15698.2</formula>
    </cfRule>
  </conditionalFormatting>
  <conditionalFormatting sqref="P36:Q36 O37:Q37">
    <cfRule type="cellIs" dxfId="45" priority="30" operator="equal">
      <formula>"KAPALI"</formula>
    </cfRule>
    <cfRule type="cellIs" dxfId="44" priority="31" operator="equal">
      <formula>"açık"</formula>
    </cfRule>
  </conditionalFormatting>
  <conditionalFormatting sqref="Q10 S10:V10">
    <cfRule type="cellIs" dxfId="43" priority="28" operator="equal">
      <formula>"K.KART"</formula>
    </cfRule>
  </conditionalFormatting>
  <conditionalFormatting sqref="Q28:Q29">
    <cfRule type="cellIs" dxfId="42" priority="29" operator="equal">
      <formula>"kapalı"</formula>
    </cfRule>
  </conditionalFormatting>
  <conditionalFormatting sqref="Q4:W4">
    <cfRule type="cellIs" dxfId="41" priority="25" operator="equal">
      <formula>"K.KART"</formula>
    </cfRule>
  </conditionalFormatting>
  <conditionalFormatting sqref="R1:T3">
    <cfRule type="cellIs" dxfId="40" priority="34" operator="equal">
      <formula>"K.KART"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F6B3-30BF-4034-8AEC-52AEE7018FFF}">
  <dimension ref="A1:X45"/>
  <sheetViews>
    <sheetView tabSelected="1" topLeftCell="C1" workbookViewId="0">
      <selection activeCell="M10" sqref="M10"/>
    </sheetView>
  </sheetViews>
  <sheetFormatPr defaultRowHeight="15" x14ac:dyDescent="0.25"/>
  <cols>
    <col min="1" max="1" width="21.85546875" customWidth="1"/>
    <col min="2" max="2" width="12.140625" customWidth="1"/>
    <col min="3" max="3" width="12.28515625" customWidth="1"/>
    <col min="5" max="5" width="10.5703125" customWidth="1"/>
    <col min="6" max="6" width="12.28515625" customWidth="1"/>
    <col min="7" max="7" width="11.42578125" customWidth="1"/>
    <col min="8" max="8" width="14.42578125" customWidth="1"/>
    <col min="9" max="9" width="11.5703125" customWidth="1"/>
    <col min="10" max="10" width="14" customWidth="1"/>
    <col min="11" max="11" width="6.42578125" customWidth="1"/>
    <col min="12" max="12" width="2.42578125" customWidth="1"/>
    <col min="13" max="13" width="22.28515625" customWidth="1"/>
    <col min="14" max="14" width="12" customWidth="1"/>
    <col min="15" max="15" width="15.5703125" customWidth="1"/>
    <col min="16" max="16" width="12" customWidth="1"/>
    <col min="19" max="19" width="13" customWidth="1"/>
    <col min="20" max="20" width="12.140625" customWidth="1"/>
    <col min="21" max="21" width="11.28515625" customWidth="1"/>
    <col min="22" max="22" width="11.85546875" customWidth="1"/>
    <col min="23" max="23" width="12.140625" customWidth="1"/>
    <col min="24" max="24" width="5.5703125" customWidth="1"/>
  </cols>
  <sheetData>
    <row r="1" spans="1:2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1"/>
      <c r="N1" s="1"/>
      <c r="O1" s="2"/>
      <c r="P1" s="2"/>
      <c r="Q1" s="2"/>
      <c r="R1" s="2"/>
      <c r="S1" s="2"/>
      <c r="T1" s="2"/>
      <c r="U1" s="2"/>
      <c r="V1" s="4"/>
      <c r="W1" s="5"/>
      <c r="X1" s="5"/>
    </row>
    <row r="2" spans="1:24" x14ac:dyDescent="0.25">
      <c r="A2" s="6" t="s">
        <v>0</v>
      </c>
      <c r="B2" s="6"/>
      <c r="C2" s="7"/>
      <c r="D2" s="7"/>
      <c r="E2" s="7"/>
      <c r="F2" s="7"/>
      <c r="G2" s="7"/>
      <c r="H2" s="7"/>
      <c r="I2" s="7"/>
      <c r="J2" s="7"/>
      <c r="K2" s="7"/>
      <c r="L2" s="3"/>
      <c r="M2" s="6" t="s">
        <v>1</v>
      </c>
      <c r="N2" s="6"/>
      <c r="O2" s="7"/>
      <c r="P2" s="7"/>
      <c r="Q2" s="7"/>
      <c r="R2" s="7"/>
      <c r="S2" s="7"/>
      <c r="T2" s="7"/>
      <c r="U2" s="7"/>
      <c r="V2" s="8"/>
      <c r="W2" s="9"/>
      <c r="X2" s="9"/>
    </row>
    <row r="3" spans="1:24" x14ac:dyDescent="0.25">
      <c r="A3" s="10" t="s">
        <v>135</v>
      </c>
      <c r="B3" s="10">
        <v>2025</v>
      </c>
      <c r="C3" s="11"/>
      <c r="D3" s="11"/>
      <c r="E3" s="11"/>
      <c r="F3" s="11"/>
      <c r="G3" s="11"/>
      <c r="H3" s="11"/>
      <c r="I3" s="11"/>
      <c r="J3" s="11"/>
      <c r="K3" s="11"/>
      <c r="L3" s="12"/>
      <c r="M3" s="10" t="s">
        <v>135</v>
      </c>
      <c r="N3" s="10">
        <v>2025</v>
      </c>
      <c r="O3" s="11"/>
      <c r="P3" s="11"/>
      <c r="Q3" s="11"/>
      <c r="R3" s="11"/>
      <c r="S3" s="11"/>
      <c r="T3" s="11"/>
      <c r="U3" s="11"/>
      <c r="V3" s="13"/>
      <c r="W3" s="14"/>
      <c r="X3" s="14"/>
    </row>
    <row r="4" spans="1:24" ht="25.5" x14ac:dyDescent="0.25">
      <c r="A4" s="15" t="s">
        <v>2</v>
      </c>
      <c r="B4" s="15" t="s">
        <v>3</v>
      </c>
      <c r="C4" s="16" t="s">
        <v>4</v>
      </c>
      <c r="D4" s="16" t="s">
        <v>5</v>
      </c>
      <c r="E4" s="16" t="s">
        <v>6</v>
      </c>
      <c r="F4" s="17" t="s">
        <v>68</v>
      </c>
      <c r="G4" s="17" t="s">
        <v>69</v>
      </c>
      <c r="H4" s="16" t="s">
        <v>8</v>
      </c>
      <c r="I4" s="16" t="s">
        <v>9</v>
      </c>
      <c r="J4" s="18" t="s">
        <v>10</v>
      </c>
      <c r="K4" s="18" t="s">
        <v>81</v>
      </c>
      <c r="L4" s="19"/>
      <c r="M4" s="15" t="s">
        <v>2</v>
      </c>
      <c r="N4" s="15" t="s">
        <v>3</v>
      </c>
      <c r="O4" s="16" t="s">
        <v>4</v>
      </c>
      <c r="P4" s="16" t="s">
        <v>11</v>
      </c>
      <c r="Q4" s="16" t="s">
        <v>5</v>
      </c>
      <c r="R4" s="16" t="s">
        <v>6</v>
      </c>
      <c r="S4" s="16" t="s">
        <v>68</v>
      </c>
      <c r="T4" s="16" t="s">
        <v>69</v>
      </c>
      <c r="U4" s="16" t="s">
        <v>8</v>
      </c>
      <c r="V4" s="18" t="s">
        <v>9</v>
      </c>
      <c r="W4" s="18" t="s">
        <v>12</v>
      </c>
      <c r="X4" s="18" t="s">
        <v>81</v>
      </c>
    </row>
    <row r="5" spans="1:24" x14ac:dyDescent="0.25">
      <c r="A5" s="20" t="s">
        <v>13</v>
      </c>
      <c r="B5" s="20"/>
      <c r="C5" s="21"/>
      <c r="D5" s="21"/>
      <c r="E5" s="21"/>
      <c r="F5" s="22"/>
      <c r="G5" s="22"/>
      <c r="H5" s="23"/>
      <c r="I5" s="21"/>
      <c r="J5" s="163">
        <v>1573.85</v>
      </c>
      <c r="K5" s="24"/>
      <c r="L5" s="25"/>
      <c r="M5" s="26" t="s">
        <v>13</v>
      </c>
      <c r="N5" s="20"/>
      <c r="O5" s="21"/>
      <c r="P5" s="21"/>
      <c r="Q5" s="21"/>
      <c r="R5" s="21"/>
      <c r="S5" s="21"/>
      <c r="T5" s="21"/>
      <c r="U5" s="21"/>
      <c r="V5" s="27"/>
      <c r="W5" s="28"/>
      <c r="X5" s="24"/>
    </row>
    <row r="6" spans="1:24" x14ac:dyDescent="0.25">
      <c r="A6" s="29" t="s">
        <v>18</v>
      </c>
      <c r="B6" s="34">
        <v>45919</v>
      </c>
      <c r="C6" s="30">
        <v>603418429</v>
      </c>
      <c r="D6" s="35" t="s">
        <v>15</v>
      </c>
      <c r="E6" s="149" t="s">
        <v>49</v>
      </c>
      <c r="F6" s="147">
        <v>25910.18</v>
      </c>
      <c r="G6" s="147">
        <v>24676.35</v>
      </c>
      <c r="H6" s="116">
        <v>4318.45</v>
      </c>
      <c r="I6" s="123"/>
      <c r="J6" s="138">
        <f t="shared" ref="J6:J21" si="0">I6*K6</f>
        <v>0</v>
      </c>
      <c r="K6" s="139">
        <v>0.5</v>
      </c>
      <c r="L6" s="25"/>
      <c r="M6" s="126" t="s">
        <v>138</v>
      </c>
      <c r="N6" s="136">
        <v>46012</v>
      </c>
      <c r="O6" s="137" t="s">
        <v>139</v>
      </c>
      <c r="P6" s="123" t="s">
        <v>48</v>
      </c>
      <c r="Q6" s="123" t="s">
        <v>15</v>
      </c>
      <c r="R6" s="123" t="s">
        <v>17</v>
      </c>
      <c r="S6" s="123">
        <v>14710</v>
      </c>
      <c r="T6" s="123">
        <v>14009.52</v>
      </c>
      <c r="U6" s="123"/>
      <c r="V6" s="123"/>
      <c r="W6" s="138">
        <f t="shared" ref="W6:W13" si="1">V6*X6</f>
        <v>0</v>
      </c>
      <c r="X6" s="139">
        <v>0.5</v>
      </c>
    </row>
    <row r="7" spans="1:24" x14ac:dyDescent="0.25">
      <c r="A7" s="29" t="s">
        <v>136</v>
      </c>
      <c r="B7" s="34">
        <v>45994</v>
      </c>
      <c r="C7" s="30">
        <v>5489452</v>
      </c>
      <c r="D7" s="31" t="s">
        <v>39</v>
      </c>
      <c r="E7" s="123" t="s">
        <v>17</v>
      </c>
      <c r="F7" s="147">
        <v>65260.34</v>
      </c>
      <c r="G7" s="32">
        <v>65260.34</v>
      </c>
      <c r="H7" s="116"/>
      <c r="I7" s="123"/>
      <c r="J7" s="138">
        <f t="shared" si="0"/>
        <v>0</v>
      </c>
      <c r="K7" s="139">
        <v>0.5</v>
      </c>
      <c r="L7" s="25"/>
      <c r="M7" s="126" t="s">
        <v>133</v>
      </c>
      <c r="N7" s="136">
        <v>45996</v>
      </c>
      <c r="O7" s="137" t="s">
        <v>140</v>
      </c>
      <c r="P7" s="123" t="s">
        <v>48</v>
      </c>
      <c r="Q7" s="123" t="s">
        <v>141</v>
      </c>
      <c r="R7" s="123" t="s">
        <v>17</v>
      </c>
      <c r="S7" s="123">
        <v>2200.13</v>
      </c>
      <c r="T7" s="123">
        <v>2095.36</v>
      </c>
      <c r="U7" s="123"/>
      <c r="V7" s="123"/>
      <c r="W7" s="138">
        <f t="shared" si="1"/>
        <v>0</v>
      </c>
      <c r="X7" s="139">
        <v>0.5</v>
      </c>
    </row>
    <row r="8" spans="1:24" x14ac:dyDescent="0.25">
      <c r="A8" s="29" t="s">
        <v>137</v>
      </c>
      <c r="B8" s="34">
        <v>45993</v>
      </c>
      <c r="C8" s="30">
        <v>7898108</v>
      </c>
      <c r="D8" s="35" t="s">
        <v>39</v>
      </c>
      <c r="E8" s="123" t="s">
        <v>17</v>
      </c>
      <c r="F8" s="147">
        <v>16622.990000000002</v>
      </c>
      <c r="G8" s="147">
        <v>16622.990000000002</v>
      </c>
      <c r="H8" s="40"/>
      <c r="I8" s="123"/>
      <c r="J8" s="138">
        <f t="shared" si="0"/>
        <v>0</v>
      </c>
      <c r="K8" s="139">
        <v>0.5</v>
      </c>
      <c r="L8" s="19"/>
      <c r="M8" s="126" t="s">
        <v>143</v>
      </c>
      <c r="N8" s="136">
        <v>46003</v>
      </c>
      <c r="O8" s="137" t="s">
        <v>144</v>
      </c>
      <c r="P8" s="123" t="s">
        <v>48</v>
      </c>
      <c r="Q8" s="123" t="s">
        <v>15</v>
      </c>
      <c r="R8" s="123" t="s">
        <v>17</v>
      </c>
      <c r="S8" s="123">
        <v>24160</v>
      </c>
      <c r="T8" s="123">
        <v>23009.52</v>
      </c>
      <c r="U8" s="123"/>
      <c r="V8" s="142"/>
      <c r="W8" s="138">
        <f t="shared" si="1"/>
        <v>0</v>
      </c>
      <c r="X8" s="139">
        <v>0.5</v>
      </c>
    </row>
    <row r="9" spans="1:24" x14ac:dyDescent="0.25">
      <c r="A9" s="29" t="s">
        <v>142</v>
      </c>
      <c r="B9" s="34">
        <v>46019</v>
      </c>
      <c r="C9" s="45">
        <v>5515960</v>
      </c>
      <c r="D9" s="35" t="s">
        <v>39</v>
      </c>
      <c r="E9" s="148" t="s">
        <v>17</v>
      </c>
      <c r="F9" s="147">
        <v>31337.19</v>
      </c>
      <c r="G9" s="147">
        <v>31337.19</v>
      </c>
      <c r="H9" s="40"/>
      <c r="I9" s="40"/>
      <c r="J9" s="138">
        <f t="shared" si="0"/>
        <v>0</v>
      </c>
      <c r="K9" s="139">
        <v>0.5</v>
      </c>
      <c r="L9" s="19"/>
      <c r="M9" s="42" t="s">
        <v>145</v>
      </c>
      <c r="N9" s="34">
        <v>46009</v>
      </c>
      <c r="O9" s="30">
        <v>1658369325</v>
      </c>
      <c r="P9" s="35" t="s">
        <v>48</v>
      </c>
      <c r="Q9" s="35" t="s">
        <v>15</v>
      </c>
      <c r="R9" s="123" t="s">
        <v>17</v>
      </c>
      <c r="S9" s="35">
        <v>16550</v>
      </c>
      <c r="T9" s="35">
        <v>15761.9</v>
      </c>
      <c r="U9" s="35"/>
      <c r="V9" s="144"/>
      <c r="W9" s="138">
        <f t="shared" si="1"/>
        <v>0</v>
      </c>
      <c r="X9" s="139">
        <v>0.5</v>
      </c>
    </row>
    <row r="10" spans="1:24" x14ac:dyDescent="0.25">
      <c r="A10" s="29"/>
      <c r="B10" s="34"/>
      <c r="C10" s="45"/>
      <c r="D10" s="35"/>
      <c r="E10" s="148"/>
      <c r="F10" s="147"/>
      <c r="G10" s="147"/>
      <c r="H10" s="40"/>
      <c r="I10" s="40"/>
      <c r="J10" s="138">
        <f t="shared" si="0"/>
        <v>0</v>
      </c>
      <c r="K10" s="139">
        <v>0.5</v>
      </c>
      <c r="L10" s="48"/>
      <c r="M10" s="120"/>
      <c r="N10" s="34"/>
      <c r="O10" s="30"/>
      <c r="P10" s="35"/>
      <c r="Q10" s="35"/>
      <c r="R10" s="123"/>
      <c r="S10" s="35"/>
      <c r="T10" s="35"/>
      <c r="U10" s="35"/>
      <c r="V10" s="145"/>
      <c r="W10" s="138">
        <f t="shared" si="1"/>
        <v>0</v>
      </c>
      <c r="X10" s="139">
        <v>0.5</v>
      </c>
    </row>
    <row r="11" spans="1:24" x14ac:dyDescent="0.25">
      <c r="A11" s="29"/>
      <c r="B11" s="34"/>
      <c r="C11" s="45"/>
      <c r="D11" s="35"/>
      <c r="E11" s="148"/>
      <c r="F11" s="147"/>
      <c r="G11" s="147"/>
      <c r="H11" s="40"/>
      <c r="I11" s="40"/>
      <c r="J11" s="138">
        <f t="shared" si="0"/>
        <v>0</v>
      </c>
      <c r="K11" s="139">
        <v>0.5</v>
      </c>
      <c r="L11" s="48"/>
      <c r="M11" s="49"/>
      <c r="N11" s="34"/>
      <c r="O11" s="30"/>
      <c r="P11" s="35"/>
      <c r="Q11" s="35"/>
      <c r="R11" s="123"/>
      <c r="S11" s="35"/>
      <c r="T11" s="35"/>
      <c r="U11" s="35"/>
      <c r="V11" s="36"/>
      <c r="W11" s="138">
        <f t="shared" si="1"/>
        <v>0</v>
      </c>
      <c r="X11" s="139">
        <v>0.5</v>
      </c>
    </row>
    <row r="12" spans="1:24" x14ac:dyDescent="0.25">
      <c r="A12" s="29"/>
      <c r="B12" s="34"/>
      <c r="C12" s="30"/>
      <c r="D12" s="35"/>
      <c r="E12" s="148"/>
      <c r="F12" s="147"/>
      <c r="G12" s="147"/>
      <c r="H12" s="40"/>
      <c r="I12" s="40"/>
      <c r="J12" s="138">
        <f t="shared" si="0"/>
        <v>0</v>
      </c>
      <c r="K12" s="139">
        <v>0.5</v>
      </c>
      <c r="L12" s="48"/>
      <c r="M12" s="49"/>
      <c r="N12" s="34"/>
      <c r="O12" s="30"/>
      <c r="P12" s="35"/>
      <c r="Q12" s="35"/>
      <c r="R12" s="35"/>
      <c r="S12" s="35"/>
      <c r="T12" s="35"/>
      <c r="U12" s="35"/>
      <c r="V12" s="36"/>
      <c r="W12" s="138">
        <f t="shared" si="1"/>
        <v>0</v>
      </c>
      <c r="X12" s="139">
        <v>0.5</v>
      </c>
    </row>
    <row r="13" spans="1:24" x14ac:dyDescent="0.25">
      <c r="A13" s="29"/>
      <c r="B13" s="34"/>
      <c r="C13" s="30"/>
      <c r="D13" s="31"/>
      <c r="E13" s="148"/>
      <c r="F13" s="147"/>
      <c r="G13" s="32"/>
      <c r="H13" s="116"/>
      <c r="I13" s="164"/>
      <c r="J13" s="138">
        <f t="shared" si="0"/>
        <v>0</v>
      </c>
      <c r="K13" s="139">
        <v>0.5</v>
      </c>
      <c r="L13" s="48"/>
      <c r="M13" s="49"/>
      <c r="N13" s="34"/>
      <c r="O13" s="30"/>
      <c r="P13" s="35"/>
      <c r="Q13" s="35"/>
      <c r="R13" s="35"/>
      <c r="S13" s="35"/>
      <c r="T13" s="35"/>
      <c r="U13" s="35"/>
      <c r="V13" s="36"/>
      <c r="W13" s="138">
        <f t="shared" si="1"/>
        <v>0</v>
      </c>
      <c r="X13" s="139">
        <v>0.5</v>
      </c>
    </row>
    <row r="14" spans="1:24" x14ac:dyDescent="0.25">
      <c r="A14" s="29"/>
      <c r="B14" s="34"/>
      <c r="C14" s="30"/>
      <c r="D14" s="35"/>
      <c r="E14" s="148"/>
      <c r="F14" s="147"/>
      <c r="G14" s="32"/>
      <c r="H14" s="116"/>
      <c r="I14" s="164"/>
      <c r="J14" s="138">
        <f t="shared" si="0"/>
        <v>0</v>
      </c>
      <c r="K14" s="139">
        <v>0.5</v>
      </c>
      <c r="L14" s="48"/>
      <c r="M14" s="49"/>
      <c r="N14" s="30"/>
      <c r="O14" s="30"/>
      <c r="P14" s="35"/>
      <c r="Q14" s="35"/>
      <c r="R14" s="35" t="s">
        <v>23</v>
      </c>
      <c r="S14" s="35">
        <f>S6+S7+S8+S9+S10+S11+S12+S13</f>
        <v>57620.130000000005</v>
      </c>
      <c r="T14" s="35">
        <f>T6+T7+T8+T9+T11+T12+T10+T13</f>
        <v>54876.3</v>
      </c>
      <c r="U14" s="35">
        <f>U6+U7</f>
        <v>0</v>
      </c>
      <c r="V14" s="52">
        <f>V6+V7+V8+V9+V10+V11+V12+V13</f>
        <v>0</v>
      </c>
      <c r="W14" s="33" t="e">
        <f>W6+W7+#REF!+W8+W9+W10+W11+W12+W13+#REF!</f>
        <v>#REF!</v>
      </c>
      <c r="X14" s="139">
        <v>0.5</v>
      </c>
    </row>
    <row r="15" spans="1:24" x14ac:dyDescent="0.25">
      <c r="A15" s="29"/>
      <c r="B15" s="34"/>
      <c r="C15" s="30"/>
      <c r="D15" s="35"/>
      <c r="E15" s="148"/>
      <c r="F15" s="147"/>
      <c r="G15" s="32"/>
      <c r="H15" s="116"/>
      <c r="I15" s="164"/>
      <c r="J15" s="138">
        <f t="shared" si="0"/>
        <v>0</v>
      </c>
      <c r="K15" s="139">
        <v>0.5</v>
      </c>
      <c r="L15" s="48"/>
      <c r="M15" s="49"/>
      <c r="N15" s="30"/>
      <c r="O15" s="30"/>
      <c r="P15" s="35"/>
      <c r="Q15" s="35"/>
      <c r="R15" s="35"/>
      <c r="S15" s="35"/>
      <c r="T15" s="35"/>
      <c r="U15" s="35"/>
      <c r="V15" s="52"/>
      <c r="W15" s="54"/>
      <c r="X15" s="140"/>
    </row>
    <row r="16" spans="1:24" x14ac:dyDescent="0.25">
      <c r="A16" s="29"/>
      <c r="B16" s="34"/>
      <c r="C16" s="30"/>
      <c r="D16" s="35"/>
      <c r="E16" s="148"/>
      <c r="F16" s="147"/>
      <c r="G16" s="32"/>
      <c r="H16" s="116"/>
      <c r="I16" s="164"/>
      <c r="J16" s="138">
        <f t="shared" si="0"/>
        <v>0</v>
      </c>
      <c r="K16" s="139">
        <v>0.5</v>
      </c>
      <c r="L16" s="48"/>
      <c r="M16" s="49"/>
      <c r="N16" s="30"/>
      <c r="O16" s="30"/>
      <c r="P16" s="35"/>
      <c r="Q16" s="35"/>
      <c r="R16" s="35"/>
      <c r="S16" s="35"/>
      <c r="T16" s="35"/>
      <c r="U16" s="35"/>
      <c r="V16" s="52"/>
      <c r="W16" s="54"/>
      <c r="X16" s="140"/>
    </row>
    <row r="17" spans="1:24" x14ac:dyDescent="0.25">
      <c r="A17" s="29"/>
      <c r="B17" s="34"/>
      <c r="C17" s="30"/>
      <c r="D17" s="35"/>
      <c r="E17" s="148"/>
      <c r="F17" s="147"/>
      <c r="G17" s="32"/>
      <c r="H17" s="116"/>
      <c r="I17" s="165"/>
      <c r="J17" s="138">
        <f t="shared" si="0"/>
        <v>0</v>
      </c>
      <c r="K17" s="139">
        <v>0.5</v>
      </c>
      <c r="L17" s="48"/>
      <c r="M17" s="49"/>
      <c r="N17" s="30"/>
      <c r="O17" s="30"/>
      <c r="P17" s="35"/>
      <c r="Q17" s="35"/>
      <c r="R17" s="35"/>
      <c r="S17" s="35"/>
      <c r="T17" s="35"/>
      <c r="U17" s="35"/>
      <c r="V17" s="52"/>
      <c r="W17" s="54"/>
      <c r="X17" s="140"/>
    </row>
    <row r="18" spans="1:24" x14ac:dyDescent="0.25">
      <c r="A18" s="150"/>
      <c r="B18" s="34"/>
      <c r="C18" s="30"/>
      <c r="D18" s="35"/>
      <c r="E18" s="148"/>
      <c r="F18" s="147"/>
      <c r="G18" s="32"/>
      <c r="H18" s="116"/>
      <c r="I18" s="165"/>
      <c r="J18" s="138">
        <f t="shared" si="0"/>
        <v>0</v>
      </c>
      <c r="K18" s="139">
        <v>0.5</v>
      </c>
      <c r="L18" s="48"/>
      <c r="M18" s="49"/>
      <c r="N18" s="30"/>
      <c r="O18" s="30"/>
      <c r="P18" s="35"/>
      <c r="Q18" s="35"/>
      <c r="R18" s="35"/>
      <c r="S18" s="35"/>
      <c r="T18" s="35"/>
      <c r="U18" s="35"/>
      <c r="V18" s="52"/>
      <c r="W18" s="54"/>
      <c r="X18" s="140"/>
    </row>
    <row r="19" spans="1:24" x14ac:dyDescent="0.25">
      <c r="A19" s="150"/>
      <c r="B19" s="34"/>
      <c r="C19" s="30"/>
      <c r="D19" s="35"/>
      <c r="E19" s="148"/>
      <c r="F19" s="32"/>
      <c r="G19" s="32"/>
      <c r="H19" s="116"/>
      <c r="I19" s="165"/>
      <c r="J19" s="138">
        <f t="shared" si="0"/>
        <v>0</v>
      </c>
      <c r="K19" s="139">
        <v>0.5</v>
      </c>
      <c r="L19" s="48"/>
      <c r="M19" s="56"/>
      <c r="N19" s="57"/>
      <c r="O19" s="58"/>
      <c r="P19" s="59"/>
      <c r="Q19" s="59"/>
      <c r="R19" s="59"/>
      <c r="S19" s="59"/>
      <c r="T19" s="59"/>
      <c r="U19" s="59"/>
      <c r="V19" s="60"/>
      <c r="W19" s="61"/>
      <c r="X19" s="140"/>
    </row>
    <row r="20" spans="1:24" x14ac:dyDescent="0.25">
      <c r="A20" s="150"/>
      <c r="B20" s="34"/>
      <c r="C20" s="30"/>
      <c r="D20" s="35"/>
      <c r="E20" s="148"/>
      <c r="F20" s="32"/>
      <c r="G20" s="32"/>
      <c r="H20" s="116"/>
      <c r="I20" s="165"/>
      <c r="J20" s="138">
        <f t="shared" si="0"/>
        <v>0</v>
      </c>
      <c r="K20" s="139">
        <v>0.5</v>
      </c>
      <c r="L20" s="48"/>
      <c r="M20" s="56"/>
      <c r="N20" s="57"/>
      <c r="O20" s="58"/>
      <c r="P20" s="59"/>
      <c r="Q20" s="59"/>
      <c r="R20" s="59"/>
      <c r="S20" s="59"/>
      <c r="T20" s="59"/>
      <c r="U20" s="59"/>
      <c r="V20" s="60"/>
      <c r="W20" s="61"/>
      <c r="X20" s="140"/>
    </row>
    <row r="21" spans="1:24" x14ac:dyDescent="0.25">
      <c r="A21" s="30"/>
      <c r="B21" s="34"/>
      <c r="C21" s="30"/>
      <c r="D21" s="35"/>
      <c r="E21" s="35"/>
      <c r="F21" s="62"/>
      <c r="G21" s="62"/>
      <c r="H21" s="116"/>
      <c r="I21" s="165"/>
      <c r="J21" s="138">
        <f t="shared" si="0"/>
        <v>0</v>
      </c>
      <c r="K21" s="139">
        <v>0.5</v>
      </c>
      <c r="L21" s="48"/>
      <c r="M21" s="56"/>
      <c r="N21" s="57"/>
      <c r="O21" s="58"/>
      <c r="P21" s="59"/>
      <c r="Q21" s="59"/>
      <c r="R21" s="59"/>
      <c r="S21" s="59"/>
      <c r="T21" s="59"/>
      <c r="U21" s="59"/>
      <c r="V21" s="60"/>
      <c r="W21" s="61"/>
      <c r="X21" s="140"/>
    </row>
    <row r="22" spans="1:24" x14ac:dyDescent="0.25">
      <c r="A22" s="30"/>
      <c r="B22" s="34"/>
      <c r="C22" s="30"/>
      <c r="D22" s="35"/>
      <c r="E22" s="35" t="s">
        <v>23</v>
      </c>
      <c r="F22" s="117">
        <f>SUM(F6:F21)</f>
        <v>139130.69999999998</v>
      </c>
      <c r="G22" s="117">
        <f>G6+G7</f>
        <v>89936.69</v>
      </c>
      <c r="H22" s="116">
        <f>H6+H7+H8+H9+H10</f>
        <v>4318.45</v>
      </c>
      <c r="I22" s="130">
        <f>SUM(I6:I21)</f>
        <v>0</v>
      </c>
      <c r="J22" s="119">
        <f>SUM(J6:J21)</f>
        <v>0</v>
      </c>
      <c r="K22" s="119"/>
      <c r="L22" s="48"/>
      <c r="M22" s="49"/>
      <c r="N22" s="30"/>
      <c r="O22" s="30"/>
      <c r="P22" s="35"/>
      <c r="Q22" s="35"/>
      <c r="R22" s="35"/>
      <c r="S22" s="35"/>
      <c r="T22" s="35"/>
      <c r="U22" s="35"/>
      <c r="V22" s="52"/>
      <c r="W22" s="54"/>
      <c r="X22" s="54"/>
    </row>
    <row r="23" spans="1:24" x14ac:dyDescent="0.25">
      <c r="A23" s="63"/>
      <c r="B23" s="64"/>
      <c r="C23" s="63"/>
      <c r="D23" s="65"/>
      <c r="E23" s="65"/>
      <c r="F23" s="66"/>
      <c r="G23" s="66"/>
      <c r="H23" s="67"/>
      <c r="I23" s="68"/>
      <c r="J23" s="69"/>
      <c r="K23" s="69"/>
      <c r="L23" s="48"/>
      <c r="M23" s="49"/>
      <c r="N23" s="30"/>
      <c r="O23" s="30"/>
      <c r="P23" s="35"/>
      <c r="Q23" s="35"/>
      <c r="R23" s="35"/>
      <c r="S23" s="35"/>
      <c r="T23" s="35"/>
      <c r="U23" s="35"/>
      <c r="V23" s="52"/>
      <c r="W23" s="70"/>
      <c r="X23" s="70"/>
    </row>
    <row r="24" spans="1:24" x14ac:dyDescent="0.25">
      <c r="A24" s="63"/>
      <c r="B24" s="64"/>
      <c r="C24" s="63"/>
      <c r="D24" s="65"/>
      <c r="E24" s="65"/>
      <c r="F24" s="66"/>
      <c r="G24" s="66"/>
      <c r="H24" s="67"/>
      <c r="I24" s="71"/>
      <c r="J24" s="69"/>
      <c r="K24" s="69"/>
      <c r="L24" s="48"/>
      <c r="M24" s="49"/>
      <c r="N24" s="30"/>
      <c r="O24" s="30"/>
      <c r="P24" s="35"/>
      <c r="Q24" s="35"/>
      <c r="R24" s="35"/>
      <c r="S24" s="35"/>
      <c r="T24" s="35"/>
      <c r="U24" s="35"/>
      <c r="V24" s="52"/>
      <c r="W24" s="70"/>
      <c r="X24" s="70"/>
    </row>
    <row r="25" spans="1:24" x14ac:dyDescent="0.25">
      <c r="A25" s="63"/>
      <c r="B25" s="64"/>
      <c r="C25" s="63"/>
      <c r="D25" s="65"/>
      <c r="E25" s="65"/>
      <c r="F25" s="66"/>
      <c r="G25" s="66"/>
      <c r="H25" s="67"/>
      <c r="I25" s="71"/>
      <c r="J25" s="69"/>
      <c r="K25" s="69"/>
      <c r="L25" s="48"/>
      <c r="M25" s="49"/>
      <c r="N25" s="30"/>
      <c r="O25" s="30"/>
      <c r="P25" s="35"/>
      <c r="Q25" s="35"/>
      <c r="R25" s="35"/>
      <c r="S25" s="35"/>
      <c r="T25" s="35"/>
      <c r="U25" s="35"/>
      <c r="V25" s="52"/>
      <c r="W25" s="70"/>
      <c r="X25" s="70"/>
    </row>
    <row r="26" spans="1:24" x14ac:dyDescent="0.25">
      <c r="A26" s="63"/>
      <c r="B26" s="64"/>
      <c r="C26" s="63"/>
      <c r="D26" s="65"/>
      <c r="E26" s="65"/>
      <c r="F26" s="66"/>
      <c r="G26" s="66"/>
      <c r="H26" s="67"/>
      <c r="I26" s="71"/>
      <c r="J26" s="69"/>
      <c r="K26" s="69"/>
      <c r="L26" s="48"/>
      <c r="M26" s="49"/>
      <c r="N26" s="30"/>
      <c r="O26" s="35"/>
      <c r="P26" s="35"/>
      <c r="Q26" s="35"/>
      <c r="R26" s="35"/>
      <c r="S26" s="35"/>
      <c r="T26" s="35"/>
      <c r="U26" s="35"/>
      <c r="V26" s="52"/>
      <c r="W26" s="70"/>
      <c r="X26" s="70"/>
    </row>
    <row r="27" spans="1:24" x14ac:dyDescent="0.25">
      <c r="A27" s="63"/>
      <c r="B27" s="64"/>
      <c r="C27" s="63"/>
      <c r="D27" s="65"/>
      <c r="E27" s="65"/>
      <c r="F27" s="66"/>
      <c r="G27" s="66"/>
      <c r="H27" s="67"/>
      <c r="I27" s="71"/>
      <c r="J27" s="69"/>
      <c r="K27" s="69"/>
      <c r="L27" s="48"/>
      <c r="M27" s="49"/>
      <c r="N27" s="30"/>
      <c r="O27" s="35"/>
      <c r="P27" s="35"/>
      <c r="Q27" s="35"/>
      <c r="R27" s="35"/>
      <c r="S27" s="35"/>
      <c r="T27" s="35"/>
      <c r="U27" s="35"/>
      <c r="V27" s="52"/>
      <c r="W27" s="70"/>
      <c r="X27" s="70"/>
    </row>
    <row r="28" spans="1:24" x14ac:dyDescent="0.25">
      <c r="A28" s="72" t="s">
        <v>24</v>
      </c>
      <c r="B28" s="73"/>
      <c r="C28" s="74">
        <f>J5</f>
        <v>1573.85</v>
      </c>
      <c r="D28" s="2"/>
      <c r="E28" s="2"/>
      <c r="F28" s="66"/>
      <c r="G28" s="66"/>
      <c r="H28" s="75"/>
      <c r="I28" s="76"/>
      <c r="J28" s="69"/>
      <c r="K28" s="69"/>
      <c r="L28" s="48"/>
      <c r="M28" s="72" t="s">
        <v>24</v>
      </c>
      <c r="N28" s="73"/>
      <c r="O28" s="74"/>
      <c r="P28" s="77">
        <f>W5</f>
        <v>0</v>
      </c>
      <c r="Q28" s="65"/>
      <c r="R28" s="65"/>
      <c r="S28" s="65"/>
      <c r="T28" s="65"/>
      <c r="U28" s="65"/>
      <c r="V28" s="78"/>
      <c r="W28" s="79"/>
      <c r="X28" s="79"/>
    </row>
    <row r="29" spans="1:24" x14ac:dyDescent="0.25">
      <c r="A29" s="1" t="s">
        <v>25</v>
      </c>
      <c r="B29" s="80"/>
      <c r="C29" s="81">
        <f>J22</f>
        <v>0</v>
      </c>
      <c r="D29" s="2"/>
      <c r="E29" s="2"/>
      <c r="F29" s="66"/>
      <c r="G29" s="66"/>
      <c r="H29" s="67"/>
      <c r="I29" s="82"/>
      <c r="J29" s="83"/>
      <c r="K29" s="83"/>
      <c r="L29" s="48"/>
      <c r="M29" s="1" t="s">
        <v>26</v>
      </c>
      <c r="N29" s="80"/>
      <c r="O29" s="81"/>
      <c r="P29" s="2">
        <f>H6</f>
        <v>4318.45</v>
      </c>
      <c r="Q29" s="65"/>
      <c r="R29" s="65"/>
      <c r="S29" s="65"/>
      <c r="T29" s="65"/>
      <c r="U29" s="65"/>
      <c r="V29" s="78"/>
      <c r="W29" s="79"/>
      <c r="X29" s="79"/>
    </row>
    <row r="30" spans="1:24" x14ac:dyDescent="0.25">
      <c r="A30" s="1" t="s">
        <v>27</v>
      </c>
      <c r="B30" s="80"/>
      <c r="C30" s="81"/>
      <c r="D30" s="65"/>
      <c r="E30" s="65"/>
      <c r="F30" s="84"/>
      <c r="G30" s="84"/>
      <c r="H30" s="85"/>
      <c r="I30" s="65"/>
      <c r="J30" s="78"/>
      <c r="K30" s="78"/>
      <c r="L30" s="48"/>
      <c r="M30" s="1" t="s">
        <v>28</v>
      </c>
      <c r="N30" s="80"/>
      <c r="O30" s="81"/>
      <c r="P30" s="2">
        <f>H6+H7+H8+H9+H10+H11</f>
        <v>4318.45</v>
      </c>
      <c r="Q30" s="65"/>
      <c r="R30" s="65"/>
      <c r="S30" s="65"/>
      <c r="T30" s="65"/>
      <c r="U30" s="65"/>
      <c r="V30" s="78"/>
      <c r="W30" s="79"/>
      <c r="X30" s="79"/>
    </row>
    <row r="31" spans="1:24" x14ac:dyDescent="0.25">
      <c r="A31" s="86"/>
      <c r="B31" s="1"/>
      <c r="C31" s="87"/>
      <c r="D31" s="87"/>
      <c r="E31" s="65"/>
      <c r="F31" s="78"/>
      <c r="G31" s="78"/>
      <c r="H31" s="65"/>
      <c r="I31" s="65"/>
      <c r="J31" s="78"/>
      <c r="K31" s="78"/>
      <c r="L31" s="48"/>
      <c r="M31" s="1" t="s">
        <v>125</v>
      </c>
      <c r="N31" s="1"/>
      <c r="O31" s="87"/>
      <c r="P31" s="87">
        <v>1100</v>
      </c>
      <c r="Q31" s="65"/>
      <c r="R31" s="65"/>
      <c r="S31" s="65"/>
      <c r="T31" s="65"/>
      <c r="U31" s="65"/>
      <c r="V31" s="78"/>
      <c r="W31" s="79"/>
      <c r="X31" s="79"/>
    </row>
    <row r="32" spans="1:24" x14ac:dyDescent="0.25">
      <c r="A32" s="86"/>
      <c r="B32" s="1"/>
      <c r="C32" s="90"/>
      <c r="D32" s="65"/>
      <c r="E32" s="65"/>
      <c r="F32" s="78"/>
      <c r="G32" s="78"/>
      <c r="H32" s="65"/>
      <c r="I32" s="65"/>
      <c r="J32" s="91"/>
      <c r="K32" s="91"/>
      <c r="L32" s="3"/>
      <c r="M32" s="86"/>
      <c r="N32" s="1"/>
      <c r="O32" s="87"/>
      <c r="P32" s="87"/>
      <c r="Q32" s="87"/>
      <c r="R32" s="65"/>
      <c r="S32" s="65"/>
      <c r="T32" s="65"/>
      <c r="U32" s="65"/>
      <c r="V32" s="78"/>
      <c r="W32" s="79"/>
      <c r="X32" s="79"/>
    </row>
    <row r="33" spans="1:24" x14ac:dyDescent="0.25">
      <c r="A33" s="1"/>
      <c r="B33" s="80"/>
      <c r="C33" s="4"/>
      <c r="D33" s="65"/>
      <c r="E33" s="65"/>
      <c r="F33" s="65"/>
      <c r="G33" s="65"/>
      <c r="H33" s="65"/>
      <c r="I33" s="65"/>
      <c r="J33" s="65"/>
      <c r="K33" s="65"/>
      <c r="L33" s="48"/>
      <c r="M33" s="63"/>
      <c r="N33" s="63"/>
      <c r="O33" s="65"/>
      <c r="P33" s="65"/>
      <c r="Q33" s="65"/>
      <c r="R33" s="65"/>
      <c r="S33" s="65"/>
      <c r="T33" s="65"/>
      <c r="U33" s="63"/>
      <c r="V33" s="63"/>
      <c r="W33" s="63"/>
      <c r="X33" s="63"/>
    </row>
    <row r="34" spans="1:24" x14ac:dyDescent="0.25">
      <c r="A34" s="1"/>
      <c r="B34" s="80"/>
      <c r="C34" s="1"/>
      <c r="D34" s="2"/>
      <c r="E34" s="2"/>
      <c r="F34" s="2"/>
      <c r="G34" s="2"/>
      <c r="H34" s="2"/>
      <c r="I34" s="2"/>
      <c r="J34" s="2"/>
      <c r="K34" s="2"/>
      <c r="L34" s="3"/>
      <c r="M34" s="1"/>
      <c r="N34" s="1"/>
      <c r="O34" s="2"/>
      <c r="P34" s="2"/>
      <c r="Q34" s="2"/>
      <c r="R34" s="65"/>
      <c r="S34" s="65"/>
      <c r="T34" s="65"/>
      <c r="U34" s="63"/>
      <c r="V34" s="63"/>
      <c r="W34" s="63"/>
      <c r="X34" s="63"/>
    </row>
    <row r="35" spans="1:24" x14ac:dyDescent="0.25">
      <c r="A35" s="1"/>
      <c r="B35" s="80"/>
      <c r="C35" s="1"/>
      <c r="D35" s="2"/>
      <c r="E35" s="2"/>
      <c r="F35" s="2"/>
      <c r="G35" s="2"/>
      <c r="H35" s="2"/>
      <c r="I35" s="2"/>
      <c r="J35" s="2"/>
      <c r="K35" s="2"/>
      <c r="L35" s="3"/>
      <c r="M35" s="1"/>
      <c r="N35" s="80"/>
      <c r="O35" s="81"/>
      <c r="P35" s="2"/>
      <c r="Q35" s="2"/>
      <c r="R35" s="65"/>
      <c r="S35" s="65"/>
      <c r="T35" s="65"/>
      <c r="U35" s="65"/>
      <c r="V35" s="78"/>
      <c r="W35" s="79"/>
      <c r="X35" s="79"/>
    </row>
    <row r="36" spans="1:24" x14ac:dyDescent="0.25">
      <c r="A36" s="92"/>
      <c r="B36" s="92" t="s">
        <v>29</v>
      </c>
      <c r="C36" s="93">
        <f>C28+C29+C30+C31+C32</f>
        <v>1573.85</v>
      </c>
      <c r="D36" s="93"/>
      <c r="E36" s="93"/>
      <c r="F36" s="93"/>
      <c r="G36" s="93"/>
      <c r="H36" s="93"/>
      <c r="I36" s="93"/>
      <c r="J36" s="93"/>
      <c r="K36" s="93"/>
      <c r="L36" s="94"/>
      <c r="M36" s="92"/>
      <c r="N36" s="95"/>
      <c r="O36" s="92" t="s">
        <v>29</v>
      </c>
      <c r="P36" s="93">
        <f>P28+P29+P30+P31+P32</f>
        <v>9736.9</v>
      </c>
      <c r="Q36" s="2"/>
      <c r="R36" s="65"/>
      <c r="S36" s="65"/>
      <c r="T36" s="65"/>
      <c r="U36" s="65"/>
      <c r="V36" s="78"/>
      <c r="W36" s="79"/>
      <c r="X36" s="79"/>
    </row>
    <row r="37" spans="1:24" x14ac:dyDescent="0.25">
      <c r="A37" s="1"/>
      <c r="B37" s="80"/>
      <c r="C37" s="81"/>
      <c r="D37" s="2"/>
      <c r="E37" s="2"/>
      <c r="F37" s="2"/>
      <c r="G37" s="2"/>
      <c r="H37" s="167"/>
      <c r="I37" s="167"/>
      <c r="J37" s="2"/>
      <c r="K37" s="2"/>
      <c r="L37" s="3"/>
      <c r="M37" s="1"/>
      <c r="N37" s="80"/>
      <c r="O37" s="81"/>
      <c r="P37" s="2" t="s">
        <v>93</v>
      </c>
      <c r="Q37" s="2"/>
      <c r="R37" s="65"/>
      <c r="S37" s="65"/>
      <c r="T37" s="65"/>
      <c r="U37" s="65"/>
      <c r="V37" s="78"/>
      <c r="W37" s="79"/>
      <c r="X37" s="79"/>
    </row>
    <row r="38" spans="1:24" x14ac:dyDescent="0.25">
      <c r="A38" s="107"/>
      <c r="B38" s="107"/>
      <c r="C38" s="107"/>
      <c r="D38" s="107"/>
      <c r="E38" s="107"/>
      <c r="F38" s="107"/>
      <c r="G38" s="107"/>
      <c r="H38" s="152"/>
      <c r="I38" s="152"/>
      <c r="J38" s="107"/>
      <c r="K38" s="107"/>
      <c r="L38" s="3"/>
      <c r="M38" s="107"/>
      <c r="N38" s="107"/>
      <c r="O38" s="107"/>
      <c r="P38" s="107"/>
      <c r="Q38" s="107"/>
      <c r="R38" s="152"/>
      <c r="S38" s="152"/>
      <c r="T38" s="152"/>
      <c r="U38" s="107"/>
      <c r="V38" s="107"/>
      <c r="W38" s="107"/>
      <c r="X38" s="107"/>
    </row>
    <row r="39" spans="1:24" x14ac:dyDescent="0.25">
      <c r="A39" s="107"/>
      <c r="B39" s="107"/>
      <c r="C39" s="107"/>
      <c r="D39" s="107"/>
      <c r="E39" s="107"/>
      <c r="F39" s="107"/>
      <c r="G39" s="107"/>
      <c r="H39" s="153"/>
      <c r="I39" s="154"/>
      <c r="J39" s="107"/>
      <c r="K39" s="107"/>
      <c r="L39" s="3"/>
      <c r="M39" s="107"/>
      <c r="N39" s="107"/>
      <c r="O39" s="107"/>
      <c r="P39" s="107"/>
      <c r="Q39" s="107"/>
      <c r="R39" s="152"/>
      <c r="S39" s="152"/>
      <c r="T39" s="152"/>
      <c r="U39" s="107"/>
      <c r="V39" s="107"/>
      <c r="W39" s="107"/>
      <c r="X39" s="107"/>
    </row>
    <row r="40" spans="1:24" x14ac:dyDescent="0.25">
      <c r="A40" s="107"/>
      <c r="B40" s="107"/>
      <c r="C40" s="107"/>
      <c r="D40" s="107"/>
      <c r="E40" s="107"/>
      <c r="F40" s="107"/>
      <c r="G40" s="107"/>
      <c r="H40" s="152"/>
      <c r="I40" s="152"/>
      <c r="J40" s="107"/>
      <c r="K40" s="107"/>
      <c r="L40" s="3"/>
      <c r="M40" s="107"/>
      <c r="N40" s="107"/>
      <c r="O40" s="107"/>
      <c r="P40" s="107"/>
      <c r="Q40" s="107"/>
      <c r="R40" s="152"/>
      <c r="S40" s="153"/>
      <c r="T40" s="154"/>
      <c r="U40" s="107"/>
      <c r="V40" s="107"/>
      <c r="W40" s="107"/>
      <c r="X40" s="107"/>
    </row>
    <row r="41" spans="1:24" x14ac:dyDescent="0.25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3"/>
      <c r="M41" s="132"/>
      <c r="N41" s="132"/>
      <c r="O41" s="107"/>
      <c r="P41" s="107"/>
      <c r="Q41" s="107"/>
      <c r="R41" s="152"/>
      <c r="S41" s="152"/>
      <c r="T41" s="152"/>
      <c r="U41" s="107"/>
      <c r="V41" s="107"/>
      <c r="W41" s="107"/>
      <c r="X41" s="107"/>
    </row>
    <row r="42" spans="1:24" x14ac:dyDescent="0.25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3"/>
      <c r="M42" s="133" t="s">
        <v>30</v>
      </c>
      <c r="N42" s="134">
        <f>P36-C36</f>
        <v>8163.0499999999993</v>
      </c>
      <c r="O42" s="107"/>
      <c r="P42" s="107"/>
      <c r="Q42" s="107"/>
      <c r="R42" s="152"/>
      <c r="S42" s="152"/>
      <c r="T42" s="152"/>
      <c r="U42" s="107"/>
      <c r="V42" s="107"/>
      <c r="W42" s="107"/>
      <c r="X42" s="107"/>
    </row>
    <row r="43" spans="1:24" x14ac:dyDescent="0.25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3"/>
      <c r="M43" s="132"/>
      <c r="N43" s="132"/>
      <c r="O43" s="107"/>
      <c r="P43" s="107"/>
      <c r="Q43" s="107"/>
      <c r="R43" s="152"/>
      <c r="S43" s="152"/>
      <c r="T43" s="152"/>
      <c r="U43" s="107"/>
      <c r="V43" s="107"/>
      <c r="W43" s="107"/>
      <c r="X43" s="107"/>
    </row>
    <row r="44" spans="1:24" x14ac:dyDescent="0.25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3"/>
      <c r="M44" s="107"/>
      <c r="N44" s="107"/>
      <c r="O44" s="107"/>
      <c r="P44" s="107"/>
      <c r="Q44" s="107"/>
      <c r="R44" s="152"/>
      <c r="S44" s="152"/>
      <c r="T44" s="152"/>
      <c r="U44" s="107"/>
      <c r="V44" s="107"/>
      <c r="W44" s="107"/>
      <c r="X44" s="107"/>
    </row>
    <row r="45" spans="1:24" x14ac:dyDescent="0.25">
      <c r="R45" s="155"/>
      <c r="S45" s="155"/>
      <c r="T45" s="155"/>
    </row>
  </sheetData>
  <conditionalFormatting sqref="C1:C5 O5:Q9 P10:Q30">
    <cfRule type="cellIs" dxfId="39" priority="17" operator="equal">
      <formula>15698.2</formula>
    </cfRule>
  </conditionalFormatting>
  <conditionalFormatting sqref="C36">
    <cfRule type="cellIs" dxfId="38" priority="26" operator="equal">
      <formula>"kapalı"</formula>
    </cfRule>
    <cfRule type="cellIs" dxfId="37" priority="25" operator="equal">
      <formula>15698.2</formula>
    </cfRule>
  </conditionalFormatting>
  <conditionalFormatting sqref="C31:D31">
    <cfRule type="cellIs" dxfId="36" priority="19" operator="equal">
      <formula>"KAPALI"</formula>
    </cfRule>
    <cfRule type="cellIs" dxfId="35" priority="20" operator="equal">
      <formula>"açık"</formula>
    </cfRule>
  </conditionalFormatting>
  <conditionalFormatting sqref="C31:G31">
    <cfRule type="cellIs" dxfId="34" priority="21" operator="equal">
      <formula>15698.2</formula>
    </cfRule>
  </conditionalFormatting>
  <conditionalFormatting sqref="D8">
    <cfRule type="cellIs" dxfId="33" priority="4" operator="equal">
      <formula>"K.KART"</formula>
    </cfRule>
  </conditionalFormatting>
  <conditionalFormatting sqref="D14:D20 D21:G30">
    <cfRule type="cellIs" dxfId="32" priority="15" operator="equal">
      <formula>"kapalı"</formula>
    </cfRule>
  </conditionalFormatting>
  <conditionalFormatting sqref="D32:G37">
    <cfRule type="cellIs" dxfId="31" priority="22" operator="equal">
      <formula>15698.2</formula>
    </cfRule>
  </conditionalFormatting>
  <conditionalFormatting sqref="D1:I4 D5:E5 H5:I5 I6:I8 S9:T37 H12:H15 R14:R37 H17:H21 H23:H29 H30:I37 R5:R11">
    <cfRule type="cellIs" dxfId="30" priority="38" operator="equal">
      <formula>"K.KART"</formula>
    </cfRule>
  </conditionalFormatting>
  <conditionalFormatting sqref="E31:G31 D32:G37">
    <cfRule type="cellIs" dxfId="29" priority="23" operator="equal">
      <formula>"kapalı"</formula>
    </cfRule>
  </conditionalFormatting>
  <conditionalFormatting sqref="F9:F10">
    <cfRule type="cellIs" dxfId="28" priority="3" operator="equal">
      <formula>"kapalı"</formula>
    </cfRule>
    <cfRule type="cellIs" dxfId="27" priority="6" operator="equal">
      <formula>"K.KART"</formula>
    </cfRule>
  </conditionalFormatting>
  <conditionalFormatting sqref="F5:G5">
    <cfRule type="cellIs" dxfId="26" priority="24" operator="equal">
      <formula>15698.2</formula>
    </cfRule>
  </conditionalFormatting>
  <conditionalFormatting sqref="F5:G7 D6 D8:D12">
    <cfRule type="cellIs" dxfId="25" priority="1" operator="equal">
      <formula>"kapalı"</formula>
    </cfRule>
  </conditionalFormatting>
  <conditionalFormatting sqref="F12:G12">
    <cfRule type="cellIs" dxfId="24" priority="44" operator="equal">
      <formula>"K.KART"</formula>
    </cfRule>
  </conditionalFormatting>
  <conditionalFormatting sqref="H6:H7 E6:E20">
    <cfRule type="cellIs" dxfId="23" priority="5" operator="equal">
      <formula>"K.KART"</formula>
    </cfRule>
  </conditionalFormatting>
  <conditionalFormatting sqref="H8:H9">
    <cfRule type="cellIs" dxfId="22" priority="2" operator="equal">
      <formula>"K.KART"</formula>
    </cfRule>
  </conditionalFormatting>
  <conditionalFormatting sqref="H16">
    <cfRule type="cellIs" dxfId="21" priority="27" operator="equal">
      <formula>"K.KART"</formula>
    </cfRule>
  </conditionalFormatting>
  <conditionalFormatting sqref="I9 H10:I11">
    <cfRule type="cellIs" dxfId="20" priority="13" operator="equal">
      <formula>"K.KART"</formula>
    </cfRule>
  </conditionalFormatting>
  <conditionalFormatting sqref="I12">
    <cfRule type="cellIs" dxfId="19" priority="14" operator="equal">
      <formula>"K.KART"</formula>
    </cfRule>
  </conditionalFormatting>
  <conditionalFormatting sqref="I23:I27 I29">
    <cfRule type="cellIs" dxfId="18" priority="28" operator="equal">
      <formula>"K.KART"</formula>
    </cfRule>
  </conditionalFormatting>
  <conditionalFormatting sqref="O4:P4 R12:R15">
    <cfRule type="cellIs" dxfId="17" priority="29" operator="equal">
      <formula>15698.2</formula>
    </cfRule>
    <cfRule type="cellIs" dxfId="16" priority="30" operator="equal">
      <formula>"kapalı"</formula>
    </cfRule>
  </conditionalFormatting>
  <conditionalFormatting sqref="O10:P10">
    <cfRule type="cellIs" dxfId="15" priority="32" operator="equal">
      <formula>15698.2</formula>
    </cfRule>
    <cfRule type="cellIs" dxfId="14" priority="33" operator="equal">
      <formula>"kapalı"</formula>
    </cfRule>
  </conditionalFormatting>
  <conditionalFormatting sqref="O1:Q3 O11 O26:O30 O32:O35 P32:Q37 O37">
    <cfRule type="cellIs" dxfId="13" priority="39" operator="equal">
      <formula>15698.2</formula>
    </cfRule>
  </conditionalFormatting>
  <conditionalFormatting sqref="O1:Q3 O5:Q9 O11:Q11">
    <cfRule type="cellIs" dxfId="12" priority="41" operator="equal">
      <formula>"KAPALI"</formula>
    </cfRule>
    <cfRule type="cellIs" dxfId="11" priority="42" operator="equal">
      <formula>"açık"</formula>
    </cfRule>
  </conditionalFormatting>
  <conditionalFormatting sqref="O26:Q35">
    <cfRule type="cellIs" dxfId="10" priority="8" operator="equal">
      <formula>"KAPALI"</formula>
    </cfRule>
    <cfRule type="cellIs" dxfId="9" priority="9" operator="equal">
      <formula>"açık"</formula>
    </cfRule>
  </conditionalFormatting>
  <conditionalFormatting sqref="O31:Q31">
    <cfRule type="cellIs" dxfId="8" priority="10" operator="equal">
      <formula>15698.2</formula>
    </cfRule>
  </conditionalFormatting>
  <conditionalFormatting sqref="P32">
    <cfRule type="cellIs" dxfId="7" priority="7" operator="equal">
      <formula>15698.2</formula>
    </cfRule>
  </conditionalFormatting>
  <conditionalFormatting sqref="P9:Q27 F11:G20">
    <cfRule type="cellIs" dxfId="6" priority="11" operator="equal">
      <formula>"kapalı"</formula>
    </cfRule>
  </conditionalFormatting>
  <conditionalFormatting sqref="P36:Q36 O37:Q37">
    <cfRule type="cellIs" dxfId="5" priority="36" operator="equal">
      <formula>"KAPALI"</formula>
    </cfRule>
    <cfRule type="cellIs" dxfId="4" priority="37" operator="equal">
      <formula>"açık"</formula>
    </cfRule>
  </conditionalFormatting>
  <conditionalFormatting sqref="Q10 S10:V10">
    <cfRule type="cellIs" dxfId="3" priority="34" operator="equal">
      <formula>"K.KART"</formula>
    </cfRule>
  </conditionalFormatting>
  <conditionalFormatting sqref="Q28:Q29">
    <cfRule type="cellIs" dxfId="2" priority="35" operator="equal">
      <formula>"kapalı"</formula>
    </cfRule>
  </conditionalFormatting>
  <conditionalFormatting sqref="Q4:W4">
    <cfRule type="cellIs" dxfId="1" priority="31" operator="equal">
      <formula>"K.KART"</formula>
    </cfRule>
  </conditionalFormatting>
  <conditionalFormatting sqref="R1:T3">
    <cfRule type="cellIs" dxfId="0" priority="40" operator="equal">
      <formula>"K.KART"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12</vt:i4>
      </vt:variant>
      <vt:variant>
        <vt:lpstr>Adlandırılmış Aralıklar</vt:lpstr>
      </vt:variant>
      <vt:variant>
        <vt:i4>2</vt:i4>
      </vt:variant>
    </vt:vector>
  </HeadingPairs>
  <TitlesOfParts>
    <vt:vector size="14" baseType="lpstr">
      <vt:lpstr>OCAK</vt:lpstr>
      <vt:lpstr>ŞUBAT</vt:lpstr>
      <vt:lpstr>MART</vt:lpstr>
      <vt:lpstr>NİSAN</vt:lpstr>
      <vt:lpstr>MAYIS</vt:lpstr>
      <vt:lpstr>HAZİRAN</vt:lpstr>
      <vt:lpstr>TEMMUZ</vt:lpstr>
      <vt:lpstr>AĞUSTOS</vt:lpstr>
      <vt:lpstr>EYLÜL</vt:lpstr>
      <vt:lpstr>EKİM</vt:lpstr>
      <vt:lpstr>KASIM</vt:lpstr>
      <vt:lpstr>ARALİK</vt:lpstr>
      <vt:lpstr>MAYIS!Yazdırma_Alanı</vt:lpstr>
      <vt:lpstr>OCAK!Yazdırma_Alanı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nihat dislioglu</cp:lastModifiedBy>
  <cp:lastPrinted>2025-06-18T08:36:15Z</cp:lastPrinted>
  <dcterms:created xsi:type="dcterms:W3CDTF">2015-06-05T18:19:34Z</dcterms:created>
  <dcterms:modified xsi:type="dcterms:W3CDTF">2025-12-24T10:56:03Z</dcterms:modified>
</cp:coreProperties>
</file>
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ORTAK\2025 YILI HESAPLAR\KAMİL ÖZDAYAN 2025\"/>
    </mc:Choice>
  </mc:AlternateContent>
  <xr:revisionPtr revIDLastSave="0" documentId="13_ncr:1_{0F891FAB-1172-462D-BD33-00FB354D046C}" xr6:coauthVersionLast="47" xr6:coauthVersionMax="47" xr10:uidLastSave="{00000000-0000-0000-0000-000000000000}"/>
  <bookViews>
    <workbookView xWindow="-120" yWindow="-120" windowWidth="24240" windowHeight="13020" firstSheet="2" activeTab="11" xr2:uid="{00000000-000D-0000-FFFF-FFFF00000000}"/>
  </bookViews>
  <sheets>
    <sheet name="OCAK" sheetId="1" r:id="rId1"/>
    <sheet name="ŞUBAT" sheetId="2" r:id="rId2"/>
    <sheet name="MART" sheetId="3" r:id="rId3"/>
    <sheet name="NİSAN" sheetId="4" r:id="rId4"/>
    <sheet name="MAYIS" sheetId="5" r:id="rId5"/>
    <sheet name="HAZİRAN" sheetId="6" r:id="rId6"/>
    <sheet name="TEMMUZ" sheetId="7" r:id="rId7"/>
    <sheet name="AĞUSTOS" sheetId="8" r:id="rId8"/>
    <sheet name="EYLÜL" sheetId="9" r:id="rId9"/>
    <sheet name="EKİM" sheetId="10" r:id="rId10"/>
    <sheet name="KASIM" sheetId="11" r:id="rId11"/>
    <sheet name="ARALIK" sheetId="12" r:id="rId12"/>
  </sheets>
  <definedNames>
    <definedName name="_xlnm.Print_Area" localSheetId="2">MART!$A$1:$V$53</definedName>
    <definedName name="_xlnm.Print_Area" localSheetId="4">MAYIS!$A$1:$V$50</definedName>
    <definedName name="_xlnm.Print_Area" localSheetId="3">NİSAN!$A$1:$W$60</definedName>
    <definedName name="_xlnm.Print_Area" localSheetId="0">OCAK!$A$1:$T$55</definedName>
    <definedName name="_xlnm.Print_Area" localSheetId="1">ŞUBAT!$A$1:$V$52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12" l="1"/>
  <c r="I30" i="12"/>
  <c r="I29" i="12"/>
  <c r="I28" i="12"/>
  <c r="I27" i="12"/>
  <c r="I26" i="12"/>
  <c r="I25" i="12"/>
  <c r="D37" i="11"/>
  <c r="I38" i="11"/>
  <c r="O37" i="11"/>
  <c r="U26" i="11"/>
  <c r="I26" i="11"/>
  <c r="O35" i="12"/>
  <c r="D35" i="12"/>
  <c r="I24" i="12"/>
  <c r="U23" i="12"/>
  <c r="I23" i="12"/>
  <c r="U22" i="12"/>
  <c r="I22" i="12"/>
  <c r="U21" i="12"/>
  <c r="I21" i="12"/>
  <c r="U20" i="12"/>
  <c r="I20" i="12"/>
  <c r="U19" i="12"/>
  <c r="I19" i="12"/>
  <c r="U18" i="12"/>
  <c r="I18" i="12"/>
  <c r="U17" i="12"/>
  <c r="I17" i="12"/>
  <c r="U16" i="12"/>
  <c r="I16" i="12"/>
  <c r="U15" i="12"/>
  <c r="I15" i="12"/>
  <c r="U14" i="12"/>
  <c r="I14" i="12"/>
  <c r="U13" i="12"/>
  <c r="I13" i="12"/>
  <c r="U12" i="12"/>
  <c r="I12" i="12"/>
  <c r="U11" i="12"/>
  <c r="I11" i="12"/>
  <c r="U10" i="12"/>
  <c r="I10" i="12"/>
  <c r="U9" i="12"/>
  <c r="I9" i="12"/>
  <c r="U8" i="12"/>
  <c r="I8" i="12"/>
  <c r="U7" i="12"/>
  <c r="I7" i="12"/>
  <c r="U6" i="12"/>
  <c r="I6" i="12"/>
  <c r="D37" i="10"/>
  <c r="U26" i="10"/>
  <c r="O30" i="10" s="1"/>
  <c r="O37" i="10" s="1"/>
  <c r="I26" i="10"/>
  <c r="O29" i="11"/>
  <c r="D29" i="11"/>
  <c r="I24" i="11"/>
  <c r="U23" i="11"/>
  <c r="I23" i="11"/>
  <c r="U22" i="11"/>
  <c r="I22" i="11"/>
  <c r="U21" i="11"/>
  <c r="I21" i="11"/>
  <c r="U20" i="11"/>
  <c r="I20" i="11"/>
  <c r="U19" i="11"/>
  <c r="I19" i="11"/>
  <c r="U18" i="11"/>
  <c r="I18" i="11"/>
  <c r="U17" i="11"/>
  <c r="I17" i="11"/>
  <c r="U16" i="11"/>
  <c r="I16" i="11"/>
  <c r="U15" i="11"/>
  <c r="I15" i="11"/>
  <c r="U14" i="11"/>
  <c r="I14" i="11"/>
  <c r="U13" i="11"/>
  <c r="I13" i="11"/>
  <c r="U12" i="11"/>
  <c r="I12" i="11"/>
  <c r="U11" i="11"/>
  <c r="I11" i="11"/>
  <c r="U10" i="11"/>
  <c r="I10" i="11"/>
  <c r="U9" i="11"/>
  <c r="I9" i="11"/>
  <c r="U8" i="11"/>
  <c r="I8" i="11"/>
  <c r="U7" i="11"/>
  <c r="I7" i="11"/>
  <c r="U6" i="11"/>
  <c r="I6" i="11"/>
  <c r="O57" i="9"/>
  <c r="O29" i="10"/>
  <c r="D29" i="10"/>
  <c r="I24" i="10"/>
  <c r="U23" i="10"/>
  <c r="I23" i="10"/>
  <c r="U22" i="10"/>
  <c r="I22" i="10"/>
  <c r="U21" i="10"/>
  <c r="I21" i="10"/>
  <c r="U20" i="10"/>
  <c r="I20" i="10"/>
  <c r="U19" i="10"/>
  <c r="I19" i="10"/>
  <c r="U18" i="10"/>
  <c r="I18" i="10"/>
  <c r="U17" i="10"/>
  <c r="I17" i="10"/>
  <c r="U16" i="10"/>
  <c r="I16" i="10"/>
  <c r="U15" i="10"/>
  <c r="I15" i="10"/>
  <c r="U14" i="10"/>
  <c r="I14" i="10"/>
  <c r="U13" i="10"/>
  <c r="I13" i="10"/>
  <c r="U12" i="10"/>
  <c r="I12" i="10"/>
  <c r="U11" i="10"/>
  <c r="I11" i="10"/>
  <c r="U10" i="10"/>
  <c r="I10" i="10"/>
  <c r="U9" i="10"/>
  <c r="I9" i="10"/>
  <c r="U8" i="10"/>
  <c r="I8" i="10"/>
  <c r="U7" i="10"/>
  <c r="I7" i="10"/>
  <c r="U6" i="10"/>
  <c r="I6" i="10"/>
  <c r="I49" i="9"/>
  <c r="H46" i="9"/>
  <c r="H45" i="9"/>
  <c r="I45" i="9" s="1"/>
  <c r="I48" i="9"/>
  <c r="I47" i="9"/>
  <c r="I46" i="9"/>
  <c r="T7" i="9"/>
  <c r="U7" i="9" s="1"/>
  <c r="T8" i="9"/>
  <c r="U8" i="9" s="1"/>
  <c r="T9" i="9"/>
  <c r="U9" i="9" s="1"/>
  <c r="T6" i="9"/>
  <c r="U6" i="9" s="1"/>
  <c r="H34" i="9"/>
  <c r="I34" i="9" s="1"/>
  <c r="H33" i="9"/>
  <c r="I33" i="9" s="1"/>
  <c r="I39" i="9"/>
  <c r="H41" i="9"/>
  <c r="I41" i="9" s="1"/>
  <c r="H42" i="9"/>
  <c r="I42" i="9" s="1"/>
  <c r="H43" i="9"/>
  <c r="I43" i="9" s="1"/>
  <c r="H44" i="9"/>
  <c r="I44" i="9" s="1"/>
  <c r="H40" i="9"/>
  <c r="I40" i="9" s="1"/>
  <c r="H36" i="9"/>
  <c r="I36" i="9" s="1"/>
  <c r="H37" i="9"/>
  <c r="I37" i="9" s="1"/>
  <c r="H38" i="9"/>
  <c r="I38" i="9" s="1"/>
  <c r="H35" i="9"/>
  <c r="I35" i="9" s="1"/>
  <c r="H15" i="9"/>
  <c r="I15" i="9" s="1"/>
  <c r="H32" i="9"/>
  <c r="I32" i="9" s="1"/>
  <c r="H25" i="9"/>
  <c r="I25" i="9" s="1"/>
  <c r="H26" i="9"/>
  <c r="I26" i="9" s="1"/>
  <c r="H27" i="9"/>
  <c r="I27" i="9" s="1"/>
  <c r="H28" i="9"/>
  <c r="I28" i="9" s="1"/>
  <c r="H29" i="9"/>
  <c r="I29" i="9" s="1"/>
  <c r="H30" i="9"/>
  <c r="I30" i="9" s="1"/>
  <c r="H31" i="9"/>
  <c r="I31" i="9" s="1"/>
  <c r="H24" i="9"/>
  <c r="I24" i="9" s="1"/>
  <c r="H17" i="9"/>
  <c r="I17" i="9" s="1"/>
  <c r="H16" i="9"/>
  <c r="I16" i="9" s="1"/>
  <c r="I23" i="9"/>
  <c r="H19" i="9"/>
  <c r="I19" i="9" s="1"/>
  <c r="H20" i="9"/>
  <c r="I20" i="9" s="1"/>
  <c r="H21" i="9"/>
  <c r="I21" i="9" s="1"/>
  <c r="H22" i="9"/>
  <c r="I22" i="9" s="1"/>
  <c r="H18" i="9"/>
  <c r="I18" i="9" s="1"/>
  <c r="H7" i="9"/>
  <c r="I7" i="9" s="1"/>
  <c r="H8" i="9"/>
  <c r="I8" i="9" s="1"/>
  <c r="H9" i="9"/>
  <c r="I9" i="9" s="1"/>
  <c r="H10" i="9"/>
  <c r="I10" i="9" s="1"/>
  <c r="H11" i="9"/>
  <c r="I11" i="9" s="1"/>
  <c r="H12" i="9"/>
  <c r="I12" i="9" s="1"/>
  <c r="H13" i="9"/>
  <c r="I13" i="9" s="1"/>
  <c r="H14" i="9"/>
  <c r="I14" i="9" s="1"/>
  <c r="H6" i="9"/>
  <c r="I6" i="9" s="1"/>
  <c r="I51" i="9" s="1"/>
  <c r="U32" i="8"/>
  <c r="O36" i="8" s="1"/>
  <c r="O46" i="8" s="1"/>
  <c r="D46" i="8"/>
  <c r="I32" i="8"/>
  <c r="U10" i="8"/>
  <c r="O54" i="9"/>
  <c r="D54" i="9"/>
  <c r="U32" i="9"/>
  <c r="U29" i="9"/>
  <c r="U28" i="9"/>
  <c r="U27" i="9"/>
  <c r="U26" i="9"/>
  <c r="U25" i="9"/>
  <c r="U24" i="9"/>
  <c r="U23" i="9"/>
  <c r="U22" i="9"/>
  <c r="U21" i="9"/>
  <c r="U20" i="9"/>
  <c r="U19" i="9"/>
  <c r="U18" i="9"/>
  <c r="U17" i="9"/>
  <c r="U16" i="9"/>
  <c r="U15" i="9"/>
  <c r="U14" i="9"/>
  <c r="U13" i="9"/>
  <c r="U12" i="9"/>
  <c r="U11" i="9"/>
  <c r="U10" i="9"/>
  <c r="D35" i="7"/>
  <c r="I32" i="7"/>
  <c r="O38" i="7"/>
  <c r="O35" i="8"/>
  <c r="D35" i="8"/>
  <c r="U31" i="8"/>
  <c r="I31" i="8"/>
  <c r="U30" i="8"/>
  <c r="I30" i="8"/>
  <c r="U29" i="8"/>
  <c r="I29" i="8"/>
  <c r="U28" i="8"/>
  <c r="I28" i="8"/>
  <c r="U27" i="8"/>
  <c r="I27" i="8"/>
  <c r="U26" i="8"/>
  <c r="I26" i="8"/>
  <c r="U25" i="8"/>
  <c r="I25" i="8"/>
  <c r="U24" i="8"/>
  <c r="I24" i="8"/>
  <c r="U23" i="8"/>
  <c r="I23" i="8"/>
  <c r="U22" i="8"/>
  <c r="I22" i="8"/>
  <c r="U21" i="8"/>
  <c r="I21" i="8"/>
  <c r="U20" i="8"/>
  <c r="I20" i="8"/>
  <c r="U19" i="8"/>
  <c r="I19" i="8"/>
  <c r="U18" i="8"/>
  <c r="I18" i="8"/>
  <c r="U17" i="8"/>
  <c r="I17" i="8"/>
  <c r="U16" i="8"/>
  <c r="I16" i="8"/>
  <c r="U15" i="8"/>
  <c r="I15" i="8"/>
  <c r="U14" i="8"/>
  <c r="I14" i="8"/>
  <c r="U13" i="8"/>
  <c r="I13" i="8"/>
  <c r="U12" i="8"/>
  <c r="I12" i="8"/>
  <c r="U11" i="8"/>
  <c r="I11" i="8"/>
  <c r="I10" i="8"/>
  <c r="U9" i="8"/>
  <c r="I9" i="8"/>
  <c r="U8" i="8"/>
  <c r="I8" i="8"/>
  <c r="U7" i="8"/>
  <c r="I7" i="8"/>
  <c r="U6" i="8"/>
  <c r="I6" i="8"/>
  <c r="I17" i="7"/>
  <c r="I16" i="7"/>
  <c r="O35" i="7"/>
  <c r="O42" i="6"/>
  <c r="U32" i="6"/>
  <c r="D42" i="6"/>
  <c r="U10" i="6"/>
  <c r="U12" i="6"/>
  <c r="D36" i="6"/>
  <c r="I32" i="6"/>
  <c r="O46" i="5"/>
  <c r="D46" i="5"/>
  <c r="I48" i="5" s="1"/>
  <c r="E56" i="4"/>
  <c r="P56" i="4"/>
  <c r="H59" i="4"/>
  <c r="U31" i="7"/>
  <c r="I31" i="7"/>
  <c r="U30" i="7"/>
  <c r="I30" i="7"/>
  <c r="U29" i="7"/>
  <c r="I29" i="7"/>
  <c r="U28" i="7"/>
  <c r="I28" i="7"/>
  <c r="U27" i="7"/>
  <c r="I27" i="7"/>
  <c r="U26" i="7"/>
  <c r="I26" i="7"/>
  <c r="U25" i="7"/>
  <c r="I25" i="7"/>
  <c r="U24" i="7"/>
  <c r="I24" i="7"/>
  <c r="U23" i="7"/>
  <c r="I23" i="7"/>
  <c r="U22" i="7"/>
  <c r="I22" i="7"/>
  <c r="U21" i="7"/>
  <c r="I21" i="7"/>
  <c r="U20" i="7"/>
  <c r="I20" i="7"/>
  <c r="U19" i="7"/>
  <c r="I19" i="7"/>
  <c r="U18" i="7"/>
  <c r="I18" i="7"/>
  <c r="U17" i="7"/>
  <c r="U16" i="7"/>
  <c r="U15" i="7"/>
  <c r="I15" i="7"/>
  <c r="U14" i="7"/>
  <c r="I14" i="7"/>
  <c r="U13" i="7"/>
  <c r="I13" i="7"/>
  <c r="U12" i="7"/>
  <c r="I12" i="7"/>
  <c r="U11" i="7"/>
  <c r="I11" i="7"/>
  <c r="U10" i="7"/>
  <c r="I10" i="7"/>
  <c r="U9" i="7"/>
  <c r="I9" i="7"/>
  <c r="U8" i="7"/>
  <c r="I8" i="7"/>
  <c r="U7" i="7"/>
  <c r="I7" i="7"/>
  <c r="U6" i="7"/>
  <c r="I6" i="7"/>
  <c r="U13" i="6"/>
  <c r="I32" i="12" l="1"/>
  <c r="D36" i="12" s="1"/>
  <c r="D43" i="12" s="1"/>
  <c r="U32" i="12"/>
  <c r="O36" i="12" s="1"/>
  <c r="O43" i="12" s="1"/>
  <c r="D30" i="11"/>
  <c r="I38" i="10"/>
  <c r="O30" i="11"/>
  <c r="D30" i="10"/>
  <c r="U51" i="9"/>
  <c r="O55" i="9" s="1"/>
  <c r="O62" i="9" s="1"/>
  <c r="D55" i="9"/>
  <c r="D62" i="9" s="1"/>
  <c r="D36" i="8"/>
  <c r="I47" i="8" s="1"/>
  <c r="U32" i="7"/>
  <c r="O36" i="7" s="1"/>
  <c r="O45" i="7" s="1"/>
  <c r="D36" i="7"/>
  <c r="D45" i="7" s="1"/>
  <c r="N46" i="3"/>
  <c r="D46" i="3"/>
  <c r="D36" i="3"/>
  <c r="N44" i="2"/>
  <c r="D44" i="2"/>
  <c r="U9" i="6"/>
  <c r="I13" i="6"/>
  <c r="I9" i="6"/>
  <c r="U31" i="6"/>
  <c r="U30" i="6"/>
  <c r="U29" i="6"/>
  <c r="U28" i="6"/>
  <c r="U27" i="6"/>
  <c r="U26" i="6"/>
  <c r="U25" i="6"/>
  <c r="U24" i="6"/>
  <c r="U23" i="6"/>
  <c r="U22" i="6"/>
  <c r="U21" i="6"/>
  <c r="U20" i="6"/>
  <c r="U19" i="6"/>
  <c r="U18" i="6"/>
  <c r="U17" i="6"/>
  <c r="U16" i="6"/>
  <c r="U15" i="6"/>
  <c r="U14" i="6"/>
  <c r="U11" i="6"/>
  <c r="U8" i="6"/>
  <c r="U7" i="6"/>
  <c r="U6" i="6"/>
  <c r="D35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2" i="6"/>
  <c r="I11" i="6"/>
  <c r="I10" i="6"/>
  <c r="I8" i="6"/>
  <c r="I7" i="6"/>
  <c r="I6" i="6"/>
  <c r="N34" i="5"/>
  <c r="D34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44" i="12" l="1"/>
  <c r="I63" i="9"/>
  <c r="I46" i="7"/>
  <c r="I31" i="5"/>
  <c r="D35" i="5" s="1"/>
  <c r="P50" i="4"/>
  <c r="O46" i="4"/>
  <c r="E46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U13" i="4"/>
  <c r="T13" i="4"/>
  <c r="S13" i="4"/>
  <c r="V12" i="4"/>
  <c r="V11" i="4"/>
  <c r="V10" i="4"/>
  <c r="V9" i="4"/>
  <c r="V8" i="4"/>
  <c r="V7" i="4"/>
  <c r="V6" i="4"/>
  <c r="J6" i="4"/>
  <c r="V13" i="4" l="1"/>
  <c r="P47" i="4" s="1"/>
  <c r="J43" i="4"/>
  <c r="E47" i="4" s="1"/>
  <c r="N36" i="3"/>
  <c r="H33" i="3"/>
  <c r="G33" i="3"/>
  <c r="F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U13" i="3"/>
  <c r="T13" i="3"/>
  <c r="S13" i="3"/>
  <c r="R13" i="3"/>
  <c r="I13" i="3"/>
  <c r="I12" i="3"/>
  <c r="I11" i="3"/>
  <c r="I10" i="3"/>
  <c r="I9" i="3"/>
  <c r="I8" i="3"/>
  <c r="I7" i="3"/>
  <c r="I6" i="3"/>
  <c r="I33" i="3" l="1"/>
  <c r="D37" i="3" s="1"/>
  <c r="H52" i="3"/>
  <c r="N36" i="2"/>
  <c r="H33" i="2"/>
  <c r="G33" i="2"/>
  <c r="F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T15" i="2"/>
  <c r="S15" i="2"/>
  <c r="R15" i="2"/>
  <c r="I15" i="2"/>
  <c r="I14" i="2"/>
  <c r="I13" i="2"/>
  <c r="U12" i="2"/>
  <c r="I12" i="2"/>
  <c r="U11" i="2"/>
  <c r="I11" i="2"/>
  <c r="U10" i="2"/>
  <c r="I10" i="2"/>
  <c r="U9" i="2"/>
  <c r="I9" i="2"/>
  <c r="U8" i="2"/>
  <c r="I8" i="2"/>
  <c r="U7" i="2"/>
  <c r="I7" i="2"/>
  <c r="U6" i="2"/>
  <c r="I6" i="2"/>
  <c r="U15" i="2" l="1"/>
  <c r="N37" i="2" s="1"/>
  <c r="H50" i="2" s="1"/>
  <c r="I33" i="2"/>
  <c r="D37" i="2" s="1"/>
  <c r="N47" i="1" l="1"/>
  <c r="H54" i="1"/>
  <c r="D42" i="1"/>
  <c r="N36" i="1"/>
  <c r="F32" i="1"/>
  <c r="G32" i="1"/>
  <c r="H32" i="1"/>
  <c r="N35" i="1" l="1"/>
  <c r="D35" i="1" l="1"/>
  <c r="I31" i="1" l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T13" i="1"/>
  <c r="S13" i="1"/>
  <c r="R13" i="1"/>
  <c r="Q13" i="1"/>
  <c r="I32" i="1" l="1"/>
  <c r="D36" i="1" s="1"/>
  <c r="O36" i="6"/>
  <c r="H43" i="6" s="1"/>
</calcChain>
</file>

<file path=xl/sharedStrings.xml><?xml version="1.0" encoding="utf-8"?>
<sst xmlns="http://schemas.openxmlformats.org/spreadsheetml/2006/main" count="1535" uniqueCount="308">
  <si>
    <t>AXA'DAN YAPILAN KAMİL ÖZDAYAN POLİÇELERİ</t>
  </si>
  <si>
    <t>KAMİL ÖZDAYAN'DAN YAPILAN POLİÇELER</t>
  </si>
  <si>
    <t>SİGORTALI</t>
  </si>
  <si>
    <t>TARİH</t>
  </si>
  <si>
    <t>POLİÇE NO</t>
  </si>
  <si>
    <t>TÜRÜ</t>
  </si>
  <si>
    <t>ÖDEME ŞEKLİ</t>
  </si>
  <si>
    <t>TUTAR</t>
  </si>
  <si>
    <t>NET</t>
  </si>
  <si>
    <t xml:space="preserve"> KOMİSYON</t>
  </si>
  <si>
    <t>ÖDENEN KOMİSYON</t>
  </si>
  <si>
    <t>ŞİRKET</t>
  </si>
  <si>
    <t>KOMİSYON</t>
  </si>
  <si>
    <t>ALINAN KOMİSYON</t>
  </si>
  <si>
    <t>DEVREDEN BAKİYE</t>
  </si>
  <si>
    <t>TOPLAM</t>
  </si>
  <si>
    <t>ÖNCEKİ AYDAN DEVREDEN BAKİYE</t>
  </si>
  <si>
    <t>ÖDENECEK TOPLAM KOMİSYON</t>
  </si>
  <si>
    <t>ALINACAK TOPLAM KOMİSYON</t>
  </si>
  <si>
    <t>ÖDENECEK İPTAL İADE KOMİSYONLAR</t>
  </si>
  <si>
    <t>ALINACAK İPTAL İADE KOMİSYONLAR</t>
  </si>
  <si>
    <t>BAKİYE</t>
  </si>
  <si>
    <t>OCAK</t>
  </si>
  <si>
    <t xml:space="preserve">BAYRAM YILMAZ </t>
  </si>
  <si>
    <t>TRAFİK</t>
  </si>
  <si>
    <t>K.KART</t>
  </si>
  <si>
    <t>TANER EKİNCİ</t>
  </si>
  <si>
    <t>ABDULSAMET CAN SALCI</t>
  </si>
  <si>
    <t>BAYRAM VARDAR</t>
  </si>
  <si>
    <t>KASKO</t>
  </si>
  <si>
    <t>FATİH MEHMET ÖZTÜRK 538687171 TRF İPT.İADESİ</t>
  </si>
  <si>
    <t>YAMAÇLAR BOYA MALZ.</t>
  </si>
  <si>
    <t>NAKLİYE</t>
  </si>
  <si>
    <t>ABDULLAH CİNKAY</t>
  </si>
  <si>
    <t>İSMAİL SARIKAYA</t>
  </si>
  <si>
    <t>BERKER BAHÇECİ</t>
  </si>
  <si>
    <t>SAĞLIK</t>
  </si>
  <si>
    <t>CMK CEYLAN TEKSTİL 533753801 TRF İPT.İADESİ</t>
  </si>
  <si>
    <t>AHMET SÜVE 536162646 TRF İPT.İADESİ</t>
  </si>
  <si>
    <t>SALİM BODUR 156319738 TRF İPT.İADESİ</t>
  </si>
  <si>
    <t>KOKOREÇÇİ TEKİN USTA 202759372 TRF İPT.İADESİ</t>
  </si>
  <si>
    <t xml:space="preserve">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</si>
  <si>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</si>
  <si>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ALLIANZ</t>
  </si>
  <si>
    <t>ŞUBAT</t>
  </si>
  <si>
    <t>ORAN</t>
  </si>
  <si>
    <t>İSMAİL ÖZDEMİR</t>
  </si>
  <si>
    <t>ANKARA</t>
  </si>
  <si>
    <t>SEZGİN BEGÜM BOZ</t>
  </si>
  <si>
    <t>YİĞİT MUSTAFA UÇAN</t>
  </si>
  <si>
    <t>MAPFRE</t>
  </si>
  <si>
    <t>BİLSER ÜNAL</t>
  </si>
  <si>
    <t>LE PRESTİGE KOZMETİK</t>
  </si>
  <si>
    <t>F.KAZA</t>
  </si>
  <si>
    <t>ENGİN ALTUNER</t>
  </si>
  <si>
    <t>ACS</t>
  </si>
  <si>
    <t>RAMAZAN YÜCEL</t>
  </si>
  <si>
    <t>ERTUĞRUL GÜLER</t>
  </si>
  <si>
    <t>ALİ YÜREK</t>
  </si>
  <si>
    <t xml:space="preserve">TUĞRUL YEŞİLOĞLU TRAFİK İPT.İADE </t>
  </si>
  <si>
    <t>ZEYNEP EKİNCİ TRAFİK İPT.İADE</t>
  </si>
  <si>
    <t>CÜNEYT AKSU TRAFİK İPT.İADE</t>
  </si>
  <si>
    <t>AXA ALACAK BAKİYE</t>
  </si>
  <si>
    <t>MART</t>
  </si>
  <si>
    <t>KENAN OĞUZ</t>
  </si>
  <si>
    <t>GÜLAY SEVİL</t>
  </si>
  <si>
    <t>KONUT</t>
  </si>
  <si>
    <t>DİLAVER KAYA</t>
  </si>
  <si>
    <t>EROL ULUTAŞ</t>
  </si>
  <si>
    <t>MUSTAFA TAKTAK</t>
  </si>
  <si>
    <t>YUNUS EMRE KARAKAYA</t>
  </si>
  <si>
    <t>KENAN EVCİL</t>
  </si>
  <si>
    <t>MUSTAFA KODALAK</t>
  </si>
  <si>
    <t>SEVİM ŞİŞMAN</t>
  </si>
  <si>
    <t>MUKADDES FEYZİOĞLU</t>
  </si>
  <si>
    <t>VOLKAN SATAR</t>
  </si>
  <si>
    <t>RAMAZAN GÜNAY</t>
  </si>
  <si>
    <t>HASAN SUBAŞI</t>
  </si>
  <si>
    <t>ADEM FEYZİOĞLU</t>
  </si>
  <si>
    <t>ERGÜN YAZAR</t>
  </si>
  <si>
    <t>FATMA ÖZER</t>
  </si>
  <si>
    <t>FATMA ÇULHA</t>
  </si>
  <si>
    <t xml:space="preserve">PINARLI PLASTİK </t>
  </si>
  <si>
    <t>KORAY İLDEŞ</t>
  </si>
  <si>
    <t>OSMAN TOPÇU KASKO İPT.İADE</t>
  </si>
  <si>
    <t>OSMAN TOPÇU TRAFİK İPT.İADE</t>
  </si>
  <si>
    <t>MELİHA KÜÇÜK TRAFİK İPT.İADE</t>
  </si>
  <si>
    <t>MAHMUT TİMURTAŞ TRAFİK İPT.İADE</t>
  </si>
  <si>
    <t>YAMAÇLAR NAKLİYE İPT.İADE</t>
  </si>
  <si>
    <t>KAMİL ALACAK BAKİYE</t>
  </si>
  <si>
    <t>NİSAN</t>
  </si>
  <si>
    <t>SIRA</t>
  </si>
  <si>
    <t>SAADET EMLAK</t>
  </si>
  <si>
    <t>GRUP ARC İNŞAAT</t>
  </si>
  <si>
    <t>716.34</t>
  </si>
  <si>
    <t>RÜSTEM YILMAZ</t>
  </si>
  <si>
    <t>992.36</t>
  </si>
  <si>
    <t>EMRE ÇALIŞKAN</t>
  </si>
  <si>
    <t>1,654.02</t>
  </si>
  <si>
    <t>CEMAL KONAK</t>
  </si>
  <si>
    <t>1,327.17</t>
  </si>
  <si>
    <t>AYŞENUR AYDIN</t>
  </si>
  <si>
    <t>1,068.59</t>
  </si>
  <si>
    <t>2,169.78</t>
  </si>
  <si>
    <t>EMİNE YILMAZ</t>
  </si>
  <si>
    <t>1,220.43</t>
  </si>
  <si>
    <t>FERHAT BOZTEPE</t>
  </si>
  <si>
    <t>AÇIK</t>
  </si>
  <si>
    <t>1,461.11</t>
  </si>
  <si>
    <t>ÜNAL HENDEM</t>
  </si>
  <si>
    <t>964.28</t>
  </si>
  <si>
    <t>ASİYE ÇETİN</t>
  </si>
  <si>
    <t>İLYAS DOĞAN</t>
  </si>
  <si>
    <t>1,589.77</t>
  </si>
  <si>
    <t>GÜLAY HAPPANİ</t>
  </si>
  <si>
    <t>1,654.00</t>
  </si>
  <si>
    <t>EFTAL BAL</t>
  </si>
  <si>
    <t>1,958.24</t>
  </si>
  <si>
    <t>ÖNCÜ LEDER DERİ</t>
  </si>
  <si>
    <t>DUYGU DİNÇER</t>
  </si>
  <si>
    <t>YASİN SUBAŞI</t>
  </si>
  <si>
    <t xml:space="preserve">AYŞEGÜL DURMUŞ </t>
  </si>
  <si>
    <t>NURETTİN SUBAŞI</t>
  </si>
  <si>
    <t>İŞYERİ</t>
  </si>
  <si>
    <t xml:space="preserve">MORAVIA BOYA </t>
  </si>
  <si>
    <t>SEZER KOCA</t>
  </si>
  <si>
    <t>OĞUZHAN TUNÇER</t>
  </si>
  <si>
    <t>FURKAN KAÇAR</t>
  </si>
  <si>
    <t>KAMİL BEYDEN ALINACAK AÇIK TOPLAMI</t>
  </si>
  <si>
    <t xml:space="preserve">YUNUS EMRE KARAKAYA 555153167 TRF İADE </t>
  </si>
  <si>
    <t>KARAASLAN İNŞAAT 526185316 TRF İPT.İADE</t>
  </si>
  <si>
    <t>NEZİH ER 517263813 TRF İPT.İADE</t>
  </si>
  <si>
    <t>YASİN ÖZYAMAN 60003233 KSK PLAKA ZEYİLİ</t>
  </si>
  <si>
    <t>KAMİL BEY ALACAK BAKİYE</t>
  </si>
  <si>
    <t>MAYIS</t>
  </si>
  <si>
    <t>YAMAÇLAR BOYA</t>
  </si>
  <si>
    <t>BERFİN SAYALI</t>
  </si>
  <si>
    <t>UMUT SAĞIR</t>
  </si>
  <si>
    <t>MEHMET BİLİR</t>
  </si>
  <si>
    <t>WAEL TABBAKH</t>
  </si>
  <si>
    <t>MEHMET SUBATAY</t>
  </si>
  <si>
    <t>ABDÜSELAM YAŞAR</t>
  </si>
  <si>
    <t>ADEM AKGÖZ</t>
  </si>
  <si>
    <t>SİNAN KOL</t>
  </si>
  <si>
    <t>HAYAT</t>
  </si>
  <si>
    <t>ÖNCEKİ AYDAN DEVREDEN BAKİYE(KAMİL BEY ALACAĞI)</t>
  </si>
  <si>
    <t>ÖNCEKİ AYDAN DEVREDEN BAKİYE (AXA ALACAĞI)</t>
  </si>
  <si>
    <t>KAMİLDEN ALINACAK TAKSİTLER</t>
  </si>
  <si>
    <t>KAMİLDEN ALINACAK AÇIK TOPLAMI</t>
  </si>
  <si>
    <t>OSMAN BAŞARAN</t>
  </si>
  <si>
    <t>HÜSEYİN ÖZBEKTAŞ</t>
  </si>
  <si>
    <t>HAZİRAN</t>
  </si>
  <si>
    <t>MUSTAFA UYANIK</t>
  </si>
  <si>
    <t>NEBİYE SOLMAZ</t>
  </si>
  <si>
    <t>100000379718511</t>
  </si>
  <si>
    <t>QUICK</t>
  </si>
  <si>
    <t>AYHAN YAZICIOĞULLARI 534575483 TRF İPT.İADE KOM.</t>
  </si>
  <si>
    <t>SEZER KOCA 565122912 TRF İPT.İADE KOM.</t>
  </si>
  <si>
    <t>VİLDAN YÜREK 524690356 TRF İPT.İADE KOM.</t>
  </si>
  <si>
    <t>ÜNAL HENDEM 562574222 TRF İPT.İADE KOM.</t>
  </si>
  <si>
    <t>BİRGÜL KARADAŞ 526529337 TRF İPT.İADE KOM.</t>
  </si>
  <si>
    <t>SAMET DEMİRCİ</t>
  </si>
  <si>
    <t>100000380809985</t>
  </si>
  <si>
    <t>ADEM BAŞAR</t>
  </si>
  <si>
    <t>100000380793012</t>
  </si>
  <si>
    <t>OĞUZHAN ÜZÜMLÜ</t>
  </si>
  <si>
    <t>MESUT POYRAZ</t>
  </si>
  <si>
    <t>OSMAN YILMAZ</t>
  </si>
  <si>
    <t xml:space="preserve">   EMRE ÇALIŞKAN 509546326 İPT.İADESİ</t>
  </si>
  <si>
    <t>ENES GÜNER</t>
  </si>
  <si>
    <t>100000384690886</t>
  </si>
  <si>
    <t>NURİ EREN</t>
  </si>
  <si>
    <t>SEVGİ CIRIT</t>
  </si>
  <si>
    <t>021062225417</t>
  </si>
  <si>
    <t>ŞADİYE ÇAYIR</t>
  </si>
  <si>
    <t>SİBER</t>
  </si>
  <si>
    <t>ELİF ARIBAŞ</t>
  </si>
  <si>
    <t>ERTUĞRUL VURAL</t>
  </si>
  <si>
    <t>100000387878484</t>
  </si>
  <si>
    <t>ADEM BAŞAR 380793012 TRF İPT.İADE KOM.</t>
  </si>
  <si>
    <t>TEMMUZ</t>
  </si>
  <si>
    <t>VENUS SATIŞ PAZ.LTD.ŞTİ</t>
  </si>
  <si>
    <t>GÜLİSTAN KUYUMCU</t>
  </si>
  <si>
    <t>-</t>
  </si>
  <si>
    <t>ÖDENECEK TOPLAM BAKİYE</t>
  </si>
  <si>
    <t>NAGİHAN SARGIN</t>
  </si>
  <si>
    <t>GÜLNUR POYRAZ AVCI</t>
  </si>
  <si>
    <t>HASAN KILIÇ</t>
  </si>
  <si>
    <t>D125000066937</t>
  </si>
  <si>
    <t>DASK</t>
  </si>
  <si>
    <t>BERKAN ÖRNEK</t>
  </si>
  <si>
    <t>MELTEM SUN</t>
  </si>
  <si>
    <t>AĞUSTOS</t>
  </si>
  <si>
    <t>HÜLYA ALTINTAŞ</t>
  </si>
  <si>
    <t>NURİ EKEN</t>
  </si>
  <si>
    <t>LE PRESTİGE</t>
  </si>
  <si>
    <t>TRİO MAKİNE</t>
  </si>
  <si>
    <t>ALLİANZ</t>
  </si>
  <si>
    <t>NEŞAT CÜRE</t>
  </si>
  <si>
    <t>ÖMER BENLİ</t>
  </si>
  <si>
    <t>EREM ISI İNŞAAT</t>
  </si>
  <si>
    <t>HAMZA KOCA</t>
  </si>
  <si>
    <t>BEKİR LÜLLECİOĞLU</t>
  </si>
  <si>
    <t>MURAT GÜL</t>
  </si>
  <si>
    <t>ŞAZELİ YAPI MAKİNE</t>
  </si>
  <si>
    <t>ÖMER FURKAN TUNCEL</t>
  </si>
  <si>
    <t>İDİL BABAEKER</t>
  </si>
  <si>
    <t>12,248,32</t>
  </si>
  <si>
    <t>İBRAHİM ÖZBEKTAŞ</t>
  </si>
  <si>
    <t>İSMAİL TUĞLUK</t>
  </si>
  <si>
    <t>ŞAHİN DİŞLİOĞLU</t>
  </si>
  <si>
    <t>EYLÜL</t>
  </si>
  <si>
    <t>ADA BALIKÇILIK</t>
  </si>
  <si>
    <t>YASİN SUBAŞI 565232341 TRF İPT</t>
  </si>
  <si>
    <t>YASİN SUBAŞI 564791525 KSK İPT</t>
  </si>
  <si>
    <t>BERKAN ÖRNEK 589187941 TRF İPT</t>
  </si>
  <si>
    <t>VOLKAN SATAR 557264354 TRF İPT</t>
  </si>
  <si>
    <t>MEHMET YILDIRIM 523477981 TRF İPT</t>
  </si>
  <si>
    <t>ALİ YÜREK 551899719 TRF İPT</t>
  </si>
  <si>
    <t xml:space="preserve">İSMAİL ÖZDEMİR 133211610 KSK İPT </t>
  </si>
  <si>
    <t>FINDIK GÜNGÖR</t>
  </si>
  <si>
    <t>ERKAN AKYÜZ</t>
  </si>
  <si>
    <t>ADEM ÇIKLA</t>
  </si>
  <si>
    <t>EREN SABIRLI</t>
  </si>
  <si>
    <t>HÜSEYİN NİŞAN</t>
  </si>
  <si>
    <t>FATİH KAPLAN</t>
  </si>
  <si>
    <t>ÖZAY GÜÇÜK</t>
  </si>
  <si>
    <t>FATİH PANCAROĞLU</t>
  </si>
  <si>
    <t>SEZER DEMİR</t>
  </si>
  <si>
    <t>SETAŞ ALÜMİNYUM</t>
  </si>
  <si>
    <t>SOMPO</t>
  </si>
  <si>
    <t>MEHMET ÖZDEMİR</t>
  </si>
  <si>
    <t>ORHAN ULUDAĞ</t>
  </si>
  <si>
    <t xml:space="preserve">ORHAN ULUDAĞ </t>
  </si>
  <si>
    <t>PLK ZEYL.</t>
  </si>
  <si>
    <t>KENAN DEMİR</t>
  </si>
  <si>
    <t>AZİZ ÖZDEMİR</t>
  </si>
  <si>
    <t>REMZİYE KÜÇÜK</t>
  </si>
  <si>
    <t>İREM COŞKUN</t>
  </si>
  <si>
    <t>EMKA ALTYAPI</t>
  </si>
  <si>
    <t>HEPİYİ</t>
  </si>
  <si>
    <t>OSMAN CİNEL</t>
  </si>
  <si>
    <t>ARAS TURİZM</t>
  </si>
  <si>
    <t>CANSU KODALAK</t>
  </si>
  <si>
    <t>EREM ISI VE İNŞAAT</t>
  </si>
  <si>
    <t>BURAK YENİ</t>
  </si>
  <si>
    <t>METİN COŞKUN</t>
  </si>
  <si>
    <t>VENÜS SATIŞ PAZARLAMA</t>
  </si>
  <si>
    <t xml:space="preserve">EMİNE YILMAZ 561428525 TRF İPT </t>
  </si>
  <si>
    <t>ERKAN AKYÜZ 601161759 TRF İPT</t>
  </si>
  <si>
    <t>KAMİL BEYDEN ALINACAK TAKSİTLER</t>
  </si>
  <si>
    <t>EKİM</t>
  </si>
  <si>
    <t>YAŞAR KARTBOĞA</t>
  </si>
  <si>
    <t>MENEMENCİ ALAATTİN</t>
  </si>
  <si>
    <t>0001-0210-62807747</t>
  </si>
  <si>
    <t>HUBİYAR YILMAZ</t>
  </si>
  <si>
    <t>ÖZEL KETENCİ</t>
  </si>
  <si>
    <t>ZİYA ATABAY</t>
  </si>
  <si>
    <t>MURAT POYRAZ</t>
  </si>
  <si>
    <t>MEHMET TOKTAŞ</t>
  </si>
  <si>
    <t>CİHAT BALIN</t>
  </si>
  <si>
    <t>TROYKA TEDARİK</t>
  </si>
  <si>
    <t>MUHAMMED ALİ ŞAHİN</t>
  </si>
  <si>
    <t>TÜRK NİPPON</t>
  </si>
  <si>
    <t>SUDENUR KAYA</t>
  </si>
  <si>
    <t>KASIM</t>
  </si>
  <si>
    <t>ÖZGÜL YAŞAR</t>
  </si>
  <si>
    <t>ORHAN DURDU</t>
  </si>
  <si>
    <t>TUĞBA TURAN FAEH</t>
  </si>
  <si>
    <t>FERDİ</t>
  </si>
  <si>
    <t>KANİ UĞURLU</t>
  </si>
  <si>
    <t>MEHMET TOKTAŞ 610177813 KSK. İPT. İADE</t>
  </si>
  <si>
    <t>HÜLYA KARADENİZ</t>
  </si>
  <si>
    <t>TUĞBA KIRCA</t>
  </si>
  <si>
    <t>SARA GÜNDOĞDU</t>
  </si>
  <si>
    <t>CENK DENİZ KARADENİZ</t>
  </si>
  <si>
    <t>BERKAY BABACAN</t>
  </si>
  <si>
    <t>ZÜLFÜKAR POLATOĞLU</t>
  </si>
  <si>
    <t>MURAT ÇIĞRIM</t>
  </si>
  <si>
    <t>ÖMER BEYLİHAN</t>
  </si>
  <si>
    <t>HAYRETTİN BÜLBÜL</t>
  </si>
  <si>
    <t>ERDAL ATAOĞLAN</t>
  </si>
  <si>
    <t>ÖMER KÖSEDAĞ</t>
  </si>
  <si>
    <t>ARALIK</t>
  </si>
  <si>
    <t>ÖMER TERHAN</t>
  </si>
  <si>
    <t>KERİM YILDIRIM</t>
  </si>
  <si>
    <t>HİKMET DAĞLI</t>
  </si>
  <si>
    <t>ALİ CEM AKSAKAL</t>
  </si>
  <si>
    <t>BEHİYE ÖZBEK</t>
  </si>
  <si>
    <t>MURAT USTA</t>
  </si>
  <si>
    <t>MURAT DEMİRCİ</t>
  </si>
  <si>
    <t>SAMET DEMİRCİ 100000380809985 TRF İPT İADE</t>
  </si>
  <si>
    <t>SELÇUK ÖZOĞUL 530256541 TRF İPT İADE</t>
  </si>
  <si>
    <t>MEHMET ÇOBAN</t>
  </si>
  <si>
    <t>AHMET PELİT</t>
  </si>
  <si>
    <t>ÖZKAN GÜLEÇ</t>
  </si>
  <si>
    <t>BUĞRA KAPURTU</t>
  </si>
  <si>
    <t>MUSTAFA ALTINTAŞ</t>
  </si>
  <si>
    <t>HALİT TÜRK</t>
  </si>
  <si>
    <t>AHMET GÜNDOĞDU</t>
  </si>
  <si>
    <t>ESRA KILIÇ</t>
  </si>
  <si>
    <t>DURSUN EFE</t>
  </si>
  <si>
    <t>İBRAHİM SALTAŞ</t>
  </si>
  <si>
    <t>MURAT AKGÜN</t>
  </si>
  <si>
    <t>BAŞAR ALKAN</t>
  </si>
  <si>
    <t>ERCAN IRMAK</t>
  </si>
  <si>
    <t>ADEM DOĞAN</t>
  </si>
  <si>
    <t>SULTAN NAZLIOĞLU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</si>
</sst>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₺&quot;#,##0.0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9"/>
      <color theme="1"/>
      <name val="Arial"/>
      <family val="2"/>
      <charset val="162"/>
    </font>
    <font>
      <b/>
      <sz val="9"/>
      <name val="Arial"/>
      <family val="2"/>
      <charset val="162"/>
    </font>
    <font>
      <b/>
      <sz val="8"/>
      <color rgb="FF000000"/>
      <name val="Arial"/>
      <family val="2"/>
      <charset val="162"/>
    </font>
    <font>
      <b/>
      <sz val="10"/>
      <color rgb="FF000000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9"/>
      <color rgb="FF1B1D52"/>
      <name val="Arial"/>
      <family val="2"/>
      <charset val="162"/>
    </font>
    <font>
      <b/>
      <sz val="9"/>
      <color rgb="FF000000"/>
      <name val="Arial"/>
      <family val="2"/>
      <charset val="162"/>
    </font>
    <font>
      <b/>
      <sz val="9"/>
      <color rgb="FFC00000"/>
      <name val="Calibri"/>
      <family val="2"/>
      <charset val="162"/>
      <scheme val="minor"/>
    </font>
    <font>
      <b/>
      <sz val="10"/>
      <color rgb="FFC00000"/>
      <name val="Calibri"/>
      <family val="2"/>
      <charset val="162"/>
      <scheme val="minor"/>
    </font>
    <font>
      <b/>
      <sz val="9"/>
      <color rgb="FFC00000"/>
      <name val="Arial"/>
      <family val="2"/>
      <charset val="162"/>
    </font>
    <font>
      <b/>
      <sz val="10"/>
      <color rgb="FF000000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9"/>
      <color theme="1"/>
      <name val="Calibri Light"/>
      <family val="2"/>
      <charset val="162"/>
      <scheme val="major"/>
    </font>
    <font>
      <b/>
      <sz val="8"/>
      <color theme="1"/>
      <name val="Calibri Light"/>
      <family val="2"/>
      <charset val="162"/>
      <scheme val="maj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9"/>
      <color theme="1"/>
      <name val="Calibri Light"/>
      <family val="2"/>
      <charset val="162"/>
      <scheme val="major"/>
    </font>
    <font>
      <sz val="10"/>
      <color theme="1"/>
      <name val="Calibri Light"/>
      <family val="2"/>
      <charset val="162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67C6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8">
    <xf numFmtId="0" fontId="0" fillId="0" borderId="0" xfId="0"/>
    <xf numFmtId="0" fontId="2" fillId="0" borderId="0" xfId="0" applyFont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43" fontId="1" fillId="2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43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43" fontId="2" fillId="2" borderId="1" xfId="0" applyNumberFormat="1" applyFont="1" applyFill="1" applyBorder="1" applyAlignment="1">
      <alignment horizontal="center" vertical="center"/>
    </xf>
    <xf numFmtId="43" fontId="3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43" fontId="5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right"/>
    </xf>
    <xf numFmtId="2" fontId="2" fillId="2" borderId="2" xfId="0" applyNumberFormat="1" applyFon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43" fontId="2" fillId="4" borderId="1" xfId="0" applyNumberFormat="1" applyFon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right" wrapText="1"/>
    </xf>
    <xf numFmtId="2" fontId="0" fillId="2" borderId="2" xfId="0" applyNumberForma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right"/>
    </xf>
    <xf numFmtId="2" fontId="3" fillId="2" borderId="2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2" fontId="9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" fontId="5" fillId="0" borderId="0" xfId="0" applyNumberFormat="1" applyFont="1"/>
    <xf numFmtId="2" fontId="10" fillId="0" borderId="0" xfId="0" applyNumberFormat="1" applyFont="1"/>
    <xf numFmtId="14" fontId="2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4" fontId="3" fillId="5" borderId="1" xfId="0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right" vertical="center"/>
    </xf>
    <xf numFmtId="14" fontId="2" fillId="5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14" fontId="2" fillId="5" borderId="3" xfId="0" applyNumberFormat="1" applyFont="1" applyFill="1" applyBorder="1" applyAlignment="1">
      <alignment horizontal="center" vertical="center"/>
    </xf>
    <xf numFmtId="2" fontId="2" fillId="5" borderId="3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3" fontId="3" fillId="5" borderId="1" xfId="0" applyNumberFormat="1" applyFont="1" applyFill="1" applyBorder="1" applyAlignment="1">
      <alignment horizontal="center" vertical="center"/>
    </xf>
    <xf numFmtId="0" fontId="0" fillId="5" borderId="2" xfId="0" applyFill="1" applyBorder="1"/>
    <xf numFmtId="0" fontId="4" fillId="5" borderId="1" xfId="0" applyFont="1" applyFill="1" applyBorder="1"/>
    <xf numFmtId="0" fontId="4" fillId="0" borderId="1" xfId="0" applyFont="1" applyBorder="1"/>
    <xf numFmtId="0" fontId="0" fillId="0" borderId="1" xfId="0" applyBorder="1"/>
    <xf numFmtId="0" fontId="0" fillId="5" borderId="1" xfId="0" applyFill="1" applyBorder="1"/>
    <xf numFmtId="0" fontId="0" fillId="0" borderId="4" xfId="0" applyBorder="1"/>
    <xf numFmtId="0" fontId="1" fillId="5" borderId="2" xfId="0" applyFont="1" applyFill="1" applyBorder="1"/>
    <xf numFmtId="0" fontId="1" fillId="5" borderId="1" xfId="0" applyFont="1" applyFill="1" applyBorder="1"/>
    <xf numFmtId="43" fontId="1" fillId="5" borderId="1" xfId="0" applyNumberFormat="1" applyFont="1" applyFill="1" applyBorder="1"/>
    <xf numFmtId="0" fontId="1" fillId="0" borderId="1" xfId="0" applyFont="1" applyBorder="1"/>
    <xf numFmtId="0" fontId="0" fillId="0" borderId="2" xfId="0" applyBorder="1"/>
    <xf numFmtId="43" fontId="6" fillId="0" borderId="1" xfId="0" applyNumberFormat="1" applyFont="1" applyBorder="1" applyAlignment="1">
      <alignment horizontal="center" vertical="center"/>
    </xf>
    <xf numFmtId="43" fontId="2" fillId="5" borderId="1" xfId="0" applyNumberFormat="1" applyFont="1" applyFill="1" applyBorder="1" applyAlignment="1">
      <alignment horizontal="center" vertical="center"/>
    </xf>
    <xf numFmtId="0" fontId="11" fillId="5" borderId="0" xfId="0" applyFont="1" applyFill="1"/>
    <xf numFmtId="43" fontId="2" fillId="5" borderId="4" xfId="0" applyNumberFormat="1" applyFont="1" applyFill="1" applyBorder="1" applyAlignment="1">
      <alignment horizontal="center" vertical="center"/>
    </xf>
    <xf numFmtId="43" fontId="3" fillId="5" borderId="4" xfId="0" applyNumberFormat="1" applyFont="1" applyFill="1" applyBorder="1" applyAlignment="1">
      <alignment horizontal="center" vertical="center"/>
    </xf>
    <xf numFmtId="0" fontId="0" fillId="5" borderId="4" xfId="0" applyFill="1" applyBorder="1"/>
    <xf numFmtId="43" fontId="1" fillId="5" borderId="4" xfId="0" applyNumberFormat="1" applyFont="1" applyFill="1" applyBorder="1"/>
    <xf numFmtId="0" fontId="2" fillId="6" borderId="1" xfId="0" applyFont="1" applyFill="1" applyBorder="1" applyAlignment="1">
      <alignment horizontal="center" vertical="center" wrapText="1"/>
    </xf>
    <xf numFmtId="43" fontId="2" fillId="6" borderId="1" xfId="0" applyNumberFormat="1" applyFont="1" applyFill="1" applyBorder="1" applyAlignment="1">
      <alignment horizontal="center" vertical="center" wrapText="1"/>
    </xf>
    <xf numFmtId="2" fontId="2" fillId="6" borderId="1" xfId="0" applyNumberFormat="1" applyFont="1" applyFill="1" applyBorder="1" applyAlignment="1">
      <alignment horizontal="center" vertical="center" wrapText="1"/>
    </xf>
    <xf numFmtId="43" fontId="6" fillId="7" borderId="1" xfId="0" applyNumberFormat="1" applyFont="1" applyFill="1" applyBorder="1" applyAlignment="1">
      <alignment horizontal="center" vertical="center"/>
    </xf>
    <xf numFmtId="43" fontId="5" fillId="7" borderId="1" xfId="0" applyNumberFormat="1" applyFont="1" applyFill="1" applyBorder="1" applyAlignment="1">
      <alignment horizontal="center" vertical="center"/>
    </xf>
    <xf numFmtId="43" fontId="3" fillId="5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1" fillId="0" borderId="0" xfId="0" applyFont="1"/>
    <xf numFmtId="14" fontId="2" fillId="0" borderId="3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/>
    </xf>
    <xf numFmtId="14" fontId="12" fillId="5" borderId="1" xfId="0" applyNumberFormat="1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right" vertical="center"/>
    </xf>
    <xf numFmtId="14" fontId="12" fillId="5" borderId="1" xfId="0" applyNumberFormat="1" applyFont="1" applyFill="1" applyBorder="1" applyAlignment="1">
      <alignment horizontal="center" vertical="center"/>
    </xf>
    <xf numFmtId="43" fontId="4" fillId="5" borderId="4" xfId="0" applyNumberFormat="1" applyFont="1" applyFill="1" applyBorder="1"/>
    <xf numFmtId="0" fontId="12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right" vertical="center"/>
    </xf>
    <xf numFmtId="0" fontId="14" fillId="5" borderId="0" xfId="0" applyFont="1" applyFill="1"/>
    <xf numFmtId="2" fontId="12" fillId="5" borderId="1" xfId="0" applyNumberFormat="1" applyFont="1" applyFill="1" applyBorder="1" applyAlignment="1">
      <alignment horizontal="center" vertical="center"/>
    </xf>
    <xf numFmtId="43" fontId="12" fillId="5" borderId="1" xfId="0" applyNumberFormat="1" applyFont="1" applyFill="1" applyBorder="1" applyAlignment="1">
      <alignment horizontal="center" vertical="center"/>
    </xf>
    <xf numFmtId="14" fontId="12" fillId="5" borderId="3" xfId="0" applyNumberFormat="1" applyFont="1" applyFill="1" applyBorder="1" applyAlignment="1">
      <alignment horizontal="center" vertical="center"/>
    </xf>
    <xf numFmtId="2" fontId="12" fillId="5" borderId="3" xfId="0" applyNumberFormat="1" applyFont="1" applyFill="1" applyBorder="1" applyAlignment="1">
      <alignment horizontal="center" vertical="center"/>
    </xf>
    <xf numFmtId="0" fontId="0" fillId="0" borderId="5" xfId="0" applyBorder="1"/>
    <xf numFmtId="2" fontId="4" fillId="2" borderId="1" xfId="0" applyNumberFormat="1" applyFont="1" applyFill="1" applyBorder="1" applyAlignment="1">
      <alignment horizontal="center" vertical="center"/>
    </xf>
    <xf numFmtId="0" fontId="5" fillId="5" borderId="0" xfId="0" applyFont="1" applyFill="1"/>
    <xf numFmtId="2" fontId="1" fillId="2" borderId="1" xfId="0" applyNumberFormat="1" applyFont="1" applyFill="1" applyBorder="1" applyAlignment="1">
      <alignment horizontal="center" vertical="center"/>
    </xf>
    <xf numFmtId="9" fontId="5" fillId="2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left" vertical="top"/>
    </xf>
    <xf numFmtId="0" fontId="4" fillId="5" borderId="4" xfId="0" applyFont="1" applyFill="1" applyBorder="1"/>
    <xf numFmtId="43" fontId="1" fillId="2" borderId="1" xfId="0" applyNumberFormat="1" applyFont="1" applyFill="1" applyBorder="1"/>
    <xf numFmtId="0" fontId="5" fillId="0" borderId="1" xfId="0" applyFont="1" applyBorder="1" applyAlignment="1">
      <alignment horizontal="left" vertical="top"/>
    </xf>
    <xf numFmtId="14" fontId="5" fillId="0" borderId="1" xfId="0" applyNumberFormat="1" applyFont="1" applyBorder="1" applyAlignment="1">
      <alignment horizontal="left" vertical="top"/>
    </xf>
    <xf numFmtId="43" fontId="5" fillId="0" borderId="1" xfId="0" applyNumberFormat="1" applyFont="1" applyBorder="1" applyAlignment="1">
      <alignment horizontal="left" vertical="top"/>
    </xf>
    <xf numFmtId="43" fontId="6" fillId="0" borderId="1" xfId="0" applyNumberFormat="1" applyFont="1" applyBorder="1" applyAlignment="1">
      <alignment horizontal="left" vertical="top"/>
    </xf>
    <xf numFmtId="43" fontId="2" fillId="0" borderId="1" xfId="0" applyNumberFormat="1" applyFont="1" applyBorder="1" applyAlignment="1">
      <alignment horizontal="left" vertical="top"/>
    </xf>
    <xf numFmtId="2" fontId="7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" fontId="2" fillId="0" borderId="1" xfId="0" applyNumberFormat="1" applyFont="1" applyBorder="1" applyAlignment="1">
      <alignment horizontal="left" vertical="top"/>
    </xf>
    <xf numFmtId="43" fontId="2" fillId="4" borderId="1" xfId="0" applyNumberFormat="1" applyFont="1" applyFill="1" applyBorder="1" applyAlignment="1">
      <alignment horizontal="left" vertical="top"/>
    </xf>
    <xf numFmtId="2" fontId="7" fillId="0" borderId="1" xfId="0" applyNumberFormat="1" applyFont="1" applyBorder="1" applyAlignment="1">
      <alignment horizontal="left" vertical="top" wrapText="1"/>
    </xf>
    <xf numFmtId="2" fontId="2" fillId="5" borderId="1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right"/>
    </xf>
    <xf numFmtId="0" fontId="0" fillId="0" borderId="1" xfId="0" applyBorder="1" applyAlignment="1">
      <alignment horizontal="left" indent="1"/>
    </xf>
    <xf numFmtId="43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3" fontId="5" fillId="8" borderId="1" xfId="0" applyNumberFormat="1" applyFont="1" applyFill="1" applyBorder="1" applyAlignment="1">
      <alignment horizontal="center" vertical="center"/>
    </xf>
    <xf numFmtId="2" fontId="15" fillId="0" borderId="1" xfId="0" applyNumberFormat="1" applyFont="1" applyBorder="1" applyAlignment="1">
      <alignment horizontal="right"/>
    </xf>
    <xf numFmtId="0" fontId="15" fillId="0" borderId="1" xfId="0" applyFont="1" applyBorder="1" applyAlignment="1">
      <alignment horizontal="right"/>
    </xf>
    <xf numFmtId="0" fontId="15" fillId="0" borderId="1" xfId="0" applyFont="1" applyBorder="1" applyAlignment="1">
      <alignment horizontal="right" wrapText="1"/>
    </xf>
    <xf numFmtId="43" fontId="3" fillId="0" borderId="2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right" wrapText="1"/>
    </xf>
    <xf numFmtId="43" fontId="3" fillId="0" borderId="1" xfId="0" applyNumberFormat="1" applyFont="1" applyBorder="1" applyAlignment="1">
      <alignment horizontal="right"/>
    </xf>
    <xf numFmtId="43" fontId="3" fillId="0" borderId="2" xfId="0" applyNumberFormat="1" applyFont="1" applyBorder="1" applyAlignment="1">
      <alignment horizontal="right"/>
    </xf>
    <xf numFmtId="0" fontId="11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4" fontId="3" fillId="0" borderId="0" xfId="0" applyNumberFormat="1" applyFont="1" applyAlignment="1">
      <alignment horizontal="right"/>
    </xf>
    <xf numFmtId="2" fontId="3" fillId="0" borderId="1" xfId="0" applyNumberFormat="1" applyFont="1" applyBorder="1"/>
    <xf numFmtId="14" fontId="3" fillId="0" borderId="1" xfId="0" applyNumberFormat="1" applyFont="1" applyBorder="1" applyAlignment="1">
      <alignment horizontal="center" vertical="center"/>
    </xf>
    <xf numFmtId="43" fontId="3" fillId="5" borderId="1" xfId="0" applyNumberFormat="1" applyFont="1" applyFill="1" applyBorder="1" applyAlignment="1">
      <alignment horizontal="right"/>
    </xf>
    <xf numFmtId="43" fontId="2" fillId="5" borderId="1" xfId="0" applyNumberFormat="1" applyFont="1" applyFill="1" applyBorder="1" applyAlignment="1">
      <alignment horizontal="right"/>
    </xf>
    <xf numFmtId="43" fontId="2" fillId="9" borderId="1" xfId="0" applyNumberFormat="1" applyFont="1" applyFill="1" applyBorder="1" applyAlignment="1">
      <alignment horizontal="right"/>
    </xf>
    <xf numFmtId="43" fontId="2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left" vertical="top"/>
    </xf>
    <xf numFmtId="43" fontId="3" fillId="0" borderId="1" xfId="0" applyNumberFormat="1" applyFont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39" fontId="1" fillId="5" borderId="4" xfId="0" applyNumberFormat="1" applyFont="1" applyFill="1" applyBorder="1"/>
    <xf numFmtId="164" fontId="0" fillId="0" borderId="1" xfId="0" applyNumberFormat="1" applyBorder="1"/>
    <xf numFmtId="0" fontId="2" fillId="5" borderId="1" xfId="0" applyFont="1" applyFill="1" applyBorder="1"/>
    <xf numFmtId="43" fontId="5" fillId="10" borderId="1" xfId="0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43" fontId="2" fillId="11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/>
    <xf numFmtId="0" fontId="0" fillId="11" borderId="1" xfId="0" applyFill="1" applyBorder="1"/>
    <xf numFmtId="43" fontId="1" fillId="11" borderId="1" xfId="0" applyNumberFormat="1" applyFont="1" applyFill="1" applyBorder="1"/>
    <xf numFmtId="0" fontId="2" fillId="3" borderId="3" xfId="0" applyFont="1" applyFill="1" applyBorder="1" applyAlignment="1">
      <alignment horizontal="center" vertical="center"/>
    </xf>
    <xf numFmtId="0" fontId="0" fillId="2" borderId="1" xfId="0" applyFill="1" applyBorder="1"/>
    <xf numFmtId="0" fontId="17" fillId="0" borderId="1" xfId="0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top"/>
    </xf>
    <xf numFmtId="43" fontId="17" fillId="0" borderId="1" xfId="0" applyNumberFormat="1" applyFont="1" applyBorder="1" applyAlignment="1">
      <alignment horizontal="center" vertical="top"/>
    </xf>
    <xf numFmtId="1" fontId="2" fillId="0" borderId="0" xfId="0" applyNumberFormat="1" applyFont="1" applyAlignment="1">
      <alignment horizontal="center" vertical="center"/>
    </xf>
    <xf numFmtId="1" fontId="1" fillId="2" borderId="1" xfId="0" applyNumberFormat="1" applyFont="1" applyFill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top"/>
    </xf>
    <xf numFmtId="1" fontId="18" fillId="0" borderId="1" xfId="0" applyNumberFormat="1" applyFont="1" applyBorder="1" applyAlignment="1">
      <alignment horizontal="center" vertical="top"/>
    </xf>
    <xf numFmtId="1" fontId="3" fillId="2" borderId="1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right" vertical="center"/>
    </xf>
    <xf numFmtId="1" fontId="2" fillId="5" borderId="1" xfId="0" applyNumberFormat="1" applyFont="1" applyFill="1" applyBorder="1" applyAlignment="1">
      <alignment horizontal="right" vertical="center"/>
    </xf>
    <xf numFmtId="1" fontId="2" fillId="5" borderId="1" xfId="0" applyNumberFormat="1" applyFont="1" applyFill="1" applyBorder="1" applyAlignment="1">
      <alignment horizontal="center" vertical="center"/>
    </xf>
    <xf numFmtId="1" fontId="2" fillId="5" borderId="4" xfId="0" applyNumberFormat="1" applyFont="1" applyFill="1" applyBorder="1" applyAlignment="1">
      <alignment horizontal="center" vertical="center"/>
    </xf>
    <xf numFmtId="1" fontId="0" fillId="0" borderId="1" xfId="0" applyNumberFormat="1" applyBorder="1"/>
    <xf numFmtId="1" fontId="0" fillId="0" borderId="0" xfId="0" applyNumberFormat="1"/>
    <xf numFmtId="43" fontId="6" fillId="8" borderId="1" xfId="0" applyNumberFormat="1" applyFont="1" applyFill="1" applyBorder="1" applyAlignment="1">
      <alignment horizontal="center" vertical="center"/>
    </xf>
    <xf numFmtId="43" fontId="1" fillId="0" borderId="1" xfId="0" applyNumberFormat="1" applyFont="1" applyBorder="1"/>
    <xf numFmtId="1" fontId="2" fillId="0" borderId="1" xfId="0" applyNumberFormat="1" applyFont="1" applyBorder="1" applyAlignment="1">
      <alignment horizontal="right" vertical="center"/>
    </xf>
    <xf numFmtId="43" fontId="2" fillId="11" borderId="1" xfId="0" applyNumberFormat="1" applyFont="1" applyFill="1" applyBorder="1" applyAlignment="1">
      <alignment horizontal="left" vertical="top"/>
    </xf>
    <xf numFmtId="43" fontId="19" fillId="11" borderId="1" xfId="0" applyNumberFormat="1" applyFont="1" applyFill="1" applyBorder="1" applyAlignment="1">
      <alignment horizontal="left" vertical="top"/>
    </xf>
    <xf numFmtId="43" fontId="19" fillId="11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" fontId="5" fillId="1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39" fontId="15" fillId="0" borderId="1" xfId="0" applyNumberFormat="1" applyFont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43" fontId="6" fillId="4" borderId="1" xfId="0" applyNumberFormat="1" applyFont="1" applyFill="1" applyBorder="1" applyAlignment="1">
      <alignment horizontal="center" vertical="center"/>
    </xf>
    <xf numFmtId="43" fontId="5" fillId="4" borderId="1" xfId="0" applyNumberFormat="1" applyFont="1" applyFill="1" applyBorder="1" applyAlignment="1">
      <alignment horizontal="center" vertical="center"/>
    </xf>
    <xf numFmtId="16" fontId="5" fillId="4" borderId="1" xfId="0" applyNumberFormat="1" applyFont="1" applyFill="1" applyBorder="1" applyAlignment="1">
      <alignment horizontal="center" vertical="center"/>
    </xf>
    <xf numFmtId="40" fontId="15" fillId="0" borderId="1" xfId="0" applyNumberFormat="1" applyFont="1" applyBorder="1" applyAlignment="1">
      <alignment horizontal="right"/>
    </xf>
    <xf numFmtId="40" fontId="15" fillId="0" borderId="1" xfId="0" applyNumberFormat="1" applyFont="1" applyBorder="1" applyAlignment="1">
      <alignment horizontal="right" wrapText="1"/>
    </xf>
    <xf numFmtId="40" fontId="16" fillId="0" borderId="1" xfId="0" applyNumberFormat="1" applyFont="1" applyBorder="1" applyAlignment="1">
      <alignment horizontal="right" wrapText="1"/>
    </xf>
    <xf numFmtId="40" fontId="11" fillId="0" borderId="1" xfId="0" applyNumberFormat="1" applyFont="1" applyBorder="1" applyAlignment="1">
      <alignment horizontal="right" vertical="center" wrapText="1"/>
    </xf>
    <xf numFmtId="40" fontId="5" fillId="0" borderId="1" xfId="0" applyNumberFormat="1" applyFont="1" applyBorder="1" applyAlignment="1">
      <alignment horizontal="right" vertical="center" wrapText="1"/>
    </xf>
    <xf numFmtId="40" fontId="3" fillId="0" borderId="1" xfId="0" applyNumberFormat="1" applyFont="1" applyBorder="1"/>
    <xf numFmtId="40" fontId="3" fillId="0" borderId="1" xfId="0" applyNumberFormat="1" applyFont="1" applyBorder="1" applyAlignment="1">
      <alignment horizontal="center" vertical="center"/>
    </xf>
    <xf numFmtId="43" fontId="2" fillId="5" borderId="4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40" fontId="2" fillId="2" borderId="1" xfId="0" applyNumberFormat="1" applyFont="1" applyFill="1" applyBorder="1" applyAlignment="1">
      <alignment horizontal="center" vertical="center"/>
    </xf>
    <xf numFmtId="40" fontId="1" fillId="5" borderId="1" xfId="0" applyNumberFormat="1" applyFont="1" applyFill="1" applyBorder="1"/>
    <xf numFmtId="40" fontId="3" fillId="5" borderId="1" xfId="0" applyNumberFormat="1" applyFont="1" applyFill="1" applyBorder="1" applyAlignment="1">
      <alignment horizontal="center" vertical="center"/>
    </xf>
    <xf numFmtId="40" fontId="1" fillId="5" borderId="1" xfId="0" applyNumberFormat="1" applyFont="1" applyFill="1" applyBorder="1" applyAlignment="1">
      <alignment horizontal="center"/>
    </xf>
    <xf numFmtId="40" fontId="2" fillId="9" borderId="1" xfId="0" applyNumberFormat="1" applyFont="1" applyFill="1" applyBorder="1" applyAlignment="1">
      <alignment horizontal="center"/>
    </xf>
    <xf numFmtId="40" fontId="2" fillId="5" borderId="1" xfId="0" applyNumberFormat="1" applyFont="1" applyFill="1" applyBorder="1" applyAlignment="1">
      <alignment horizontal="center"/>
    </xf>
    <xf numFmtId="4" fontId="3" fillId="0" borderId="1" xfId="0" applyNumberFormat="1" applyFont="1" applyBorder="1" applyAlignment="1">
      <alignment horizontal="right"/>
    </xf>
    <xf numFmtId="43" fontId="15" fillId="0" borderId="1" xfId="0" applyNumberFormat="1" applyFont="1" applyBorder="1" applyAlignment="1">
      <alignment horizontal="right"/>
    </xf>
    <xf numFmtId="43" fontId="15" fillId="0" borderId="1" xfId="0" applyNumberFormat="1" applyFont="1" applyBorder="1" applyAlignment="1">
      <alignment horizontal="right" wrapText="1"/>
    </xf>
    <xf numFmtId="0" fontId="1" fillId="4" borderId="1" xfId="0" applyFont="1" applyFill="1" applyBorder="1"/>
    <xf numFmtId="0" fontId="0" fillId="4" borderId="1" xfId="0" applyFill="1" applyBorder="1"/>
    <xf numFmtId="43" fontId="1" fillId="4" borderId="1" xfId="0" applyNumberFormat="1" applyFont="1" applyFill="1" applyBorder="1"/>
    <xf numFmtId="0" fontId="1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40" fontId="1" fillId="2" borderId="1" xfId="0" applyNumberFormat="1" applyFont="1" applyFill="1" applyBorder="1" applyAlignment="1">
      <alignment horizontal="center" vertical="center"/>
    </xf>
    <xf numFmtId="43" fontId="5" fillId="13" borderId="1" xfId="0" applyNumberFormat="1" applyFont="1" applyFill="1" applyBorder="1" applyAlignment="1">
      <alignment horizontal="center" vertical="center"/>
    </xf>
    <xf numFmtId="43" fontId="21" fillId="0" borderId="1" xfId="0" applyNumberFormat="1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43" fontId="2" fillId="0" borderId="1" xfId="0" applyNumberFormat="1" applyFont="1" applyBorder="1" applyAlignment="1">
      <alignment horizontal="center" vertical="top"/>
    </xf>
    <xf numFmtId="43" fontId="6" fillId="12" borderId="1" xfId="0" applyNumberFormat="1" applyFont="1" applyFill="1" applyBorder="1" applyAlignment="1">
      <alignment horizontal="center" vertical="center"/>
    </xf>
    <xf numFmtId="43" fontId="2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37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67C64"/>
      <color rgb="FFF351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7"/>
  <sheetViews>
    <sheetView workbookViewId="0">
      <pane ySplit="1" topLeftCell="A2" activePane="bottomLeft" state="frozen"/>
      <selection pane="bottomLeft" activeCell="N48" sqref="N48"/>
    </sheetView>
  </sheetViews>
  <sheetFormatPr defaultRowHeight="15" x14ac:dyDescent="0.25"/>
  <cols>
    <col min="1" max="1" width="20.7109375" customWidth="1"/>
    <col min="2" max="2" width="10.85546875" customWidth="1"/>
    <col min="3" max="3" width="12.5703125" customWidth="1"/>
    <col min="4" max="4" width="9.5703125" bestFit="1" customWidth="1"/>
    <col min="6" max="6" width="13" customWidth="1"/>
    <col min="7" max="7" width="10.7109375" customWidth="1"/>
    <col min="8" max="8" width="10.85546875" customWidth="1"/>
    <col min="9" max="9" width="10" bestFit="1" customWidth="1"/>
    <col min="10" max="10" width="4" customWidth="1"/>
    <col min="11" max="11" width="16.85546875" customWidth="1"/>
    <col min="13" max="13" width="11.5703125" customWidth="1"/>
    <col min="14" max="14" width="10.85546875" customWidth="1"/>
    <col min="17" max="17" width="11.85546875" customWidth="1"/>
    <col min="18" max="18" width="10.140625" customWidth="1"/>
    <col min="19" max="19" width="10.5703125" customWidth="1"/>
    <col min="20" max="20" width="11.140625" customWidth="1"/>
  </cols>
  <sheetData>
    <row r="1" spans="1:20" x14ac:dyDescent="0.25">
      <c r="A1" s="1"/>
      <c r="B1" s="1"/>
      <c r="C1" s="2"/>
      <c r="D1" s="2"/>
      <c r="E1" s="2"/>
      <c r="F1" s="2"/>
      <c r="G1" s="2"/>
      <c r="H1" s="2"/>
      <c r="I1" s="2"/>
      <c r="J1" s="3"/>
      <c r="K1" s="1"/>
      <c r="L1" s="1"/>
      <c r="M1" s="2"/>
      <c r="N1" s="2"/>
      <c r="O1" s="2"/>
      <c r="P1" s="2"/>
      <c r="Q1" s="2"/>
      <c r="R1" s="2"/>
      <c r="S1" s="4"/>
      <c r="T1" s="5"/>
    </row>
    <row r="2" spans="1:20" ht="21.75" customHeight="1" x14ac:dyDescent="0.25">
      <c r="A2" s="10" t="s">
        <v>0</v>
      </c>
      <c r="B2" s="10"/>
      <c r="C2" s="11"/>
      <c r="D2" s="11"/>
      <c r="E2" s="11"/>
      <c r="F2" s="11"/>
      <c r="G2" s="11"/>
      <c r="H2" s="11"/>
      <c r="I2" s="11"/>
      <c r="J2" s="12"/>
      <c r="K2" s="10" t="s">
        <v>1</v>
      </c>
      <c r="L2" s="10"/>
      <c r="M2" s="11"/>
      <c r="N2" s="11"/>
      <c r="O2" s="11"/>
      <c r="P2" s="11"/>
      <c r="Q2" s="11"/>
      <c r="R2" s="11"/>
      <c r="S2" s="13"/>
      <c r="T2" s="14"/>
    </row>
    <row r="3" spans="1:20" ht="21" customHeight="1" x14ac:dyDescent="0.25">
      <c r="A3" s="15" t="s">
        <v>22</v>
      </c>
      <c r="B3" s="15">
        <v>2025</v>
      </c>
      <c r="C3" s="16"/>
      <c r="D3" s="16"/>
      <c r="E3" s="16"/>
      <c r="F3" s="16"/>
      <c r="G3" s="16"/>
      <c r="H3" s="16"/>
      <c r="I3" s="16"/>
      <c r="J3" s="12"/>
      <c r="K3" s="15" t="s">
        <v>22</v>
      </c>
      <c r="L3" s="15">
        <v>2025</v>
      </c>
      <c r="M3" s="16"/>
      <c r="N3" s="16"/>
      <c r="O3" s="16"/>
      <c r="P3" s="16"/>
      <c r="Q3" s="16"/>
      <c r="R3" s="16"/>
      <c r="S3" s="17"/>
      <c r="T3" s="18"/>
    </row>
    <row r="4" spans="1:20" ht="24" x14ac:dyDescent="0.25">
      <c r="A4" s="90" t="s">
        <v>2</v>
      </c>
      <c r="B4" s="90" t="s">
        <v>3</v>
      </c>
      <c r="C4" s="91" t="s">
        <v>4</v>
      </c>
      <c r="D4" s="91" t="s">
        <v>5</v>
      </c>
      <c r="E4" s="91" t="s">
        <v>6</v>
      </c>
      <c r="F4" s="91" t="s">
        <v>7</v>
      </c>
      <c r="G4" s="91" t="s">
        <v>8</v>
      </c>
      <c r="H4" s="92" t="s">
        <v>9</v>
      </c>
      <c r="I4" s="91" t="s">
        <v>10</v>
      </c>
      <c r="J4" s="12" t="s">
        <v>41</v>
      </c>
      <c r="K4" s="90" t="s">
        <v>2</v>
      </c>
      <c r="L4" s="90" t="s">
        <v>3</v>
      </c>
      <c r="M4" s="91" t="s">
        <v>4</v>
      </c>
      <c r="N4" s="91" t="s">
        <v>11</v>
      </c>
      <c r="O4" s="91" t="s">
        <v>5</v>
      </c>
      <c r="P4" s="91" t="s">
        <v>6</v>
      </c>
      <c r="Q4" s="91" t="s">
        <v>7</v>
      </c>
      <c r="R4" s="91" t="s">
        <v>8</v>
      </c>
      <c r="S4" s="92" t="s">
        <v>12</v>
      </c>
      <c r="T4" s="92" t="s">
        <v>13</v>
      </c>
    </row>
    <row r="5" spans="1:20" ht="20.25" customHeight="1" x14ac:dyDescent="0.25">
      <c r="A5" s="20" t="s">
        <v>14</v>
      </c>
      <c r="B5" s="20"/>
      <c r="C5" s="21"/>
      <c r="D5" s="21"/>
      <c r="E5" s="21"/>
      <c r="F5" s="22"/>
      <c r="G5" s="21"/>
      <c r="H5" s="23"/>
      <c r="I5" s="21"/>
      <c r="J5" s="19"/>
      <c r="K5" s="24" t="s">
        <v>14</v>
      </c>
      <c r="L5" s="20"/>
      <c r="M5" s="21"/>
      <c r="N5" s="21"/>
      <c r="O5" s="21"/>
      <c r="P5" s="21"/>
      <c r="Q5" s="22">
        <v>6465.58</v>
      </c>
      <c r="R5" s="21"/>
      <c r="S5" s="23"/>
      <c r="T5" s="25"/>
    </row>
    <row r="6" spans="1:20" x14ac:dyDescent="0.25">
      <c r="A6" s="26" t="s">
        <v>23</v>
      </c>
      <c r="B6" s="27">
        <v>45659</v>
      </c>
      <c r="C6" s="26">
        <v>539946606</v>
      </c>
      <c r="D6" s="28" t="s">
        <v>24</v>
      </c>
      <c r="E6" s="93" t="s">
        <v>25</v>
      </c>
      <c r="F6" s="28">
        <v>11748.73</v>
      </c>
      <c r="G6" s="28">
        <v>10777.9</v>
      </c>
      <c r="H6" s="29">
        <v>1077.82</v>
      </c>
      <c r="I6" s="30">
        <f>H6/2</f>
        <v>538.91</v>
      </c>
      <c r="J6" s="31"/>
      <c r="K6" s="26" t="s">
        <v>35</v>
      </c>
      <c r="L6" s="27">
        <v>45664</v>
      </c>
      <c r="M6" s="26">
        <v>8515474</v>
      </c>
      <c r="N6" s="28" t="s">
        <v>43</v>
      </c>
      <c r="O6" s="28" t="s">
        <v>36</v>
      </c>
      <c r="P6" s="94" t="s">
        <v>25</v>
      </c>
      <c r="Q6" s="28">
        <v>9236.43</v>
      </c>
      <c r="R6" s="29">
        <v>9236.43</v>
      </c>
      <c r="S6" s="29">
        <v>1386</v>
      </c>
      <c r="T6" s="34">
        <v>693</v>
      </c>
    </row>
    <row r="7" spans="1:20" x14ac:dyDescent="0.25">
      <c r="A7" s="26" t="s">
        <v>26</v>
      </c>
      <c r="B7" s="27">
        <v>45663</v>
      </c>
      <c r="C7" s="26">
        <v>540577999</v>
      </c>
      <c r="D7" s="28" t="s">
        <v>24</v>
      </c>
      <c r="E7" s="94" t="s">
        <v>25</v>
      </c>
      <c r="F7" s="28">
        <v>13552.55</v>
      </c>
      <c r="G7" s="28">
        <v>12369.39</v>
      </c>
      <c r="H7" s="35">
        <v>1236.95</v>
      </c>
      <c r="I7" s="30">
        <f t="shared" ref="I7:I31" si="0">H7/2</f>
        <v>618.47500000000002</v>
      </c>
      <c r="J7" s="31"/>
      <c r="K7" s="7"/>
      <c r="L7" s="32"/>
      <c r="M7" s="7"/>
      <c r="N7" s="6"/>
      <c r="O7" s="6"/>
      <c r="P7" s="6"/>
      <c r="Q7" s="36"/>
      <c r="R7" s="6"/>
      <c r="S7" s="37"/>
      <c r="T7" s="34"/>
    </row>
    <row r="8" spans="1:20" x14ac:dyDescent="0.25">
      <c r="A8" s="26" t="s">
        <v>27</v>
      </c>
      <c r="B8" s="27">
        <v>45663</v>
      </c>
      <c r="C8" s="26">
        <v>541043175</v>
      </c>
      <c r="D8" s="28" t="s">
        <v>24</v>
      </c>
      <c r="E8" s="94" t="s">
        <v>25</v>
      </c>
      <c r="F8" s="28">
        <v>19582.419999999998</v>
      </c>
      <c r="G8" s="28">
        <v>17964.259999999998</v>
      </c>
      <c r="H8" s="29">
        <v>1796.43</v>
      </c>
      <c r="I8" s="30">
        <f t="shared" si="0"/>
        <v>898.21500000000003</v>
      </c>
      <c r="J8" s="31"/>
      <c r="K8" s="7"/>
      <c r="L8" s="32"/>
      <c r="M8" s="7"/>
      <c r="N8" s="6"/>
      <c r="O8" s="6"/>
      <c r="P8" s="6"/>
      <c r="Q8" s="6"/>
      <c r="R8" s="6"/>
      <c r="S8" s="33"/>
      <c r="T8" s="34"/>
    </row>
    <row r="9" spans="1:20" x14ac:dyDescent="0.25">
      <c r="A9" s="26" t="s">
        <v>28</v>
      </c>
      <c r="B9" s="27">
        <v>45665</v>
      </c>
      <c r="C9" s="26">
        <v>541639591</v>
      </c>
      <c r="D9" s="28" t="s">
        <v>24</v>
      </c>
      <c r="E9" s="94" t="s">
        <v>25</v>
      </c>
      <c r="F9" s="28">
        <v>10943</v>
      </c>
      <c r="G9" s="28">
        <v>9770.5499999999993</v>
      </c>
      <c r="H9" s="29">
        <v>977.07</v>
      </c>
      <c r="I9" s="30">
        <f t="shared" si="0"/>
        <v>488.53500000000003</v>
      </c>
      <c r="J9" s="31"/>
      <c r="K9" s="7"/>
      <c r="L9" s="32"/>
      <c r="M9" s="7"/>
      <c r="N9" s="6"/>
      <c r="O9" s="6"/>
      <c r="P9" s="6"/>
      <c r="Q9" s="6"/>
      <c r="R9" s="6"/>
      <c r="S9" s="33"/>
      <c r="T9" s="34"/>
    </row>
    <row r="10" spans="1:20" x14ac:dyDescent="0.25">
      <c r="A10" s="26" t="s">
        <v>28</v>
      </c>
      <c r="B10" s="27">
        <v>45665</v>
      </c>
      <c r="C10" s="26">
        <v>541621666</v>
      </c>
      <c r="D10" s="28" t="s">
        <v>29</v>
      </c>
      <c r="E10" s="94" t="s">
        <v>25</v>
      </c>
      <c r="F10" s="28">
        <v>16988.060000000001</v>
      </c>
      <c r="G10" s="28">
        <v>16179.1</v>
      </c>
      <c r="H10" s="29">
        <v>2426.87</v>
      </c>
      <c r="I10" s="30">
        <f t="shared" si="0"/>
        <v>1213.4349999999999</v>
      </c>
      <c r="J10" s="31"/>
      <c r="K10" s="7"/>
      <c r="L10" s="32"/>
      <c r="M10" s="7"/>
      <c r="N10" s="6"/>
      <c r="O10" s="6"/>
      <c r="P10" s="6"/>
      <c r="Q10" s="6"/>
      <c r="R10" s="6"/>
      <c r="S10" s="33"/>
      <c r="T10" s="34"/>
    </row>
    <row r="11" spans="1:20" x14ac:dyDescent="0.25">
      <c r="A11" s="26" t="s">
        <v>31</v>
      </c>
      <c r="B11" s="27">
        <v>45667</v>
      </c>
      <c r="C11" s="26">
        <v>543221193</v>
      </c>
      <c r="D11" s="28" t="s">
        <v>32</v>
      </c>
      <c r="E11" s="94" t="s">
        <v>25</v>
      </c>
      <c r="F11" s="28">
        <v>4903.72</v>
      </c>
      <c r="G11" s="28">
        <v>4670.2</v>
      </c>
      <c r="H11" s="29">
        <v>700.5</v>
      </c>
      <c r="I11" s="30">
        <f t="shared" si="0"/>
        <v>350.25</v>
      </c>
      <c r="J11" s="31"/>
      <c r="K11" s="7"/>
      <c r="L11" s="7"/>
      <c r="M11" s="7"/>
      <c r="N11" s="6"/>
      <c r="O11" s="6"/>
      <c r="P11" s="6"/>
      <c r="Q11" s="6"/>
      <c r="R11" s="6"/>
      <c r="S11" s="33"/>
      <c r="T11" s="38"/>
    </row>
    <row r="12" spans="1:20" x14ac:dyDescent="0.25">
      <c r="A12" s="26" t="s">
        <v>31</v>
      </c>
      <c r="B12" s="27">
        <v>45677</v>
      </c>
      <c r="C12" s="26">
        <v>543914622</v>
      </c>
      <c r="D12" s="28" t="s">
        <v>32</v>
      </c>
      <c r="E12" s="94" t="s">
        <v>25</v>
      </c>
      <c r="F12" s="28">
        <v>1405.04</v>
      </c>
      <c r="G12" s="28">
        <v>1338.14</v>
      </c>
      <c r="H12" s="39">
        <v>200.7</v>
      </c>
      <c r="I12" s="30">
        <f t="shared" si="0"/>
        <v>100.35</v>
      </c>
      <c r="J12" s="31"/>
      <c r="K12" s="7"/>
      <c r="L12" s="7"/>
      <c r="M12" s="7" t="s">
        <v>42</v>
      </c>
      <c r="N12" s="6"/>
      <c r="O12" s="6"/>
      <c r="P12" s="16"/>
      <c r="Q12" s="16"/>
      <c r="R12" s="16"/>
      <c r="S12" s="40"/>
      <c r="T12" s="114"/>
    </row>
    <row r="13" spans="1:20" x14ac:dyDescent="0.25">
      <c r="A13" s="26" t="s">
        <v>31</v>
      </c>
      <c r="B13" s="27">
        <v>45677</v>
      </c>
      <c r="C13" s="26">
        <v>543908606</v>
      </c>
      <c r="D13" s="28" t="s">
        <v>32</v>
      </c>
      <c r="E13" s="94" t="s">
        <v>25</v>
      </c>
      <c r="F13" s="28">
        <v>5271.92</v>
      </c>
      <c r="G13" s="28">
        <v>5020.87</v>
      </c>
      <c r="H13" s="29">
        <v>753</v>
      </c>
      <c r="I13" s="30">
        <f t="shared" si="0"/>
        <v>376.5</v>
      </c>
      <c r="J13" s="31"/>
      <c r="K13" s="7"/>
      <c r="L13" s="7"/>
      <c r="M13" s="7"/>
      <c r="N13" s="6"/>
      <c r="O13" s="6"/>
      <c r="P13" s="16" t="s">
        <v>15</v>
      </c>
      <c r="Q13" s="16">
        <f>Q6+Q7+Q8+Q9+Q10</f>
        <v>9236.43</v>
      </c>
      <c r="R13" s="16">
        <f>R6+R7+R8+R9+R10</f>
        <v>9236.43</v>
      </c>
      <c r="S13" s="17">
        <f>S6+S7+S8+S10+S9</f>
        <v>1386</v>
      </c>
      <c r="T13" s="41">
        <f>T6+T7+T8+T9+T10+T5</f>
        <v>693</v>
      </c>
    </row>
    <row r="14" spans="1:20" x14ac:dyDescent="0.25">
      <c r="A14" s="26" t="s">
        <v>33</v>
      </c>
      <c r="B14" s="27">
        <v>45680</v>
      </c>
      <c r="C14" s="26">
        <v>544574733</v>
      </c>
      <c r="D14" s="28" t="s">
        <v>24</v>
      </c>
      <c r="E14" s="94" t="s">
        <v>25</v>
      </c>
      <c r="F14" s="28">
        <v>18635.86</v>
      </c>
      <c r="G14" s="28">
        <v>17114.580000000002</v>
      </c>
      <c r="H14" s="29">
        <v>1711.48</v>
      </c>
      <c r="I14" s="30">
        <f t="shared" si="0"/>
        <v>855.74</v>
      </c>
      <c r="J14" s="31"/>
      <c r="K14" s="7"/>
      <c r="L14" s="7"/>
      <c r="M14" s="7"/>
      <c r="N14" s="6"/>
      <c r="O14" s="6"/>
      <c r="P14" s="16"/>
      <c r="Q14" s="16"/>
      <c r="R14" s="16"/>
      <c r="S14" s="17"/>
      <c r="T14" s="42"/>
    </row>
    <row r="15" spans="1:20" x14ac:dyDescent="0.25">
      <c r="A15" s="26" t="s">
        <v>34</v>
      </c>
      <c r="B15" s="27">
        <v>45682</v>
      </c>
      <c r="C15" s="26">
        <v>543573264</v>
      </c>
      <c r="D15" s="28" t="s">
        <v>24</v>
      </c>
      <c r="E15" s="94" t="s">
        <v>25</v>
      </c>
      <c r="F15" s="28">
        <v>10106.02</v>
      </c>
      <c r="G15" s="28">
        <v>9236.69</v>
      </c>
      <c r="H15" s="29">
        <v>923.68</v>
      </c>
      <c r="I15" s="30">
        <f t="shared" si="0"/>
        <v>461.84</v>
      </c>
      <c r="J15" s="31"/>
      <c r="K15" s="7"/>
      <c r="L15" s="7"/>
      <c r="M15" s="7"/>
      <c r="N15" s="6"/>
      <c r="O15" s="6"/>
      <c r="P15" s="16"/>
      <c r="Q15" s="16"/>
      <c r="R15" s="16"/>
      <c r="S15" s="17"/>
      <c r="T15" s="18"/>
    </row>
    <row r="16" spans="1:20" x14ac:dyDescent="0.25">
      <c r="A16" s="26" t="s">
        <v>31</v>
      </c>
      <c r="B16" s="27">
        <v>45686</v>
      </c>
      <c r="C16" s="26">
        <v>545703200</v>
      </c>
      <c r="D16" s="28" t="s">
        <v>32</v>
      </c>
      <c r="E16" s="94" t="s">
        <v>25</v>
      </c>
      <c r="F16" s="28">
        <v>333.08</v>
      </c>
      <c r="G16" s="28">
        <v>317.22000000000003</v>
      </c>
      <c r="H16" s="29">
        <v>47.55</v>
      </c>
      <c r="I16" s="30">
        <f t="shared" si="0"/>
        <v>23.774999999999999</v>
      </c>
      <c r="J16" s="31"/>
      <c r="K16" s="7"/>
      <c r="L16" s="7"/>
      <c r="M16" s="7"/>
      <c r="N16" s="6"/>
      <c r="O16" s="6"/>
      <c r="P16" s="6"/>
      <c r="Q16" s="6"/>
      <c r="R16" s="6"/>
      <c r="S16" s="8"/>
      <c r="T16" s="9"/>
    </row>
    <row r="17" spans="1:20" x14ac:dyDescent="0.25">
      <c r="A17" s="26"/>
      <c r="B17" s="27"/>
      <c r="C17" s="26"/>
      <c r="D17" s="28"/>
      <c r="E17" s="28"/>
      <c r="F17" s="28"/>
      <c r="G17" s="28"/>
      <c r="H17" s="29"/>
      <c r="I17" s="30">
        <f t="shared" si="0"/>
        <v>0</v>
      </c>
      <c r="J17" s="31"/>
      <c r="K17" s="7"/>
      <c r="L17" s="7"/>
      <c r="M17" s="7"/>
      <c r="N17" s="6"/>
      <c r="O17" s="6"/>
      <c r="P17" s="6"/>
      <c r="Q17" s="6"/>
      <c r="R17" s="6"/>
      <c r="S17" s="8"/>
      <c r="T17" s="9"/>
    </row>
    <row r="18" spans="1:20" x14ac:dyDescent="0.25">
      <c r="A18" s="26"/>
      <c r="B18" s="27"/>
      <c r="C18" s="26"/>
      <c r="D18" s="28"/>
      <c r="E18" s="28"/>
      <c r="F18" s="28"/>
      <c r="G18" s="28"/>
      <c r="H18" s="29"/>
      <c r="I18" s="30">
        <f t="shared" si="0"/>
        <v>0</v>
      </c>
      <c r="J18" s="31"/>
      <c r="K18" s="7"/>
      <c r="L18" s="7"/>
      <c r="M18" s="7"/>
      <c r="N18" s="6"/>
      <c r="O18" s="6"/>
      <c r="P18" s="6"/>
      <c r="Q18" s="6"/>
      <c r="R18" s="6"/>
      <c r="S18" s="8"/>
      <c r="T18" s="9"/>
    </row>
    <row r="19" spans="1:20" x14ac:dyDescent="0.25">
      <c r="A19" s="26"/>
      <c r="B19" s="27"/>
      <c r="C19" s="26"/>
      <c r="D19" s="28"/>
      <c r="E19" s="28"/>
      <c r="F19" s="28"/>
      <c r="G19" s="28"/>
      <c r="H19" s="29"/>
      <c r="I19" s="30">
        <f t="shared" si="0"/>
        <v>0</v>
      </c>
      <c r="J19" s="31"/>
      <c r="K19" s="7"/>
      <c r="L19" s="7"/>
      <c r="M19" s="7"/>
      <c r="N19" s="6"/>
      <c r="O19" s="6"/>
      <c r="P19" s="6"/>
      <c r="Q19" s="6"/>
      <c r="R19" s="6"/>
      <c r="S19" s="8"/>
      <c r="T19" s="9"/>
    </row>
    <row r="20" spans="1:20" x14ac:dyDescent="0.25">
      <c r="A20" s="26"/>
      <c r="B20" s="27"/>
      <c r="C20" s="26"/>
      <c r="D20" s="28"/>
      <c r="E20" s="28"/>
      <c r="F20" s="28"/>
      <c r="G20" s="28"/>
      <c r="H20" s="29"/>
      <c r="I20" s="30">
        <f t="shared" si="0"/>
        <v>0</v>
      </c>
      <c r="J20" s="31"/>
      <c r="K20" s="43"/>
      <c r="L20" s="32"/>
      <c r="M20" s="7"/>
      <c r="N20" s="6"/>
      <c r="O20" s="6"/>
      <c r="P20" s="6"/>
      <c r="Q20" s="6"/>
      <c r="R20" s="6"/>
      <c r="S20" s="8"/>
      <c r="T20" s="9"/>
    </row>
    <row r="21" spans="1:20" x14ac:dyDescent="0.25">
      <c r="A21" s="26"/>
      <c r="B21" s="27"/>
      <c r="C21" s="26"/>
      <c r="D21" s="28"/>
      <c r="E21" s="28"/>
      <c r="F21" s="28"/>
      <c r="G21" s="28"/>
      <c r="H21" s="29"/>
      <c r="I21" s="30">
        <f t="shared" si="0"/>
        <v>0</v>
      </c>
      <c r="J21" s="31"/>
      <c r="K21" s="43"/>
      <c r="L21" s="32"/>
      <c r="M21" s="7"/>
      <c r="N21" s="6"/>
      <c r="O21" s="6"/>
      <c r="P21" s="6"/>
      <c r="Q21" s="6"/>
      <c r="R21" s="6"/>
      <c r="S21" s="8"/>
      <c r="T21" s="9"/>
    </row>
    <row r="22" spans="1:20" x14ac:dyDescent="0.25">
      <c r="A22" s="26"/>
      <c r="B22" s="27"/>
      <c r="C22" s="26"/>
      <c r="D22" s="28"/>
      <c r="E22" s="28"/>
      <c r="F22" s="28"/>
      <c r="G22" s="28"/>
      <c r="H22" s="29"/>
      <c r="I22" s="30">
        <f t="shared" si="0"/>
        <v>0</v>
      </c>
      <c r="J22" s="44"/>
      <c r="K22" s="43"/>
      <c r="L22" s="43"/>
      <c r="M22" s="7"/>
      <c r="N22" s="6"/>
      <c r="O22" s="6"/>
      <c r="P22" s="6"/>
      <c r="Q22" s="6"/>
      <c r="R22" s="6"/>
      <c r="S22" s="8"/>
      <c r="T22" s="9"/>
    </row>
    <row r="23" spans="1:20" x14ac:dyDescent="0.25">
      <c r="A23" s="26"/>
      <c r="B23" s="27"/>
      <c r="C23" s="26"/>
      <c r="D23" s="28"/>
      <c r="E23" s="28"/>
      <c r="F23" s="28"/>
      <c r="G23" s="28"/>
      <c r="H23" s="45"/>
      <c r="I23" s="30">
        <f t="shared" si="0"/>
        <v>0</v>
      </c>
      <c r="J23" s="31"/>
      <c r="K23" s="43"/>
      <c r="L23" s="7"/>
      <c r="M23" s="7"/>
      <c r="N23" s="6"/>
      <c r="O23" s="6"/>
      <c r="P23" s="6"/>
      <c r="Q23" s="6"/>
      <c r="R23" s="6"/>
      <c r="S23" s="8"/>
      <c r="T23" s="9"/>
    </row>
    <row r="24" spans="1:20" x14ac:dyDescent="0.25">
      <c r="A24" s="26"/>
      <c r="B24" s="27"/>
      <c r="C24" s="26"/>
      <c r="D24" s="28"/>
      <c r="E24" s="83"/>
      <c r="F24" s="28"/>
      <c r="G24" s="28"/>
      <c r="H24" s="45"/>
      <c r="I24" s="30">
        <f t="shared" si="0"/>
        <v>0</v>
      </c>
      <c r="J24" s="31"/>
      <c r="K24" s="7"/>
      <c r="L24" s="7"/>
      <c r="M24" s="7"/>
      <c r="N24" s="6"/>
      <c r="O24" s="6"/>
      <c r="P24" s="6"/>
      <c r="Q24" s="6"/>
      <c r="R24" s="6"/>
      <c r="S24" s="8"/>
      <c r="T24" s="9"/>
    </row>
    <row r="25" spans="1:20" x14ac:dyDescent="0.25">
      <c r="A25" s="26"/>
      <c r="B25" s="27"/>
      <c r="C25" s="26"/>
      <c r="D25" s="28"/>
      <c r="E25" s="83"/>
      <c r="F25" s="28"/>
      <c r="G25" s="28"/>
      <c r="H25" s="46"/>
      <c r="I25" s="30">
        <f t="shared" si="0"/>
        <v>0</v>
      </c>
      <c r="J25" s="31"/>
      <c r="K25" s="7"/>
      <c r="L25" s="7"/>
      <c r="M25" s="7"/>
      <c r="N25" s="6"/>
      <c r="O25" s="6"/>
      <c r="P25" s="6"/>
      <c r="Q25" s="6"/>
      <c r="R25" s="6"/>
      <c r="S25" s="8"/>
      <c r="T25" s="9"/>
    </row>
    <row r="26" spans="1:20" x14ac:dyDescent="0.25">
      <c r="A26" s="26"/>
      <c r="B26" s="27"/>
      <c r="C26" s="26"/>
      <c r="D26" s="28"/>
      <c r="E26" s="28"/>
      <c r="F26" s="28"/>
      <c r="G26" s="28"/>
      <c r="H26" s="46"/>
      <c r="I26" s="30">
        <f t="shared" si="0"/>
        <v>0</v>
      </c>
      <c r="J26" s="31"/>
      <c r="K26" s="7"/>
      <c r="L26" s="7"/>
      <c r="M26" s="6"/>
      <c r="N26" s="6"/>
      <c r="O26" s="6"/>
      <c r="P26" s="6"/>
      <c r="Q26" s="6"/>
      <c r="R26" s="6"/>
      <c r="S26" s="8"/>
      <c r="T26" s="9"/>
    </row>
    <row r="27" spans="1:20" x14ac:dyDescent="0.25">
      <c r="A27" s="26"/>
      <c r="B27" s="27"/>
      <c r="C27" s="26"/>
      <c r="D27" s="28"/>
      <c r="E27" s="28"/>
      <c r="F27" s="28"/>
      <c r="G27" s="28"/>
      <c r="H27" s="46"/>
      <c r="I27" s="30">
        <f t="shared" si="0"/>
        <v>0</v>
      </c>
      <c r="J27" s="31"/>
      <c r="K27" s="7"/>
      <c r="L27" s="7"/>
      <c r="M27" s="6"/>
      <c r="N27" s="6"/>
      <c r="O27" s="6"/>
      <c r="P27" s="6"/>
      <c r="Q27" s="6"/>
      <c r="R27" s="6"/>
      <c r="S27" s="8"/>
      <c r="T27" s="9"/>
    </row>
    <row r="28" spans="1:20" x14ac:dyDescent="0.25">
      <c r="A28" s="47"/>
      <c r="B28" s="48"/>
      <c r="C28" s="26"/>
      <c r="D28" s="28"/>
      <c r="E28" s="28"/>
      <c r="F28" s="28"/>
      <c r="G28" s="49"/>
      <c r="H28" s="50"/>
      <c r="I28" s="30">
        <f t="shared" si="0"/>
        <v>0</v>
      </c>
      <c r="J28" s="31"/>
      <c r="K28" s="7"/>
      <c r="L28" s="7"/>
      <c r="M28" s="6"/>
      <c r="N28" s="6"/>
      <c r="O28" s="6"/>
      <c r="P28" s="6"/>
      <c r="Q28" s="6"/>
      <c r="R28" s="6"/>
      <c r="S28" s="8"/>
      <c r="T28" s="9"/>
    </row>
    <row r="29" spans="1:20" x14ac:dyDescent="0.25">
      <c r="A29" s="43"/>
      <c r="B29" s="51"/>
      <c r="C29" s="7"/>
      <c r="D29" s="6"/>
      <c r="E29" s="6"/>
      <c r="F29" s="6"/>
      <c r="G29" s="6"/>
      <c r="H29" s="8"/>
      <c r="I29" s="30">
        <f t="shared" si="0"/>
        <v>0</v>
      </c>
      <c r="J29" s="31"/>
      <c r="K29" s="7"/>
      <c r="L29" s="7"/>
      <c r="M29" s="6"/>
      <c r="N29" s="6"/>
      <c r="O29" s="6"/>
      <c r="P29" s="6"/>
      <c r="Q29" s="6"/>
      <c r="R29" s="6"/>
      <c r="S29" s="8"/>
      <c r="T29" s="9"/>
    </row>
    <row r="30" spans="1:20" x14ac:dyDescent="0.25">
      <c r="A30" s="43"/>
      <c r="B30" s="51"/>
      <c r="C30" s="7"/>
      <c r="D30" s="6"/>
      <c r="E30" s="6"/>
      <c r="F30" s="6"/>
      <c r="G30" s="6"/>
      <c r="H30" s="8"/>
      <c r="I30" s="30">
        <f t="shared" si="0"/>
        <v>0</v>
      </c>
      <c r="J30" s="31"/>
      <c r="K30" s="7"/>
      <c r="L30" s="7"/>
      <c r="M30" s="6"/>
      <c r="N30" s="6"/>
      <c r="O30" s="6"/>
      <c r="P30" s="6"/>
      <c r="Q30" s="6"/>
      <c r="R30" s="6"/>
      <c r="S30" s="8"/>
      <c r="T30" s="9"/>
    </row>
    <row r="31" spans="1:20" x14ac:dyDescent="0.25">
      <c r="A31" s="7"/>
      <c r="B31" s="32"/>
      <c r="C31" s="7"/>
      <c r="D31" s="6"/>
      <c r="E31" s="6"/>
      <c r="F31" s="6"/>
      <c r="G31" s="6"/>
      <c r="H31" s="6"/>
      <c r="I31" s="30">
        <f t="shared" si="0"/>
        <v>0</v>
      </c>
      <c r="J31" s="31"/>
      <c r="K31" s="7"/>
      <c r="L31" s="7"/>
      <c r="M31" s="6"/>
      <c r="N31" s="6"/>
      <c r="O31" s="6"/>
      <c r="P31" s="6"/>
      <c r="Q31" s="6"/>
      <c r="R31" s="6"/>
      <c r="S31" s="8"/>
      <c r="T31" s="9"/>
    </row>
    <row r="32" spans="1:20" x14ac:dyDescent="0.25">
      <c r="A32" s="7"/>
      <c r="B32" s="32"/>
      <c r="C32" s="7"/>
      <c r="D32" s="6"/>
      <c r="E32" s="16" t="s">
        <v>15</v>
      </c>
      <c r="F32" s="52">
        <f>SUM(F5:F30)</f>
        <v>113470.39999999999</v>
      </c>
      <c r="G32" s="16">
        <f>SUM(G6:G30)</f>
        <v>104758.90000000001</v>
      </c>
      <c r="H32" s="16">
        <f>SUM(H6:H29)</f>
        <v>11852.05</v>
      </c>
      <c r="I32" s="22">
        <f>SUM(I6:I29)</f>
        <v>5926.0249999999996</v>
      </c>
      <c r="J32" s="31"/>
      <c r="K32" s="7"/>
      <c r="L32" s="7"/>
      <c r="M32" s="6"/>
      <c r="N32" s="6"/>
      <c r="O32" s="6"/>
      <c r="P32" s="6"/>
      <c r="Q32" s="6"/>
      <c r="R32" s="6"/>
      <c r="S32" s="8"/>
      <c r="T32" s="9"/>
    </row>
    <row r="33" spans="1:21" x14ac:dyDescent="0.25">
      <c r="A33" s="7"/>
      <c r="B33" s="32"/>
      <c r="C33" s="7"/>
      <c r="D33" s="6"/>
      <c r="E33" s="6"/>
      <c r="F33" s="6"/>
      <c r="G33" s="6"/>
      <c r="H33" s="6"/>
      <c r="I33" s="6"/>
      <c r="J33" s="31"/>
      <c r="K33" s="7"/>
      <c r="L33" s="7"/>
      <c r="M33" s="6"/>
      <c r="N33" s="6"/>
      <c r="O33" s="6"/>
      <c r="P33" s="6"/>
      <c r="Q33" s="6"/>
      <c r="R33" s="43"/>
      <c r="S33" s="51"/>
      <c r="T33" s="8"/>
    </row>
    <row r="34" spans="1:21" x14ac:dyDescent="0.25">
      <c r="A34" s="7"/>
      <c r="B34" s="32"/>
      <c r="C34" s="7"/>
      <c r="D34" s="6"/>
      <c r="E34" s="6"/>
      <c r="F34" s="6"/>
      <c r="G34" s="6"/>
      <c r="H34" s="6"/>
      <c r="I34" s="6"/>
      <c r="J34" s="31"/>
      <c r="K34" s="7"/>
      <c r="L34" s="7"/>
      <c r="M34" s="6"/>
      <c r="N34" s="6"/>
      <c r="O34" s="6"/>
      <c r="P34" s="6"/>
      <c r="Q34" s="6"/>
      <c r="R34" s="43"/>
      <c r="S34" s="51"/>
      <c r="T34" s="8"/>
    </row>
    <row r="35" spans="1:21" ht="15.75" customHeight="1" x14ac:dyDescent="0.25">
      <c r="A35" s="53" t="s">
        <v>16</v>
      </c>
      <c r="B35" s="54"/>
      <c r="C35" s="55"/>
      <c r="D35" s="55">
        <f>F5</f>
        <v>0</v>
      </c>
      <c r="E35" s="16"/>
      <c r="F35" s="16"/>
      <c r="G35" s="16"/>
      <c r="H35" s="16"/>
      <c r="I35" s="16"/>
      <c r="J35" s="12"/>
      <c r="K35" s="53" t="s">
        <v>16</v>
      </c>
      <c r="L35" s="54"/>
      <c r="M35" s="22"/>
      <c r="N35" s="22">
        <f>Q5</f>
        <v>6465.58</v>
      </c>
      <c r="O35" s="6"/>
      <c r="P35" s="6"/>
      <c r="Q35" s="6"/>
      <c r="R35" s="43"/>
      <c r="S35" s="32"/>
      <c r="T35" s="8"/>
    </row>
    <row r="36" spans="1:21" ht="17.25" customHeight="1" x14ac:dyDescent="0.25">
      <c r="A36" s="56" t="s">
        <v>17</v>
      </c>
      <c r="B36" s="57"/>
      <c r="C36" s="58"/>
      <c r="D36" s="71">
        <f>I32</f>
        <v>5926.0249999999996</v>
      </c>
      <c r="E36" s="16"/>
      <c r="F36" s="16"/>
      <c r="G36" s="16"/>
      <c r="H36" s="16"/>
      <c r="I36" s="16"/>
      <c r="J36" s="12"/>
      <c r="K36" s="56" t="s">
        <v>18</v>
      </c>
      <c r="L36" s="57"/>
      <c r="M36" s="59"/>
      <c r="N36" s="58">
        <f>T13</f>
        <v>693</v>
      </c>
      <c r="O36" s="6"/>
      <c r="P36" s="6"/>
      <c r="Q36" s="6"/>
      <c r="R36" s="60"/>
      <c r="S36" s="63"/>
      <c r="T36" s="61"/>
      <c r="U36" s="85"/>
    </row>
    <row r="37" spans="1:21" ht="17.25" customHeight="1" x14ac:dyDescent="0.25">
      <c r="A37" s="60" t="s">
        <v>19</v>
      </c>
      <c r="B37" s="60"/>
      <c r="C37" s="61"/>
      <c r="D37" s="84"/>
      <c r="E37" s="6"/>
      <c r="F37" s="6"/>
      <c r="G37" s="6"/>
      <c r="H37" s="6"/>
      <c r="I37" s="6"/>
      <c r="J37" s="31"/>
      <c r="K37" s="60" t="s">
        <v>20</v>
      </c>
      <c r="L37" s="62"/>
      <c r="M37" s="59"/>
      <c r="N37" s="59"/>
      <c r="O37" s="6"/>
      <c r="P37" s="6"/>
      <c r="Q37" s="6"/>
      <c r="R37" s="60"/>
      <c r="S37" s="64"/>
      <c r="T37" s="65"/>
      <c r="U37" s="84"/>
    </row>
    <row r="38" spans="1:21" x14ac:dyDescent="0.25">
      <c r="A38" s="60" t="s">
        <v>40</v>
      </c>
      <c r="B38" s="62"/>
      <c r="C38" s="59"/>
      <c r="D38" s="59">
        <v>136.25</v>
      </c>
      <c r="E38" s="6"/>
      <c r="F38" s="6"/>
      <c r="G38" s="6"/>
      <c r="H38" s="6"/>
      <c r="I38" s="6"/>
      <c r="J38" s="31"/>
      <c r="K38" s="60" t="s">
        <v>30</v>
      </c>
      <c r="L38" s="63"/>
      <c r="M38" s="61"/>
      <c r="N38" s="115">
        <v>443.5</v>
      </c>
      <c r="O38" s="6"/>
      <c r="P38" s="6"/>
      <c r="Q38" s="6"/>
      <c r="R38" s="60"/>
      <c r="S38" s="66"/>
      <c r="T38" s="67"/>
      <c r="U38" s="84"/>
    </row>
    <row r="39" spans="1:21" x14ac:dyDescent="0.25">
      <c r="A39" s="60" t="s">
        <v>39</v>
      </c>
      <c r="B39" s="64"/>
      <c r="C39" s="59"/>
      <c r="D39" s="59">
        <v>16.649999999999999</v>
      </c>
      <c r="E39" s="6"/>
      <c r="F39" s="6"/>
      <c r="G39" s="6"/>
      <c r="H39" s="6"/>
      <c r="I39" s="6"/>
      <c r="J39" s="31"/>
      <c r="K39" s="60" t="s">
        <v>37</v>
      </c>
      <c r="L39" s="64"/>
      <c r="M39" s="65"/>
      <c r="N39" s="84">
        <v>912.15</v>
      </c>
      <c r="O39" s="6"/>
      <c r="P39" s="7"/>
      <c r="Q39" s="7"/>
      <c r="R39" s="7"/>
      <c r="S39" s="8"/>
      <c r="T39" s="9"/>
    </row>
    <row r="40" spans="1:21" x14ac:dyDescent="0.25">
      <c r="A40" s="60"/>
      <c r="B40" s="66"/>
      <c r="C40" s="67"/>
      <c r="D40" s="84"/>
      <c r="E40" s="6"/>
      <c r="F40" s="6"/>
      <c r="G40" s="6"/>
      <c r="H40" s="6"/>
      <c r="I40" s="6"/>
      <c r="J40" s="31"/>
      <c r="K40" s="60" t="s">
        <v>38</v>
      </c>
      <c r="L40" s="66"/>
      <c r="M40" s="67"/>
      <c r="N40" s="84">
        <v>407.5</v>
      </c>
      <c r="O40" s="6"/>
      <c r="P40" s="7"/>
      <c r="Q40" s="7"/>
      <c r="R40" s="7"/>
      <c r="S40" s="8"/>
      <c r="T40" s="9"/>
    </row>
    <row r="41" spans="1:21" x14ac:dyDescent="0.25">
      <c r="A41" s="68"/>
      <c r="B41" s="64"/>
      <c r="C41" s="65"/>
      <c r="D41" s="86"/>
      <c r="E41" s="6"/>
      <c r="F41" s="6"/>
      <c r="G41" s="6"/>
      <c r="H41" s="6"/>
      <c r="I41" s="6"/>
      <c r="J41" s="31"/>
      <c r="K41" s="60"/>
      <c r="L41" s="64"/>
      <c r="M41" s="59"/>
      <c r="N41" s="59"/>
      <c r="O41" s="6"/>
      <c r="P41" s="7"/>
      <c r="Q41" s="7"/>
      <c r="R41" s="7"/>
      <c r="S41" s="8"/>
      <c r="T41" s="9"/>
    </row>
    <row r="42" spans="1:21" x14ac:dyDescent="0.25">
      <c r="A42" s="68" t="s">
        <v>15</v>
      </c>
      <c r="B42" s="62"/>
      <c r="C42" s="63"/>
      <c r="D42" s="86">
        <f>D36+D38+D39</f>
        <v>6078.9249999999993</v>
      </c>
      <c r="E42" s="6"/>
      <c r="F42" s="6"/>
      <c r="G42" s="6"/>
      <c r="H42" s="6"/>
      <c r="I42" s="6"/>
      <c r="J42" s="31"/>
      <c r="K42" s="63"/>
      <c r="L42" s="63"/>
      <c r="M42" s="59"/>
      <c r="N42" s="95"/>
      <c r="O42" s="6"/>
      <c r="P42" s="7"/>
      <c r="Q42" s="7"/>
      <c r="R42" s="7"/>
      <c r="S42" s="8"/>
      <c r="T42" s="9"/>
    </row>
    <row r="43" spans="1:21" ht="15" customHeight="1" x14ac:dyDescent="0.25">
      <c r="A43" s="101"/>
      <c r="B43" s="102"/>
      <c r="C43" s="103"/>
      <c r="D43" s="103"/>
      <c r="E43" s="16"/>
      <c r="F43" s="16"/>
      <c r="G43" s="16"/>
      <c r="H43" s="16"/>
      <c r="I43" s="16"/>
      <c r="J43" s="12"/>
      <c r="K43" s="101"/>
      <c r="L43" s="106"/>
      <c r="M43" s="107"/>
      <c r="N43" s="108"/>
      <c r="O43" s="6"/>
      <c r="P43" s="7"/>
      <c r="Q43" s="7"/>
      <c r="R43" s="7"/>
      <c r="S43" s="8"/>
      <c r="T43" s="9"/>
    </row>
    <row r="44" spans="1:21" x14ac:dyDescent="0.25">
      <c r="A44" s="101"/>
      <c r="B44" s="104"/>
      <c r="C44" s="103"/>
      <c r="D44" s="103"/>
      <c r="E44" s="16"/>
      <c r="F44" s="16"/>
      <c r="G44" s="16"/>
      <c r="H44" s="16"/>
      <c r="I44" s="16"/>
      <c r="J44" s="12"/>
      <c r="K44" s="101"/>
      <c r="L44" s="104"/>
      <c r="M44" s="109"/>
      <c r="N44" s="110"/>
      <c r="O44" s="6"/>
      <c r="P44" s="7"/>
      <c r="Q44" s="7"/>
      <c r="R44" s="43"/>
      <c r="S44" s="7"/>
      <c r="T44" s="97"/>
      <c r="U44" s="98"/>
    </row>
    <row r="45" spans="1:21" ht="18" customHeight="1" x14ac:dyDescent="0.25">
      <c r="A45" s="69"/>
      <c r="B45" s="70"/>
      <c r="C45" s="71"/>
      <c r="D45" s="87"/>
      <c r="E45" s="16"/>
      <c r="F45" s="16"/>
      <c r="G45" s="16"/>
      <c r="H45" s="16"/>
      <c r="I45" s="16"/>
      <c r="J45" s="12"/>
      <c r="K45" s="101"/>
      <c r="L45" s="111"/>
      <c r="M45" s="112"/>
      <c r="N45" s="110"/>
      <c r="O45" s="6"/>
      <c r="P45" s="7"/>
      <c r="Q45" s="7"/>
      <c r="R45" s="43"/>
      <c r="S45" s="32"/>
      <c r="T45" s="8"/>
      <c r="U45" s="6"/>
    </row>
    <row r="46" spans="1:21" x14ac:dyDescent="0.25">
      <c r="A46" s="72"/>
      <c r="B46" s="73"/>
      <c r="C46" s="73"/>
      <c r="D46" s="105"/>
      <c r="E46" s="74"/>
      <c r="F46" s="74"/>
      <c r="G46" s="74"/>
      <c r="H46" s="74"/>
      <c r="I46" s="74"/>
      <c r="J46" s="12"/>
      <c r="K46" s="73"/>
      <c r="L46" s="73"/>
      <c r="M46" s="59"/>
      <c r="N46" s="59"/>
      <c r="O46" s="75"/>
      <c r="P46" s="75"/>
      <c r="Q46" s="75"/>
      <c r="R46" s="43"/>
      <c r="S46" s="99"/>
      <c r="T46" s="100"/>
      <c r="U46" s="6"/>
    </row>
    <row r="47" spans="1:21" x14ac:dyDescent="0.25">
      <c r="A47" s="72"/>
      <c r="B47" s="76"/>
      <c r="C47" s="76"/>
      <c r="D47" s="88"/>
      <c r="E47" s="75"/>
      <c r="F47" s="75"/>
      <c r="G47" s="75"/>
      <c r="H47" s="75"/>
      <c r="I47" s="75"/>
      <c r="J47" s="12"/>
      <c r="K47" s="76"/>
      <c r="L47" s="76"/>
      <c r="M47" s="59" t="s">
        <v>15</v>
      </c>
      <c r="N47" s="95">
        <f>N35+N36+N38+N39+N40</f>
        <v>8921.73</v>
      </c>
      <c r="O47" s="75"/>
      <c r="P47" s="75"/>
      <c r="Q47" s="75"/>
      <c r="R47" s="75"/>
      <c r="S47" s="75"/>
      <c r="T47" s="75"/>
    </row>
    <row r="48" spans="1:21" x14ac:dyDescent="0.25">
      <c r="A48" s="78"/>
      <c r="B48" s="79"/>
      <c r="C48" s="80"/>
      <c r="D48" s="89"/>
      <c r="E48" s="81"/>
      <c r="F48" s="81"/>
      <c r="G48" s="81"/>
      <c r="H48" s="81"/>
      <c r="I48" s="81"/>
      <c r="J48" s="12"/>
      <c r="K48" s="79"/>
      <c r="L48" s="79"/>
      <c r="M48" s="59"/>
      <c r="N48" s="95"/>
      <c r="O48" s="75"/>
      <c r="P48" s="75"/>
      <c r="Q48" s="75"/>
      <c r="R48" s="75"/>
      <c r="S48" s="75"/>
      <c r="T48" s="75"/>
    </row>
    <row r="49" spans="1:20" x14ac:dyDescent="0.25">
      <c r="A49" s="82"/>
      <c r="B49" s="75"/>
      <c r="C49" s="75"/>
      <c r="D49" s="77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</row>
    <row r="50" spans="1:20" x14ac:dyDescent="0.25">
      <c r="A50" s="82"/>
      <c r="B50" s="75"/>
      <c r="C50" s="75"/>
      <c r="D50" s="77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</row>
    <row r="51" spans="1:20" x14ac:dyDescent="0.25">
      <c r="A51" s="82"/>
      <c r="B51" s="51"/>
      <c r="C51" s="7"/>
      <c r="D51" s="77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</row>
    <row r="52" spans="1:20" x14ac:dyDescent="0.25">
      <c r="A52" s="82"/>
      <c r="B52" s="15"/>
      <c r="C52" s="16"/>
      <c r="D52" s="77"/>
      <c r="E52" s="81"/>
      <c r="F52" s="81"/>
      <c r="G52" s="81"/>
      <c r="H52" s="81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</row>
    <row r="53" spans="1:20" x14ac:dyDescent="0.25">
      <c r="A53" s="82"/>
      <c r="B53" s="15"/>
      <c r="C53" s="16"/>
      <c r="D53" s="77"/>
      <c r="E53" s="81"/>
      <c r="F53" s="79"/>
      <c r="G53" s="79"/>
      <c r="H53" s="79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</row>
    <row r="54" spans="1:20" x14ac:dyDescent="0.25">
      <c r="A54" s="75"/>
      <c r="B54" s="113"/>
      <c r="C54" s="113"/>
      <c r="D54" s="75"/>
      <c r="E54" s="81"/>
      <c r="F54" s="79" t="s">
        <v>21</v>
      </c>
      <c r="G54" s="79"/>
      <c r="H54" s="80">
        <f>N47-D42</f>
        <v>2842.8050000000003</v>
      </c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</row>
    <row r="55" spans="1:20" x14ac:dyDescent="0.25">
      <c r="A55" s="43"/>
      <c r="B55" s="43"/>
      <c r="C55" s="51"/>
      <c r="D55" s="96"/>
      <c r="E55" s="96"/>
      <c r="F55" s="79"/>
      <c r="G55" s="79"/>
      <c r="H55" s="79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</row>
    <row r="56" spans="1:20" x14ac:dyDescent="0.25">
      <c r="A56" s="43"/>
      <c r="B56" s="43"/>
      <c r="C56" s="32"/>
      <c r="D56" s="96"/>
      <c r="E56" s="96"/>
      <c r="F56" s="81"/>
      <c r="G56" s="81"/>
      <c r="H56" s="81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</row>
    <row r="57" spans="1:20" x14ac:dyDescent="0.25">
      <c r="A57" s="75"/>
      <c r="B57" s="75"/>
      <c r="C57" s="75"/>
      <c r="D57" s="75"/>
      <c r="E57" s="81"/>
      <c r="F57" s="81"/>
      <c r="G57" s="81"/>
      <c r="H57" s="81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</row>
  </sheetData>
  <conditionalFormatting sqref="C1:C5 D8:F34 C45">
    <cfRule type="cellIs" dxfId="371" priority="50" operator="equal">
      <formula>15698.2</formula>
    </cfRule>
    <cfRule type="cellIs" dxfId="370" priority="51" operator="equal">
      <formula>"kapalı"</formula>
    </cfRule>
  </conditionalFormatting>
  <conditionalFormatting sqref="C52:C53">
    <cfRule type="cellIs" dxfId="369" priority="33" operator="equal">
      <formula>15698.2</formula>
    </cfRule>
    <cfRule type="cellIs" dxfId="368" priority="34" operator="equal">
      <formula>"kapalı"</formula>
    </cfRule>
  </conditionalFormatting>
  <conditionalFormatting sqref="D38:D39">
    <cfRule type="cellIs" dxfId="367" priority="3" operator="equal">
      <formula>"KAPALI"</formula>
    </cfRule>
    <cfRule type="cellIs" dxfId="366" priority="4" operator="equal">
      <formula>"açık"</formula>
    </cfRule>
  </conditionalFormatting>
  <conditionalFormatting sqref="D43:D44">
    <cfRule type="cellIs" dxfId="365" priority="11" operator="equal">
      <formula>"açık"</formula>
    </cfRule>
    <cfRule type="cellIs" dxfId="364" priority="10" operator="equal">
      <formula>"KAPALI"</formula>
    </cfRule>
    <cfRule type="cellIs" dxfId="363" priority="12" operator="equal">
      <formula>15698.2</formula>
    </cfRule>
  </conditionalFormatting>
  <conditionalFormatting sqref="D6:E7">
    <cfRule type="cellIs" dxfId="362" priority="31" operator="equal">
      <formula>"kapalı"</formula>
    </cfRule>
    <cfRule type="cellIs" dxfId="361" priority="30" operator="equal">
      <formula>15698.2</formula>
    </cfRule>
  </conditionalFormatting>
  <conditionalFormatting sqref="D36:F42">
    <cfRule type="cellIs" dxfId="360" priority="5" operator="equal">
      <formula>15698.2</formula>
    </cfRule>
  </conditionalFormatting>
  <conditionalFormatting sqref="E55:E56">
    <cfRule type="cellIs" dxfId="359" priority="13" operator="equal">
      <formula>"KAPALI"</formula>
    </cfRule>
    <cfRule type="cellIs" dxfId="358" priority="15" operator="equal">
      <formula>15698.2</formula>
    </cfRule>
    <cfRule type="cellIs" dxfId="357" priority="14" operator="equal">
      <formula>"açık"</formula>
    </cfRule>
  </conditionalFormatting>
  <conditionalFormatting sqref="E35:F35 D36:F37 E38:F39 D40:F42 E43:F43">
    <cfRule type="cellIs" dxfId="356" priority="41" operator="equal">
      <formula>"kapalı"</formula>
    </cfRule>
  </conditionalFormatting>
  <conditionalFormatting sqref="E35:F35 E43:F43">
    <cfRule type="cellIs" dxfId="355" priority="40" operator="equal">
      <formula>15698.2</formula>
    </cfRule>
  </conditionalFormatting>
  <conditionalFormatting sqref="F6:F7 G6:G22 P11:Q45">
    <cfRule type="cellIs" dxfId="354" priority="29" operator="equal">
      <formula>"K.KART"</formula>
    </cfRule>
  </conditionalFormatting>
  <conditionalFormatting sqref="M4:N4">
    <cfRule type="cellIs" dxfId="353" priority="42" operator="equal">
      <formula>15698.2</formula>
    </cfRule>
    <cfRule type="cellIs" dxfId="352" priority="43" operator="equal">
      <formula>"kapalı"</formula>
    </cfRule>
  </conditionalFormatting>
  <conditionalFormatting sqref="M35:N35">
    <cfRule type="cellIs" dxfId="351" priority="35" operator="equal">
      <formula>"K.KART"</formula>
    </cfRule>
  </conditionalFormatting>
  <conditionalFormatting sqref="M1:O3 M5:O5 N7:O25 M26:O34 O35 N36:O37 O38:O40 N41:O42 O43:O45">
    <cfRule type="cellIs" dxfId="350" priority="53" operator="equal">
      <formula>15698.2</formula>
    </cfRule>
  </conditionalFormatting>
  <conditionalFormatting sqref="M1:O3 M5:O5">
    <cfRule type="cellIs" dxfId="349" priority="46" operator="equal">
      <formula>"KAPALI"</formula>
    </cfRule>
    <cfRule type="cellIs" dxfId="348" priority="47" operator="equal">
      <formula>"açık"</formula>
    </cfRule>
  </conditionalFormatting>
  <conditionalFormatting sqref="M26:O34 O35 N36:O37 O38:O40 N41:O42 O43:O45">
    <cfRule type="cellIs" dxfId="347" priority="49" operator="equal">
      <formula>"açık"</formula>
    </cfRule>
    <cfRule type="cellIs" dxfId="346" priority="48" operator="equal">
      <formula>"KAPALI"</formula>
    </cfRule>
  </conditionalFormatting>
  <conditionalFormatting sqref="N39:N40">
    <cfRule type="cellIs" dxfId="345" priority="2" operator="equal">
      <formula>"kapalı"</formula>
    </cfRule>
    <cfRule type="cellIs" dxfId="344" priority="1" operator="equal">
      <formula>15698.2</formula>
    </cfRule>
  </conditionalFormatting>
  <conditionalFormatting sqref="N44:N45">
    <cfRule type="cellIs" dxfId="343" priority="7" operator="equal">
      <formula>"kapalı"</formula>
    </cfRule>
    <cfRule type="cellIs" dxfId="342" priority="6" operator="equal">
      <formula>15698.2</formula>
    </cfRule>
  </conditionalFormatting>
  <conditionalFormatting sqref="N7:O25">
    <cfRule type="cellIs" dxfId="341" priority="45" operator="equal">
      <formula>"kapalı"</formula>
    </cfRule>
  </conditionalFormatting>
  <conditionalFormatting sqref="N6:P6">
    <cfRule type="cellIs" dxfId="340" priority="27" operator="equal">
      <formula>15698.2</formula>
    </cfRule>
    <cfRule type="cellIs" dxfId="339" priority="28" operator="equal">
      <formula>"kapalı"</formula>
    </cfRule>
  </conditionalFormatting>
  <conditionalFormatting sqref="O4:T4">
    <cfRule type="cellIs" dxfId="338" priority="44" operator="equal">
      <formula>"K.KART"</formula>
    </cfRule>
  </conditionalFormatting>
  <conditionalFormatting sqref="P5">
    <cfRule type="cellIs" dxfId="337" priority="54" operator="equal">
      <formula>"K.KART"</formula>
    </cfRule>
  </conditionalFormatting>
  <conditionalFormatting sqref="P7:P10">
    <cfRule type="cellIs" dxfId="336" priority="37" operator="equal">
      <formula>15698.2</formula>
    </cfRule>
    <cfRule type="cellIs" dxfId="335" priority="38" operator="equal">
      <formula>"kapalı"</formula>
    </cfRule>
  </conditionalFormatting>
  <conditionalFormatting sqref="P1:Q3 D1:H5 G23:H27 G29:H43 E44:H44 D45:H45">
    <cfRule type="cellIs" dxfId="334" priority="52" operator="equal">
      <formula>"K.KART"</formula>
    </cfRule>
  </conditionalFormatting>
  <conditionalFormatting sqref="Q5:Q10">
    <cfRule type="cellIs" dxfId="333" priority="26" operator="equal">
      <formula>"K.KART"</formula>
    </cfRule>
  </conditionalFormatting>
  <conditionalFormatting sqref="U37:U38">
    <cfRule type="cellIs" dxfId="332" priority="9" operator="equal">
      <formula>"kapalı"</formula>
    </cfRule>
    <cfRule type="cellIs" dxfId="331" priority="8" operator="equal">
      <formula>15698.2</formula>
    </cfRule>
  </conditionalFormatting>
  <conditionalFormatting sqref="U45:U46">
    <cfRule type="cellIs" dxfId="330" priority="24" operator="equal">
      <formula>15698.2</formula>
    </cfRule>
    <cfRule type="cellIs" dxfId="329" priority="25" operator="equal">
      <formula>"kapalı"</formula>
    </cfRule>
  </conditionalFormatting>
  <pageMargins left="0.7" right="0.7" top="0.75" bottom="0.75" header="0.3" footer="0.3"/>
  <pageSetup paperSize="9" scale="58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6FFC9-B96F-4CAA-9BE0-BC806009ECE5}">
  <sheetPr>
    <pageSetUpPr fitToPage="1"/>
  </sheetPr>
  <dimension ref="A1:V52"/>
  <sheetViews>
    <sheetView workbookViewId="0">
      <selection activeCell="F21" sqref="F21"/>
    </sheetView>
  </sheetViews>
  <sheetFormatPr defaultRowHeight="15" x14ac:dyDescent="0.25"/>
  <cols>
    <col min="1" max="1" width="22.5703125" customWidth="1"/>
    <col min="2" max="2" width="12.140625" customWidth="1"/>
    <col min="3" max="3" width="11.85546875" customWidth="1"/>
    <col min="4" max="4" width="12" customWidth="1"/>
    <col min="6" max="6" width="12.42578125" customWidth="1"/>
    <col min="7" max="7" width="12.140625" customWidth="1"/>
    <col min="8" max="8" width="11.42578125" customWidth="1"/>
    <col min="10" max="10" width="6.140625" customWidth="1"/>
    <col min="11" max="11" width="2.42578125" customWidth="1"/>
    <col min="12" max="12" width="16.85546875" customWidth="1"/>
    <col min="14" max="14" width="12.5703125" customWidth="1"/>
    <col min="18" max="18" width="12" customWidth="1"/>
    <col min="19" max="19" width="11.7109375" customWidth="1"/>
  </cols>
  <sheetData>
    <row r="1" spans="1:22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3"/>
      <c r="L1" s="1"/>
      <c r="M1" s="1"/>
      <c r="N1" s="2"/>
      <c r="O1" s="2"/>
      <c r="P1" s="2"/>
      <c r="Q1" s="2"/>
      <c r="R1" s="2"/>
      <c r="S1" s="2"/>
      <c r="T1" s="4"/>
      <c r="U1" s="5"/>
    </row>
    <row r="2" spans="1:22" x14ac:dyDescent="0.25">
      <c r="A2" s="10" t="s">
        <v>0</v>
      </c>
      <c r="B2" s="10"/>
      <c r="C2" s="11"/>
      <c r="D2" s="11"/>
      <c r="E2" s="11"/>
      <c r="F2" s="11"/>
      <c r="G2" s="11"/>
      <c r="H2" s="11"/>
      <c r="I2" s="11"/>
      <c r="J2" s="11"/>
      <c r="K2" s="12"/>
      <c r="L2" s="10" t="s">
        <v>1</v>
      </c>
      <c r="M2" s="10"/>
      <c r="N2" s="11"/>
      <c r="O2" s="11"/>
      <c r="P2" s="11"/>
      <c r="Q2" s="11"/>
      <c r="R2" s="11"/>
      <c r="S2" s="11"/>
      <c r="T2" s="13"/>
      <c r="U2" s="14"/>
      <c r="V2" s="11"/>
    </row>
    <row r="3" spans="1:22" x14ac:dyDescent="0.25">
      <c r="A3" s="15" t="s">
        <v>44</v>
      </c>
      <c r="B3" s="15">
        <v>2025</v>
      </c>
      <c r="C3" s="16"/>
      <c r="D3" s="16"/>
      <c r="E3" s="16"/>
      <c r="F3" s="16"/>
      <c r="G3" s="16"/>
      <c r="H3" s="16"/>
      <c r="I3" s="16"/>
      <c r="J3" s="16"/>
      <c r="K3" s="12"/>
      <c r="L3" s="15" t="s">
        <v>44</v>
      </c>
      <c r="M3" s="15">
        <v>2025</v>
      </c>
      <c r="N3" s="16"/>
      <c r="O3" s="16"/>
      <c r="P3" s="16"/>
      <c r="Q3" s="16"/>
      <c r="R3" s="16"/>
      <c r="S3" s="16"/>
      <c r="T3" s="17"/>
      <c r="U3" s="18"/>
      <c r="V3" s="16"/>
    </row>
    <row r="4" spans="1:22" ht="24" x14ac:dyDescent="0.25">
      <c r="A4" s="90" t="s">
        <v>2</v>
      </c>
      <c r="B4" s="90" t="s">
        <v>3</v>
      </c>
      <c r="C4" s="91" t="s">
        <v>4</v>
      </c>
      <c r="D4" s="91" t="s">
        <v>5</v>
      </c>
      <c r="E4" s="91" t="s">
        <v>6</v>
      </c>
      <c r="F4" s="91" t="s">
        <v>7</v>
      </c>
      <c r="G4" s="91" t="s">
        <v>8</v>
      </c>
      <c r="H4" s="92" t="s">
        <v>9</v>
      </c>
      <c r="I4" s="91" t="s">
        <v>10</v>
      </c>
      <c r="J4" s="91" t="s">
        <v>45</v>
      </c>
      <c r="K4" s="90"/>
      <c r="L4" s="90" t="s">
        <v>2</v>
      </c>
      <c r="M4" s="90" t="s">
        <v>3</v>
      </c>
      <c r="N4" s="91" t="s">
        <v>4</v>
      </c>
      <c r="O4" s="91" t="s">
        <v>11</v>
      </c>
      <c r="P4" s="91" t="s">
        <v>5</v>
      </c>
      <c r="Q4" s="91" t="s">
        <v>6</v>
      </c>
      <c r="R4" s="91" t="s">
        <v>7</v>
      </c>
      <c r="S4" s="91" t="s">
        <v>8</v>
      </c>
      <c r="T4" s="92" t="s">
        <v>12</v>
      </c>
      <c r="U4" s="92" t="s">
        <v>13</v>
      </c>
      <c r="V4" s="91" t="s">
        <v>45</v>
      </c>
    </row>
    <row r="5" spans="1:22" x14ac:dyDescent="0.25">
      <c r="A5" s="20" t="s">
        <v>14</v>
      </c>
      <c r="B5" s="20"/>
      <c r="C5" s="21"/>
      <c r="D5" s="21"/>
      <c r="E5" s="21"/>
      <c r="F5" s="22"/>
      <c r="G5" s="21"/>
      <c r="H5" s="23"/>
      <c r="I5" s="21"/>
      <c r="J5" s="21"/>
      <c r="K5" s="19"/>
      <c r="L5" s="24" t="s">
        <v>14</v>
      </c>
      <c r="M5" s="20"/>
      <c r="N5" s="21"/>
      <c r="O5" s="21"/>
      <c r="P5" s="21"/>
      <c r="Q5" s="21"/>
      <c r="R5" s="22"/>
      <c r="S5" s="21"/>
      <c r="T5" s="23"/>
      <c r="U5" s="116">
        <v>2842.81</v>
      </c>
      <c r="V5" s="21"/>
    </row>
    <row r="6" spans="1:22" x14ac:dyDescent="0.25">
      <c r="A6" s="26" t="s">
        <v>31</v>
      </c>
      <c r="B6" s="27">
        <v>45693</v>
      </c>
      <c r="C6" s="26">
        <v>547097872</v>
      </c>
      <c r="D6" s="28" t="s">
        <v>32</v>
      </c>
      <c r="E6" s="28" t="s">
        <v>25</v>
      </c>
      <c r="F6" s="28">
        <v>4804.88</v>
      </c>
      <c r="G6" s="28">
        <v>4576.07</v>
      </c>
      <c r="H6" s="29">
        <v>686.4</v>
      </c>
      <c r="I6" s="30">
        <f>H6*J6</f>
        <v>343.2</v>
      </c>
      <c r="J6" s="117">
        <v>0.5</v>
      </c>
      <c r="K6" s="31"/>
      <c r="L6" s="26" t="s">
        <v>46</v>
      </c>
      <c r="M6" s="27">
        <v>45692</v>
      </c>
      <c r="N6" s="26">
        <v>133211610</v>
      </c>
      <c r="O6" s="28" t="s">
        <v>47</v>
      </c>
      <c r="P6" s="83" t="s">
        <v>29</v>
      </c>
      <c r="Q6" s="28" t="s">
        <v>25</v>
      </c>
      <c r="R6" s="6">
        <v>16806.23</v>
      </c>
      <c r="S6" s="6">
        <v>16005.93</v>
      </c>
      <c r="T6" s="33">
        <v>2400</v>
      </c>
      <c r="U6" s="30">
        <f t="shared" ref="U6:U12" si="0">T6*V6</f>
        <v>1200</v>
      </c>
      <c r="V6" s="117">
        <v>0.5</v>
      </c>
    </row>
    <row r="7" spans="1:22" x14ac:dyDescent="0.25">
      <c r="A7" s="26" t="s">
        <v>31</v>
      </c>
      <c r="B7" s="27">
        <v>45693</v>
      </c>
      <c r="C7" s="26">
        <v>547094637</v>
      </c>
      <c r="D7" s="28" t="s">
        <v>32</v>
      </c>
      <c r="E7" s="28" t="s">
        <v>25</v>
      </c>
      <c r="F7" s="28">
        <v>4807.5200000000004</v>
      </c>
      <c r="G7" s="28">
        <v>4578.59</v>
      </c>
      <c r="H7" s="35">
        <v>686.7</v>
      </c>
      <c r="I7" s="30">
        <f t="shared" ref="I7:I25" si="1">H7*J7</f>
        <v>343.35</v>
      </c>
      <c r="J7" s="117">
        <v>0.5</v>
      </c>
      <c r="K7" s="31"/>
      <c r="L7" s="7" t="s">
        <v>48</v>
      </c>
      <c r="M7" s="32">
        <v>45695</v>
      </c>
      <c r="N7" s="118">
        <v>1021061568884</v>
      </c>
      <c r="O7" s="6" t="s">
        <v>43</v>
      </c>
      <c r="P7" s="6" t="s">
        <v>29</v>
      </c>
      <c r="Q7" s="28" t="s">
        <v>25</v>
      </c>
      <c r="R7" s="36">
        <v>68190.350000000006</v>
      </c>
      <c r="S7" s="6">
        <v>64943.19</v>
      </c>
      <c r="T7" s="37">
        <v>9740</v>
      </c>
      <c r="U7" s="30">
        <f t="shared" si="0"/>
        <v>4870</v>
      </c>
      <c r="V7" s="117">
        <v>0.5</v>
      </c>
    </row>
    <row r="8" spans="1:22" x14ac:dyDescent="0.25">
      <c r="A8" s="26" t="s">
        <v>31</v>
      </c>
      <c r="B8" s="27">
        <v>45693</v>
      </c>
      <c r="C8" s="26">
        <v>548559169</v>
      </c>
      <c r="D8" s="28" t="s">
        <v>32</v>
      </c>
      <c r="E8" s="28" t="s">
        <v>25</v>
      </c>
      <c r="F8" s="28">
        <v>4592.07</v>
      </c>
      <c r="G8" s="28">
        <v>4373.3999999999996</v>
      </c>
      <c r="H8" s="29">
        <v>655.95</v>
      </c>
      <c r="I8" s="30">
        <f t="shared" si="1"/>
        <v>327.97500000000002</v>
      </c>
      <c r="J8" s="117">
        <v>0.5</v>
      </c>
      <c r="K8" s="31"/>
      <c r="L8" s="7" t="s">
        <v>49</v>
      </c>
      <c r="M8" s="32">
        <v>45710</v>
      </c>
      <c r="N8" s="118">
        <v>4202500015548</v>
      </c>
      <c r="O8" s="6" t="s">
        <v>50</v>
      </c>
      <c r="P8" s="6" t="s">
        <v>29</v>
      </c>
      <c r="Q8" s="28" t="s">
        <v>25</v>
      </c>
      <c r="R8" s="6">
        <v>15388.23</v>
      </c>
      <c r="S8" s="6">
        <v>14655.46</v>
      </c>
      <c r="T8" s="33">
        <v>2104</v>
      </c>
      <c r="U8" s="30">
        <f t="shared" si="0"/>
        <v>1052</v>
      </c>
      <c r="V8" s="117">
        <v>0.5</v>
      </c>
    </row>
    <row r="9" spans="1:22" x14ac:dyDescent="0.25">
      <c r="A9" s="26" t="s">
        <v>31</v>
      </c>
      <c r="B9" s="27">
        <v>45700</v>
      </c>
      <c r="C9" s="26">
        <v>549299471</v>
      </c>
      <c r="D9" s="28" t="s">
        <v>32</v>
      </c>
      <c r="E9" s="28" t="s">
        <v>25</v>
      </c>
      <c r="F9" s="28">
        <v>700.81</v>
      </c>
      <c r="G9" s="28">
        <v>667.44</v>
      </c>
      <c r="H9" s="29">
        <v>100.05</v>
      </c>
      <c r="I9" s="30">
        <f t="shared" si="1"/>
        <v>50.024999999999999</v>
      </c>
      <c r="J9" s="117">
        <v>0.5</v>
      </c>
      <c r="K9" s="31"/>
      <c r="L9" s="7" t="s">
        <v>51</v>
      </c>
      <c r="M9" s="32">
        <v>45702</v>
      </c>
      <c r="N9" s="118">
        <v>4202500012443</v>
      </c>
      <c r="O9" s="6" t="s">
        <v>50</v>
      </c>
      <c r="P9" s="6" t="s">
        <v>29</v>
      </c>
      <c r="Q9" s="28" t="s">
        <v>25</v>
      </c>
      <c r="R9" s="6">
        <v>14857.61</v>
      </c>
      <c r="S9" s="6">
        <v>14150.1</v>
      </c>
      <c r="T9" s="33">
        <v>2122</v>
      </c>
      <c r="U9" s="30">
        <f t="shared" si="0"/>
        <v>1061</v>
      </c>
      <c r="V9" s="117">
        <v>0.5</v>
      </c>
    </row>
    <row r="10" spans="1:22" x14ac:dyDescent="0.25">
      <c r="A10" s="26" t="s">
        <v>31</v>
      </c>
      <c r="B10" s="27">
        <v>45704</v>
      </c>
      <c r="C10" s="26">
        <v>549553345</v>
      </c>
      <c r="D10" s="28" t="s">
        <v>32</v>
      </c>
      <c r="E10" s="28" t="s">
        <v>25</v>
      </c>
      <c r="F10" s="28">
        <v>832.51</v>
      </c>
      <c r="G10" s="28">
        <v>792.87</v>
      </c>
      <c r="H10" s="29">
        <v>118.8</v>
      </c>
      <c r="I10" s="30">
        <f t="shared" si="1"/>
        <v>59.4</v>
      </c>
      <c r="J10" s="117">
        <v>0.5</v>
      </c>
      <c r="K10" s="31"/>
      <c r="L10" s="7" t="s">
        <v>51</v>
      </c>
      <c r="M10" s="32">
        <v>45701</v>
      </c>
      <c r="N10" s="7">
        <v>134652121</v>
      </c>
      <c r="O10" s="6" t="s">
        <v>47</v>
      </c>
      <c r="P10" s="6" t="s">
        <v>24</v>
      </c>
      <c r="Q10" s="28" t="s">
        <v>25</v>
      </c>
      <c r="R10" s="6">
        <v>3844.32</v>
      </c>
      <c r="S10" s="6">
        <v>3478.19</v>
      </c>
      <c r="T10" s="33">
        <v>348</v>
      </c>
      <c r="U10" s="30">
        <f t="shared" si="0"/>
        <v>174</v>
      </c>
      <c r="V10" s="117">
        <v>0.5</v>
      </c>
    </row>
    <row r="11" spans="1:22" x14ac:dyDescent="0.25">
      <c r="A11" s="26" t="s">
        <v>52</v>
      </c>
      <c r="B11" s="27">
        <v>45709</v>
      </c>
      <c r="C11" s="26">
        <v>549304027</v>
      </c>
      <c r="D11" s="28" t="s">
        <v>24</v>
      </c>
      <c r="E11" s="28" t="s">
        <v>25</v>
      </c>
      <c r="F11" s="28">
        <v>24451.46</v>
      </c>
      <c r="G11" s="28">
        <v>22122.73</v>
      </c>
      <c r="H11" s="29">
        <v>2212.2600000000002</v>
      </c>
      <c r="I11" s="30">
        <f t="shared" si="1"/>
        <v>1106.1300000000001</v>
      </c>
      <c r="J11" s="117">
        <v>0.5</v>
      </c>
      <c r="K11" s="31"/>
      <c r="L11" s="7" t="s">
        <v>51</v>
      </c>
      <c r="M11" s="32">
        <v>45701</v>
      </c>
      <c r="N11" s="7">
        <v>134653561</v>
      </c>
      <c r="O11" s="6" t="s">
        <v>47</v>
      </c>
      <c r="P11" s="6" t="s">
        <v>53</v>
      </c>
      <c r="Q11" s="6" t="s">
        <v>25</v>
      </c>
      <c r="R11" s="6">
        <v>450</v>
      </c>
      <c r="S11" s="6">
        <v>428.57</v>
      </c>
      <c r="T11" s="33">
        <v>42</v>
      </c>
      <c r="U11" s="30">
        <f t="shared" si="0"/>
        <v>21</v>
      </c>
      <c r="V11" s="117">
        <v>0.5</v>
      </c>
    </row>
    <row r="12" spans="1:22" x14ac:dyDescent="0.25">
      <c r="A12" s="26" t="s">
        <v>54</v>
      </c>
      <c r="B12" s="27">
        <v>45707</v>
      </c>
      <c r="C12" s="26">
        <v>550258166</v>
      </c>
      <c r="D12" s="28" t="s">
        <v>24</v>
      </c>
      <c r="E12" s="28" t="s">
        <v>25</v>
      </c>
      <c r="F12" s="28">
        <v>14927.8</v>
      </c>
      <c r="G12" s="28">
        <v>13604.15</v>
      </c>
      <c r="H12" s="39">
        <v>1360.41</v>
      </c>
      <c r="I12" s="30">
        <f t="shared" si="1"/>
        <v>680.20500000000004</v>
      </c>
      <c r="J12" s="117">
        <v>0.5</v>
      </c>
      <c r="K12" s="31"/>
      <c r="L12" s="7" t="s">
        <v>51</v>
      </c>
      <c r="M12" s="32">
        <v>45701</v>
      </c>
      <c r="N12" s="7">
        <v>134652120</v>
      </c>
      <c r="O12" s="6" t="s">
        <v>47</v>
      </c>
      <c r="P12" s="6" t="s">
        <v>55</v>
      </c>
      <c r="Q12" s="16" t="s">
        <v>25</v>
      </c>
      <c r="R12" s="16">
        <v>3637.5</v>
      </c>
      <c r="S12" s="16">
        <v>3637.5</v>
      </c>
      <c r="T12" s="40">
        <v>364</v>
      </c>
      <c r="U12" s="30">
        <f t="shared" si="0"/>
        <v>182</v>
      </c>
      <c r="V12" s="117">
        <v>0.5</v>
      </c>
    </row>
    <row r="13" spans="1:22" x14ac:dyDescent="0.25">
      <c r="A13" s="26" t="s">
        <v>31</v>
      </c>
      <c r="B13" s="27">
        <v>45708</v>
      </c>
      <c r="C13" s="26">
        <v>550548105</v>
      </c>
      <c r="D13" s="28" t="s">
        <v>32</v>
      </c>
      <c r="E13" s="28" t="s">
        <v>25</v>
      </c>
      <c r="F13" s="28">
        <v>455.02</v>
      </c>
      <c r="G13" s="28">
        <v>433.35</v>
      </c>
      <c r="H13" s="29">
        <v>64.95</v>
      </c>
      <c r="I13" s="30">
        <f t="shared" si="1"/>
        <v>32.475000000000001</v>
      </c>
      <c r="J13" s="117">
        <v>0.5</v>
      </c>
      <c r="K13" s="31"/>
      <c r="L13" s="7"/>
      <c r="M13" s="7"/>
      <c r="N13" s="7"/>
      <c r="O13" s="6"/>
      <c r="P13" s="6"/>
      <c r="Q13" s="16"/>
      <c r="R13" s="16"/>
      <c r="S13" s="16"/>
      <c r="T13" s="17"/>
      <c r="U13" s="119"/>
      <c r="V13" s="117">
        <v>0.5</v>
      </c>
    </row>
    <row r="14" spans="1:22" x14ac:dyDescent="0.25">
      <c r="A14" s="26" t="s">
        <v>31</v>
      </c>
      <c r="B14" s="27">
        <v>45709</v>
      </c>
      <c r="C14" s="26">
        <v>551282435</v>
      </c>
      <c r="D14" s="28" t="s">
        <v>32</v>
      </c>
      <c r="E14" s="28" t="s">
        <v>25</v>
      </c>
      <c r="F14" s="28">
        <v>757.83</v>
      </c>
      <c r="G14" s="28">
        <v>721.74</v>
      </c>
      <c r="H14" s="29">
        <v>108.15</v>
      </c>
      <c r="I14" s="30">
        <f t="shared" si="1"/>
        <v>54.075000000000003</v>
      </c>
      <c r="J14" s="117">
        <v>0.5</v>
      </c>
      <c r="K14" s="31"/>
      <c r="L14" s="7"/>
      <c r="M14" s="7"/>
      <c r="N14" s="7"/>
      <c r="O14" s="6"/>
      <c r="P14" s="6"/>
      <c r="Q14" s="16"/>
      <c r="R14" s="16"/>
      <c r="S14" s="16"/>
      <c r="T14" s="17"/>
      <c r="U14" s="42"/>
      <c r="V14" s="117">
        <v>0.5</v>
      </c>
    </row>
    <row r="15" spans="1:22" x14ac:dyDescent="0.25">
      <c r="A15" s="26" t="s">
        <v>56</v>
      </c>
      <c r="B15" s="27">
        <v>45712</v>
      </c>
      <c r="C15" s="26">
        <v>549930667</v>
      </c>
      <c r="D15" s="28" t="s">
        <v>24</v>
      </c>
      <c r="E15" s="28" t="s">
        <v>25</v>
      </c>
      <c r="F15" s="28">
        <v>17158.830000000002</v>
      </c>
      <c r="G15" s="28">
        <v>15524.66</v>
      </c>
      <c r="H15" s="29">
        <v>1552.4</v>
      </c>
      <c r="I15" s="30">
        <f t="shared" si="1"/>
        <v>776.2</v>
      </c>
      <c r="J15" s="117">
        <v>0.5</v>
      </c>
      <c r="K15" s="31"/>
      <c r="L15" s="7"/>
      <c r="M15" s="7"/>
      <c r="N15" s="7"/>
      <c r="O15" s="6"/>
      <c r="P15" s="6"/>
      <c r="Q15" s="16" t="s">
        <v>15</v>
      </c>
      <c r="R15" s="16">
        <f>R8+R9+R10+R11+R12+R7+R6</f>
        <v>123174.24</v>
      </c>
      <c r="S15" s="16">
        <f>S8+S9+S10+S11+S12+S7+S6</f>
        <v>117298.94</v>
      </c>
      <c r="T15" s="17">
        <f>T8+T9+T10+T12+T11+T7+T6</f>
        <v>17120</v>
      </c>
      <c r="U15" s="41">
        <f>U8+U9+U10+U11+U12+U7+U6</f>
        <v>8560</v>
      </c>
      <c r="V15" s="117">
        <v>0.5</v>
      </c>
    </row>
    <row r="16" spans="1:22" x14ac:dyDescent="0.25">
      <c r="A16" s="26" t="s">
        <v>57</v>
      </c>
      <c r="B16" s="27">
        <v>45715</v>
      </c>
      <c r="C16" s="26">
        <v>551704358</v>
      </c>
      <c r="D16" s="28" t="s">
        <v>24</v>
      </c>
      <c r="E16" s="28" t="s">
        <v>25</v>
      </c>
      <c r="F16" s="28">
        <v>14296.93</v>
      </c>
      <c r="G16" s="28">
        <v>12878.11</v>
      </c>
      <c r="H16" s="29">
        <v>1287.8</v>
      </c>
      <c r="I16" s="30">
        <f t="shared" si="1"/>
        <v>643.9</v>
      </c>
      <c r="J16" s="117">
        <v>0.5</v>
      </c>
      <c r="K16" s="31"/>
      <c r="L16" s="7"/>
      <c r="M16" s="7"/>
      <c r="N16" s="7"/>
      <c r="O16" s="6"/>
      <c r="P16" s="6"/>
      <c r="Q16" s="6"/>
      <c r="R16" s="6"/>
      <c r="S16" s="6"/>
      <c r="T16" s="8"/>
      <c r="U16" s="9"/>
      <c r="V16" s="117">
        <v>0.5</v>
      </c>
    </row>
    <row r="17" spans="1:22" x14ac:dyDescent="0.25">
      <c r="A17" s="26" t="s">
        <v>58</v>
      </c>
      <c r="B17" s="27">
        <v>45714</v>
      </c>
      <c r="C17" s="26">
        <v>551899719</v>
      </c>
      <c r="D17" s="28" t="s">
        <v>24</v>
      </c>
      <c r="E17" s="28" t="s">
        <v>25</v>
      </c>
      <c r="F17" s="28">
        <v>9543.75</v>
      </c>
      <c r="G17" s="28">
        <v>8906.23</v>
      </c>
      <c r="H17" s="29">
        <v>890.6</v>
      </c>
      <c r="I17" s="30">
        <f t="shared" si="1"/>
        <v>445.3</v>
      </c>
      <c r="J17" s="117">
        <v>0.5</v>
      </c>
      <c r="K17" s="31"/>
      <c r="L17" s="7"/>
      <c r="M17" s="7"/>
      <c r="N17" s="7"/>
      <c r="O17" s="6"/>
      <c r="P17" s="6"/>
      <c r="Q17" s="6"/>
      <c r="R17" s="6"/>
      <c r="S17" s="6"/>
      <c r="T17" s="8"/>
      <c r="U17" s="9"/>
      <c r="V17" s="117">
        <v>0.5</v>
      </c>
    </row>
    <row r="18" spans="1:22" x14ac:dyDescent="0.25">
      <c r="A18" s="26"/>
      <c r="B18" s="27"/>
      <c r="C18" s="26"/>
      <c r="D18" s="28"/>
      <c r="E18" s="28"/>
      <c r="F18" s="28"/>
      <c r="G18" s="28"/>
      <c r="H18" s="29"/>
      <c r="I18" s="30">
        <f t="shared" si="1"/>
        <v>0</v>
      </c>
      <c r="J18" s="117">
        <v>0.5</v>
      </c>
      <c r="K18" s="31"/>
      <c r="L18" s="7"/>
      <c r="M18" s="7"/>
      <c r="N18" s="7"/>
      <c r="O18" s="6"/>
      <c r="P18" s="6"/>
      <c r="Q18" s="6"/>
      <c r="R18" s="6"/>
      <c r="S18" s="6"/>
      <c r="T18" s="8"/>
      <c r="U18" s="9"/>
      <c r="V18" s="117">
        <v>0.5</v>
      </c>
    </row>
    <row r="19" spans="1:22" x14ac:dyDescent="0.25">
      <c r="A19" s="26"/>
      <c r="B19" s="27"/>
      <c r="C19" s="26"/>
      <c r="D19" s="28"/>
      <c r="E19" s="28"/>
      <c r="F19" s="28"/>
      <c r="G19" s="28"/>
      <c r="H19" s="29"/>
      <c r="I19" s="30">
        <f t="shared" si="1"/>
        <v>0</v>
      </c>
      <c r="J19" s="117">
        <v>0.5</v>
      </c>
      <c r="K19" s="31"/>
      <c r="L19" s="7"/>
      <c r="M19" s="7"/>
      <c r="N19" s="7"/>
      <c r="O19" s="6"/>
      <c r="P19" s="6"/>
      <c r="Q19" s="6"/>
      <c r="R19" s="6"/>
      <c r="S19" s="6"/>
      <c r="T19" s="8"/>
      <c r="U19" s="9"/>
      <c r="V19" s="117">
        <v>0.5</v>
      </c>
    </row>
    <row r="20" spans="1:22" x14ac:dyDescent="0.25">
      <c r="A20" s="26"/>
      <c r="B20" s="27"/>
      <c r="C20" s="26"/>
      <c r="D20" s="28"/>
      <c r="E20" s="28"/>
      <c r="F20" s="28"/>
      <c r="G20" s="28"/>
      <c r="H20" s="29"/>
      <c r="I20" s="30">
        <f t="shared" si="1"/>
        <v>0</v>
      </c>
      <c r="J20" s="117">
        <v>0.5</v>
      </c>
      <c r="K20" s="31"/>
      <c r="L20" s="7"/>
      <c r="M20" s="7"/>
      <c r="N20" s="7"/>
      <c r="O20" s="6"/>
      <c r="P20" s="6"/>
      <c r="Q20" s="6"/>
      <c r="R20" s="6"/>
      <c r="S20" s="6"/>
      <c r="T20" s="8"/>
      <c r="U20" s="9"/>
      <c r="V20" s="117">
        <v>0.5</v>
      </c>
    </row>
    <row r="21" spans="1:22" x14ac:dyDescent="0.25">
      <c r="A21" s="26"/>
      <c r="B21" s="27"/>
      <c r="C21" s="26"/>
      <c r="D21" s="28"/>
      <c r="E21" s="28"/>
      <c r="F21" s="28"/>
      <c r="G21" s="28"/>
      <c r="H21" s="29"/>
      <c r="I21" s="30">
        <f t="shared" si="1"/>
        <v>0</v>
      </c>
      <c r="J21" s="117">
        <v>0.5</v>
      </c>
      <c r="K21" s="31"/>
      <c r="L21" s="7"/>
      <c r="M21" s="32"/>
      <c r="N21" s="7"/>
      <c r="O21" s="6"/>
      <c r="P21" s="6"/>
      <c r="Q21" s="28"/>
      <c r="R21" s="6"/>
      <c r="S21" s="6"/>
      <c r="T21" s="8"/>
      <c r="U21" s="9"/>
      <c r="V21" s="117">
        <v>0.5</v>
      </c>
    </row>
    <row r="22" spans="1:22" x14ac:dyDescent="0.25">
      <c r="A22" s="26"/>
      <c r="B22" s="27"/>
      <c r="C22" s="26"/>
      <c r="D22" s="28"/>
      <c r="E22" s="28"/>
      <c r="F22" s="28"/>
      <c r="G22" s="28"/>
      <c r="H22" s="29"/>
      <c r="I22" s="30">
        <f t="shared" si="1"/>
        <v>0</v>
      </c>
      <c r="J22" s="117">
        <v>0.5</v>
      </c>
      <c r="K22" s="31"/>
      <c r="L22" s="43"/>
      <c r="M22" s="32"/>
      <c r="N22" s="7"/>
      <c r="O22" s="6"/>
      <c r="P22" s="6"/>
      <c r="Q22" s="6"/>
      <c r="R22" s="6"/>
      <c r="S22" s="6"/>
      <c r="T22" s="8"/>
      <c r="U22" s="9"/>
      <c r="V22" s="117">
        <v>0.5</v>
      </c>
    </row>
    <row r="23" spans="1:22" x14ac:dyDescent="0.25">
      <c r="A23" s="26"/>
      <c r="B23" s="27"/>
      <c r="C23" s="26"/>
      <c r="D23" s="28"/>
      <c r="E23" s="28"/>
      <c r="F23" s="28"/>
      <c r="G23" s="28"/>
      <c r="H23" s="29"/>
      <c r="I23" s="30">
        <f t="shared" si="1"/>
        <v>0</v>
      </c>
      <c r="J23" s="117">
        <v>0.5</v>
      </c>
      <c r="K23" s="44"/>
      <c r="L23" s="7"/>
      <c r="M23" s="32"/>
      <c r="N23" s="118"/>
      <c r="O23" s="6"/>
      <c r="P23" s="6"/>
      <c r="Q23" s="28"/>
      <c r="R23" s="6"/>
      <c r="S23" s="6"/>
      <c r="T23" s="8"/>
      <c r="U23" s="9"/>
      <c r="V23" s="117">
        <v>0.5</v>
      </c>
    </row>
    <row r="24" spans="1:22" x14ac:dyDescent="0.25">
      <c r="A24" s="26"/>
      <c r="B24" s="27"/>
      <c r="C24" s="26"/>
      <c r="D24" s="28"/>
      <c r="E24" s="28"/>
      <c r="F24" s="28"/>
      <c r="G24" s="28"/>
      <c r="H24" s="45"/>
      <c r="I24" s="30">
        <f t="shared" si="1"/>
        <v>0</v>
      </c>
      <c r="J24" s="117">
        <v>0.5</v>
      </c>
      <c r="K24" s="31"/>
      <c r="L24" s="43"/>
      <c r="M24" s="7"/>
      <c r="N24" s="7"/>
      <c r="O24" s="6"/>
      <c r="P24" s="6"/>
      <c r="Q24" s="6"/>
      <c r="R24" s="6"/>
      <c r="S24" s="6"/>
      <c r="T24" s="8"/>
      <c r="U24" s="9"/>
      <c r="V24" s="117">
        <v>0.5</v>
      </c>
    </row>
    <row r="25" spans="1:22" x14ac:dyDescent="0.25">
      <c r="A25" s="26"/>
      <c r="B25" s="27"/>
      <c r="C25" s="26"/>
      <c r="D25" s="28"/>
      <c r="E25" s="83"/>
      <c r="F25" s="28"/>
      <c r="G25" s="28"/>
      <c r="H25" s="45"/>
      <c r="I25" s="30">
        <f t="shared" si="1"/>
        <v>0</v>
      </c>
      <c r="J25" s="117">
        <v>0.5</v>
      </c>
      <c r="K25" s="31"/>
      <c r="L25" s="7"/>
      <c r="M25" s="7"/>
      <c r="N25" s="7"/>
      <c r="O25" s="6"/>
      <c r="P25" s="6"/>
      <c r="Q25" s="6"/>
      <c r="R25" s="6"/>
      <c r="S25" s="6"/>
      <c r="T25" s="8"/>
      <c r="U25" s="9"/>
      <c r="V25" s="117">
        <v>0.5</v>
      </c>
    </row>
    <row r="26" spans="1:22" x14ac:dyDescent="0.25">
      <c r="A26" s="26"/>
      <c r="B26" s="27"/>
      <c r="C26" s="26"/>
      <c r="D26" s="28"/>
      <c r="E26" s="83"/>
      <c r="F26" s="28"/>
      <c r="G26" s="28"/>
      <c r="H26" s="46"/>
      <c r="I26" s="30">
        <f t="shared" ref="I26:I32" si="2">H26/2</f>
        <v>0</v>
      </c>
      <c r="J26" s="117">
        <v>0.5</v>
      </c>
      <c r="K26" s="31"/>
      <c r="L26" s="7"/>
      <c r="M26" s="7"/>
      <c r="N26" s="7"/>
      <c r="O26" s="6"/>
      <c r="P26" s="6"/>
      <c r="Q26" s="6"/>
      <c r="R26" s="6"/>
      <c r="S26" s="6"/>
      <c r="T26" s="8"/>
      <c r="U26" s="9"/>
      <c r="V26" s="117">
        <v>0.5</v>
      </c>
    </row>
    <row r="27" spans="1:22" x14ac:dyDescent="0.25">
      <c r="A27" s="26"/>
      <c r="B27" s="27"/>
      <c r="C27" s="26"/>
      <c r="D27" s="28"/>
      <c r="E27" s="28"/>
      <c r="F27" s="28"/>
      <c r="G27" s="28"/>
      <c r="H27" s="46"/>
      <c r="I27" s="30">
        <f t="shared" si="2"/>
        <v>0</v>
      </c>
      <c r="J27" s="117">
        <v>0.5</v>
      </c>
      <c r="K27" s="31"/>
      <c r="L27" s="7"/>
      <c r="M27" s="7"/>
      <c r="N27" s="6"/>
      <c r="O27" s="6"/>
      <c r="P27" s="6"/>
      <c r="Q27" s="6"/>
      <c r="R27" s="6"/>
      <c r="S27" s="6"/>
      <c r="T27" s="8"/>
      <c r="U27" s="9"/>
      <c r="V27" s="117">
        <v>0.5</v>
      </c>
    </row>
    <row r="28" spans="1:22" x14ac:dyDescent="0.25">
      <c r="A28" s="26"/>
      <c r="B28" s="27"/>
      <c r="C28" s="26"/>
      <c r="D28" s="28"/>
      <c r="E28" s="28"/>
      <c r="F28" s="28"/>
      <c r="G28" s="28"/>
      <c r="H28" s="46"/>
      <c r="I28" s="30">
        <f t="shared" si="2"/>
        <v>0</v>
      </c>
      <c r="J28" s="117">
        <v>0.5</v>
      </c>
      <c r="K28" s="31"/>
      <c r="L28" s="7"/>
      <c r="M28" s="7"/>
      <c r="N28" s="6"/>
      <c r="O28" s="6"/>
      <c r="P28" s="6"/>
      <c r="Q28" s="6"/>
      <c r="R28" s="6"/>
      <c r="S28" s="6"/>
      <c r="T28" s="8"/>
      <c r="U28" s="9"/>
      <c r="V28" s="117">
        <v>0.5</v>
      </c>
    </row>
    <row r="29" spans="1:22" x14ac:dyDescent="0.25">
      <c r="A29" s="47"/>
      <c r="B29" s="48"/>
      <c r="C29" s="26"/>
      <c r="D29" s="28"/>
      <c r="E29" s="28"/>
      <c r="F29" s="28"/>
      <c r="G29" s="49"/>
      <c r="H29" s="50"/>
      <c r="I29" s="30">
        <f t="shared" si="2"/>
        <v>0</v>
      </c>
      <c r="J29" s="117">
        <v>0.5</v>
      </c>
      <c r="K29" s="31"/>
      <c r="L29" s="7"/>
      <c r="M29" s="7"/>
      <c r="N29" s="6"/>
      <c r="O29" s="6"/>
      <c r="P29" s="6"/>
      <c r="Q29" s="6"/>
      <c r="R29" s="6"/>
      <c r="S29" s="6"/>
      <c r="T29" s="8"/>
      <c r="U29" s="9"/>
      <c r="V29" s="117">
        <v>0.5</v>
      </c>
    </row>
    <row r="30" spans="1:22" x14ac:dyDescent="0.25">
      <c r="A30" s="43"/>
      <c r="B30" s="51"/>
      <c r="C30" s="7"/>
      <c r="D30" s="6"/>
      <c r="E30" s="6"/>
      <c r="F30" s="6"/>
      <c r="G30" s="6"/>
      <c r="H30" s="8"/>
      <c r="I30" s="30">
        <f t="shared" si="2"/>
        <v>0</v>
      </c>
      <c r="J30" s="117">
        <v>0.5</v>
      </c>
      <c r="K30" s="31"/>
      <c r="L30" s="7"/>
      <c r="M30" s="7"/>
      <c r="N30" s="6"/>
      <c r="O30" s="6"/>
      <c r="P30" s="6"/>
      <c r="Q30" s="6"/>
      <c r="R30" s="6"/>
      <c r="S30" s="6"/>
      <c r="T30" s="8"/>
      <c r="U30" s="9"/>
      <c r="V30" s="117">
        <v>0.5</v>
      </c>
    </row>
    <row r="31" spans="1:22" x14ac:dyDescent="0.25">
      <c r="A31" s="43"/>
      <c r="B31" s="51"/>
      <c r="C31" s="7"/>
      <c r="D31" s="6"/>
      <c r="E31" s="6"/>
      <c r="F31" s="6"/>
      <c r="G31" s="6"/>
      <c r="H31" s="8"/>
      <c r="I31" s="30">
        <f t="shared" si="2"/>
        <v>0</v>
      </c>
      <c r="J31" s="117">
        <v>0.5</v>
      </c>
      <c r="K31" s="31"/>
      <c r="L31" s="7"/>
      <c r="M31" s="7"/>
      <c r="N31" s="6"/>
      <c r="O31" s="6"/>
      <c r="P31" s="6"/>
      <c r="Q31" s="6"/>
      <c r="R31" s="6"/>
      <c r="S31" s="6"/>
      <c r="T31" s="8"/>
      <c r="U31" s="9"/>
      <c r="V31" s="117">
        <v>0.5</v>
      </c>
    </row>
    <row r="32" spans="1:22" x14ac:dyDescent="0.25">
      <c r="A32" s="7"/>
      <c r="B32" s="32"/>
      <c r="C32" s="7"/>
      <c r="D32" s="6"/>
      <c r="E32" s="6"/>
      <c r="F32" s="6"/>
      <c r="G32" s="6"/>
      <c r="H32" s="6"/>
      <c r="I32" s="30">
        <f t="shared" si="2"/>
        <v>0</v>
      </c>
      <c r="J32" s="117">
        <v>0.5</v>
      </c>
      <c r="K32" s="31"/>
      <c r="L32" s="7"/>
      <c r="M32" s="7"/>
      <c r="N32" s="6"/>
      <c r="O32" s="6"/>
      <c r="P32" s="6"/>
      <c r="Q32" s="6"/>
      <c r="R32" s="6"/>
      <c r="S32" s="6"/>
      <c r="T32" s="8"/>
      <c r="U32" s="9"/>
      <c r="V32" s="117">
        <v>0.5</v>
      </c>
    </row>
    <row r="33" spans="1:21" x14ac:dyDescent="0.25">
      <c r="A33" s="7"/>
      <c r="B33" s="32"/>
      <c r="C33" s="7"/>
      <c r="D33" s="6"/>
      <c r="E33" s="16" t="s">
        <v>15</v>
      </c>
      <c r="F33" s="52">
        <f>SUM(F5:F31)</f>
        <v>97329.41</v>
      </c>
      <c r="G33" s="16">
        <f>SUM(G6:G31)</f>
        <v>89179.34</v>
      </c>
      <c r="H33" s="16">
        <f>SUM(H6:H30)</f>
        <v>9724.4699999999993</v>
      </c>
      <c r="I33" s="22">
        <f>SUM(I6:I30)</f>
        <v>4862.2349999999997</v>
      </c>
      <c r="J33" s="22"/>
      <c r="K33" s="31"/>
      <c r="L33" s="7"/>
      <c r="M33" s="7"/>
      <c r="N33" s="6"/>
      <c r="O33" s="6"/>
      <c r="P33" s="6"/>
      <c r="Q33" s="6"/>
      <c r="R33" s="6"/>
      <c r="S33" s="6"/>
      <c r="T33" s="8"/>
      <c r="U33" s="9"/>
    </row>
    <row r="34" spans="1:21" x14ac:dyDescent="0.25">
      <c r="A34" s="7"/>
      <c r="B34" s="32"/>
      <c r="C34" s="7"/>
      <c r="D34" s="6"/>
      <c r="E34" s="6"/>
      <c r="F34" s="6"/>
      <c r="G34" s="6"/>
      <c r="H34" s="6"/>
      <c r="I34" s="6"/>
      <c r="J34" s="6"/>
      <c r="K34" s="31"/>
      <c r="L34" s="7"/>
      <c r="M34" s="7"/>
      <c r="N34" s="6"/>
      <c r="O34" s="6"/>
      <c r="P34" s="6"/>
      <c r="Q34" s="6"/>
      <c r="R34" s="6"/>
      <c r="S34" s="43"/>
      <c r="T34" s="51"/>
      <c r="U34" s="8"/>
    </row>
    <row r="35" spans="1:21" x14ac:dyDescent="0.25">
      <c r="A35" s="7"/>
      <c r="B35" s="32"/>
      <c r="C35" s="7"/>
      <c r="D35" s="6"/>
      <c r="E35" s="6"/>
      <c r="F35" s="6"/>
      <c r="G35" s="6"/>
      <c r="H35" s="6"/>
      <c r="I35" s="6"/>
      <c r="J35" s="6"/>
      <c r="K35" s="31"/>
      <c r="L35" s="7"/>
      <c r="M35" s="7"/>
      <c r="N35" s="6"/>
      <c r="O35" s="6"/>
      <c r="P35" s="6"/>
      <c r="Q35" s="6"/>
      <c r="R35" s="6"/>
      <c r="S35" s="43"/>
      <c r="T35" s="51"/>
      <c r="U35" s="8"/>
    </row>
    <row r="36" spans="1:21" x14ac:dyDescent="0.25">
      <c r="A36" s="53" t="s">
        <v>16</v>
      </c>
      <c r="B36" s="54"/>
      <c r="C36" s="55"/>
      <c r="D36" s="55"/>
      <c r="E36" s="16"/>
      <c r="F36" s="16"/>
      <c r="G36" s="16"/>
      <c r="H36" s="16"/>
      <c r="I36" s="16"/>
      <c r="J36" s="16"/>
      <c r="K36" s="12"/>
      <c r="L36" s="53" t="s">
        <v>16</v>
      </c>
      <c r="M36" s="54"/>
      <c r="N36" s="22">
        <f>U5</f>
        <v>2842.81</v>
      </c>
      <c r="O36" s="6"/>
      <c r="P36" s="6"/>
      <c r="Q36" s="6"/>
      <c r="R36" s="6"/>
      <c r="S36" s="43"/>
      <c r="T36" s="32"/>
      <c r="U36" s="8"/>
    </row>
    <row r="37" spans="1:21" x14ac:dyDescent="0.25">
      <c r="A37" s="56" t="s">
        <v>17</v>
      </c>
      <c r="B37" s="57"/>
      <c r="C37" s="58"/>
      <c r="D37" s="71">
        <f>I33</f>
        <v>4862.2349999999997</v>
      </c>
      <c r="E37" s="16"/>
      <c r="F37" s="16"/>
      <c r="G37" s="16"/>
      <c r="H37" s="16"/>
      <c r="I37" s="16"/>
      <c r="J37" s="16"/>
      <c r="K37" s="12"/>
      <c r="L37" s="56" t="s">
        <v>18</v>
      </c>
      <c r="M37" s="57"/>
      <c r="N37" s="58">
        <f>U15</f>
        <v>8560</v>
      </c>
      <c r="O37" s="6"/>
      <c r="P37" s="6"/>
      <c r="Q37" s="6"/>
      <c r="R37" s="6"/>
      <c r="S37" s="6"/>
      <c r="T37" s="8"/>
      <c r="U37" s="9"/>
    </row>
    <row r="38" spans="1:21" x14ac:dyDescent="0.25">
      <c r="A38" s="60" t="s">
        <v>19</v>
      </c>
      <c r="B38" s="60"/>
      <c r="C38" s="61"/>
      <c r="D38" s="84"/>
      <c r="E38" s="6"/>
      <c r="F38" s="6"/>
      <c r="G38" s="6"/>
      <c r="H38" s="6"/>
      <c r="I38" s="6"/>
      <c r="J38" s="6"/>
      <c r="K38" s="31"/>
      <c r="L38" s="60" t="s">
        <v>20</v>
      </c>
      <c r="M38" s="62"/>
      <c r="N38" s="120"/>
      <c r="O38" s="6"/>
      <c r="P38" s="6"/>
      <c r="Q38" s="6"/>
      <c r="R38" s="6"/>
      <c r="S38" s="6"/>
      <c r="T38" s="8"/>
      <c r="U38" s="9"/>
    </row>
    <row r="39" spans="1:21" x14ac:dyDescent="0.25">
      <c r="A39" s="60" t="s">
        <v>59</v>
      </c>
      <c r="B39" s="63"/>
      <c r="C39" s="61"/>
      <c r="D39" s="85">
        <v>120</v>
      </c>
      <c r="E39" s="6"/>
      <c r="F39" s="6"/>
      <c r="G39" s="6"/>
      <c r="H39" s="6"/>
      <c r="I39" s="6"/>
      <c r="J39" s="6"/>
      <c r="K39" s="31"/>
      <c r="L39" s="60" t="s">
        <v>60</v>
      </c>
      <c r="M39" s="62"/>
      <c r="N39" s="120">
        <v>440</v>
      </c>
      <c r="O39" s="6"/>
      <c r="P39" s="6"/>
      <c r="Q39" s="6"/>
      <c r="R39" s="6"/>
      <c r="S39" s="6"/>
      <c r="T39" s="8"/>
      <c r="U39" s="9"/>
    </row>
    <row r="40" spans="1:21" x14ac:dyDescent="0.25">
      <c r="A40" s="60" t="s">
        <v>61</v>
      </c>
      <c r="B40" s="64"/>
      <c r="C40" s="65"/>
      <c r="D40" s="84">
        <v>466.4</v>
      </c>
      <c r="E40" s="6"/>
      <c r="F40" s="6"/>
      <c r="G40" s="6"/>
      <c r="H40" s="6"/>
      <c r="I40" s="6"/>
      <c r="J40" s="6"/>
      <c r="K40" s="31"/>
      <c r="L40" s="60"/>
      <c r="M40" s="64"/>
      <c r="N40" s="120"/>
      <c r="O40" s="6"/>
      <c r="P40" s="6"/>
      <c r="Q40" s="7"/>
      <c r="R40" s="7"/>
      <c r="S40" s="7"/>
      <c r="T40" s="8"/>
      <c r="U40" s="9"/>
    </row>
    <row r="41" spans="1:21" x14ac:dyDescent="0.25">
      <c r="A41" s="69"/>
      <c r="B41" s="70"/>
      <c r="C41" s="71"/>
      <c r="D41" s="87"/>
      <c r="E41" s="16"/>
      <c r="F41" s="16"/>
      <c r="G41" s="16"/>
      <c r="H41" s="16"/>
      <c r="I41" s="16"/>
      <c r="J41" s="16"/>
      <c r="K41" s="12"/>
      <c r="L41" s="70"/>
      <c r="M41" s="70"/>
      <c r="N41" s="71"/>
      <c r="O41" s="6"/>
      <c r="P41" s="6"/>
      <c r="Q41" s="7"/>
      <c r="R41" s="7"/>
      <c r="S41" s="7"/>
      <c r="T41" s="8"/>
      <c r="U41" s="9"/>
    </row>
    <row r="42" spans="1:21" x14ac:dyDescent="0.25">
      <c r="A42" s="72"/>
      <c r="B42" s="73"/>
      <c r="C42" s="73"/>
      <c r="D42" s="122"/>
      <c r="E42" s="74"/>
      <c r="F42" s="74"/>
      <c r="G42" s="74"/>
      <c r="H42" s="74"/>
      <c r="I42" s="74"/>
      <c r="J42" s="74"/>
      <c r="K42" s="12"/>
      <c r="L42" s="73"/>
      <c r="M42" s="73"/>
      <c r="N42" s="73"/>
      <c r="O42" s="75"/>
      <c r="P42" s="75"/>
      <c r="Q42" s="75"/>
      <c r="R42" s="75"/>
      <c r="S42" s="75"/>
      <c r="T42" s="75"/>
      <c r="U42" s="75"/>
    </row>
    <row r="43" spans="1:21" x14ac:dyDescent="0.25">
      <c r="A43" s="72"/>
      <c r="B43" s="76"/>
      <c r="C43" s="76"/>
      <c r="D43" s="88"/>
      <c r="E43" s="75"/>
      <c r="F43" s="75"/>
      <c r="G43" s="75"/>
      <c r="H43" s="75"/>
      <c r="I43" s="75"/>
      <c r="J43" s="75"/>
      <c r="K43" s="12"/>
      <c r="L43" s="76"/>
      <c r="M43" s="76"/>
      <c r="N43" s="76"/>
      <c r="O43" s="75"/>
      <c r="P43" s="75"/>
      <c r="Q43" s="75"/>
      <c r="R43" s="75"/>
      <c r="S43" s="75"/>
      <c r="T43" s="75"/>
      <c r="U43" s="75"/>
    </row>
    <row r="44" spans="1:21" x14ac:dyDescent="0.25">
      <c r="A44" s="78" t="s">
        <v>15</v>
      </c>
      <c r="B44" s="79"/>
      <c r="C44" s="80"/>
      <c r="D44" s="89">
        <f>D37+D39+D40</f>
        <v>5448.6349999999993</v>
      </c>
      <c r="E44" s="81"/>
      <c r="F44" s="81"/>
      <c r="G44" s="81"/>
      <c r="H44" s="81"/>
      <c r="I44" s="81"/>
      <c r="J44" s="81"/>
      <c r="K44" s="12"/>
      <c r="L44" s="79" t="s">
        <v>15</v>
      </c>
      <c r="M44" s="79"/>
      <c r="N44" s="80">
        <f>N36+N37+N39</f>
        <v>11842.81</v>
      </c>
      <c r="O44" s="75"/>
      <c r="P44" s="75"/>
      <c r="Q44" s="75"/>
      <c r="R44" s="75"/>
      <c r="S44" s="75"/>
      <c r="T44" s="75"/>
      <c r="U44" s="75"/>
    </row>
    <row r="45" spans="1:21" x14ac:dyDescent="0.25">
      <c r="A45" s="82"/>
      <c r="B45" s="75"/>
      <c r="C45" s="75"/>
      <c r="D45" s="77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</row>
    <row r="46" spans="1:21" x14ac:dyDescent="0.25">
      <c r="A46" s="82"/>
      <c r="B46" s="75"/>
      <c r="C46" s="75"/>
      <c r="D46" s="77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</row>
    <row r="47" spans="1:21" x14ac:dyDescent="0.25">
      <c r="A47" s="82"/>
      <c r="B47" s="51"/>
      <c r="C47" s="7"/>
      <c r="D47" s="77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</row>
    <row r="48" spans="1:21" x14ac:dyDescent="0.25">
      <c r="A48" s="82"/>
      <c r="B48" s="15"/>
      <c r="C48" s="16"/>
      <c r="D48" s="77"/>
      <c r="E48" s="79"/>
      <c r="F48" s="79"/>
      <c r="G48" s="79"/>
      <c r="H48" s="79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</row>
    <row r="49" spans="1:21" x14ac:dyDescent="0.25">
      <c r="A49" s="82"/>
      <c r="B49" s="15"/>
      <c r="C49" s="16"/>
      <c r="D49" s="77"/>
      <c r="E49" s="79"/>
      <c r="F49" s="79"/>
      <c r="G49" s="79"/>
      <c r="H49" s="79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</row>
    <row r="50" spans="1:21" x14ac:dyDescent="0.25">
      <c r="A50" s="75"/>
      <c r="B50" s="113"/>
      <c r="C50" s="113"/>
      <c r="D50" s="75"/>
      <c r="E50" s="79"/>
      <c r="F50" s="79" t="s">
        <v>62</v>
      </c>
      <c r="G50" s="79"/>
      <c r="H50" s="80">
        <f>N44-D44</f>
        <v>6394.1750000000002</v>
      </c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</row>
    <row r="51" spans="1:21" x14ac:dyDescent="0.25">
      <c r="A51" s="75"/>
      <c r="B51" s="75"/>
      <c r="C51" s="75"/>
      <c r="D51" s="75"/>
      <c r="E51" s="79"/>
      <c r="F51" s="79"/>
      <c r="G51" s="79"/>
      <c r="H51" s="79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</row>
    <row r="52" spans="1:21" x14ac:dyDescent="0.25">
      <c r="A52" s="75"/>
      <c r="B52" s="75"/>
      <c r="C52" s="75"/>
      <c r="D52" s="75"/>
      <c r="E52" s="79"/>
      <c r="F52" s="79"/>
      <c r="G52" s="79"/>
      <c r="H52" s="79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</row>
  </sheetData>
  <conditionalFormatting sqref="C1:C5 C41">
    <cfRule type="cellIs" dxfId="328" priority="27" operator="equal">
      <formula>15698.2</formula>
    </cfRule>
    <cfRule type="cellIs" dxfId="327" priority="28" operator="equal">
      <formula>"kapalı"</formula>
    </cfRule>
  </conditionalFormatting>
  <conditionalFormatting sqref="C48:C49">
    <cfRule type="cellIs" dxfId="326" priority="15" operator="equal">
      <formula>15698.2</formula>
    </cfRule>
    <cfRule type="cellIs" dxfId="325" priority="16" operator="equal">
      <formula>"kapalı"</formula>
    </cfRule>
  </conditionalFormatting>
  <conditionalFormatting sqref="D6:D8">
    <cfRule type="cellIs" dxfId="324" priority="12" operator="equal">
      <formula>15698.2</formula>
    </cfRule>
    <cfRule type="cellIs" dxfId="323" priority="13" operator="equal">
      <formula>"kapalı"</formula>
    </cfRule>
  </conditionalFormatting>
  <conditionalFormatting sqref="E6:F7">
    <cfRule type="cellIs" dxfId="322" priority="8" operator="equal">
      <formula>"K.KART"</formula>
    </cfRule>
  </conditionalFormatting>
  <conditionalFormatting sqref="F8 D9:F35 E36:F36 D37:F38 E39:F39 D40:F40">
    <cfRule type="cellIs" dxfId="321" priority="18" operator="equal">
      <formula>15698.2</formula>
    </cfRule>
    <cfRule type="cellIs" dxfId="320" priority="19" operator="equal">
      <formula>"kapalı"</formula>
    </cfRule>
  </conditionalFormatting>
  <conditionalFormatting sqref="G6:G23">
    <cfRule type="cellIs" dxfId="319" priority="14" operator="equal">
      <formula>"K.KART"</formula>
    </cfRule>
  </conditionalFormatting>
  <conditionalFormatting sqref="N36">
    <cfRule type="cellIs" dxfId="318" priority="17" operator="equal">
      <formula>"K.KART"</formula>
    </cfRule>
  </conditionalFormatting>
  <conditionalFormatting sqref="N4:O4">
    <cfRule type="cellIs" dxfId="317" priority="20" operator="equal">
      <formula>15698.2</formula>
    </cfRule>
    <cfRule type="cellIs" dxfId="316" priority="21" operator="equal">
      <formula>"kapalı"</formula>
    </cfRule>
  </conditionalFormatting>
  <conditionalFormatting sqref="N1:P3 N5:P5 N27:P35 O36:P40 N41:P41">
    <cfRule type="cellIs" dxfId="315" priority="30" operator="equal">
      <formula>15698.2</formula>
    </cfRule>
  </conditionalFormatting>
  <conditionalFormatting sqref="N1:P3 N5:P5">
    <cfRule type="cellIs" dxfId="314" priority="23" operator="equal">
      <formula>"KAPALI"</formula>
    </cfRule>
    <cfRule type="cellIs" dxfId="313" priority="24" operator="equal">
      <formula>"açık"</formula>
    </cfRule>
  </conditionalFormatting>
  <conditionalFormatting sqref="N27:P35 O36:P40 N41:P41">
    <cfRule type="cellIs" dxfId="312" priority="25" operator="equal">
      <formula>"KAPALI"</formula>
    </cfRule>
    <cfRule type="cellIs" dxfId="311" priority="26" operator="equal">
      <formula>"açık"</formula>
    </cfRule>
  </conditionalFormatting>
  <conditionalFormatting sqref="O6:P26">
    <cfRule type="cellIs" dxfId="310" priority="10" operator="equal">
      <formula>15698.2</formula>
    </cfRule>
    <cfRule type="cellIs" dxfId="309" priority="11" operator="equal">
      <formula>"kapalı"</formula>
    </cfRule>
  </conditionalFormatting>
  <conditionalFormatting sqref="P4:U4">
    <cfRule type="cellIs" dxfId="308" priority="22" operator="equal">
      <formula>"K.KART"</formula>
    </cfRule>
  </conditionalFormatting>
  <conditionalFormatting sqref="Q9:Q10">
    <cfRule type="cellIs" dxfId="307" priority="1" operator="equal">
      <formula>15698.2</formula>
    </cfRule>
    <cfRule type="cellIs" dxfId="306" priority="2" operator="equal">
      <formula>"kapalı"</formula>
    </cfRule>
  </conditionalFormatting>
  <conditionalFormatting sqref="Q21">
    <cfRule type="cellIs" dxfId="305" priority="5" operator="equal">
      <formula>15698.2</formula>
    </cfRule>
    <cfRule type="cellIs" dxfId="304" priority="6" operator="equal">
      <formula>"kapalı"</formula>
    </cfRule>
  </conditionalFormatting>
  <conditionalFormatting sqref="Q23">
    <cfRule type="cellIs" dxfId="303" priority="3" operator="equal">
      <formula>15698.2</formula>
    </cfRule>
    <cfRule type="cellIs" dxfId="302" priority="4" operator="equal">
      <formula>"kapalı"</formula>
    </cfRule>
  </conditionalFormatting>
  <conditionalFormatting sqref="Q1:R3 D1:H5 G24:H28 G30:H40">
    <cfRule type="cellIs" dxfId="301" priority="29" operator="equal">
      <formula>"K.KART"</formula>
    </cfRule>
  </conditionalFormatting>
  <conditionalFormatting sqref="Q5:R41 E6:E17 D41:H41">
    <cfRule type="cellIs" dxfId="300" priority="7" operator="equal">
      <formula>"K.KART"</formula>
    </cfRule>
  </conditionalFormatting>
  <pageMargins left="0.7" right="0.7" top="0.75" bottom="0.75" header="0.3" footer="0.3"/>
  <pageSetup paperSize="9" scale="55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CC813-737D-48DA-BFD6-803778534460}">
  <sheetPr>
    <pageSetUpPr fitToPage="1"/>
  </sheetPr>
  <dimension ref="A1:V54"/>
  <sheetViews>
    <sheetView workbookViewId="0">
      <selection activeCell="H47" sqref="H47"/>
    </sheetView>
  </sheetViews>
  <sheetFormatPr defaultRowHeight="15" x14ac:dyDescent="0.25"/>
  <cols>
    <col min="1" max="1" width="18.28515625" customWidth="1"/>
    <col min="2" max="2" width="12.140625" customWidth="1"/>
    <col min="3" max="3" width="13.42578125" customWidth="1"/>
    <col min="4" max="4" width="11.28515625" customWidth="1"/>
    <col min="6" max="6" width="12.42578125" customWidth="1"/>
    <col min="7" max="7" width="11.140625" customWidth="1"/>
    <col min="8" max="8" width="12.28515625" customWidth="1"/>
    <col min="9" max="9" width="11" customWidth="1"/>
    <col min="10" max="10" width="5.7109375" customWidth="1"/>
    <col min="11" max="11" width="2.42578125" customWidth="1"/>
    <col min="13" max="13" width="20" customWidth="1"/>
    <col min="14" max="14" width="12.28515625" customWidth="1"/>
    <col min="21" max="21" width="12.28515625" customWidth="1"/>
    <col min="22" max="22" width="5.7109375" customWidth="1"/>
  </cols>
  <sheetData>
    <row r="1" spans="1:22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3"/>
      <c r="L1" s="1"/>
      <c r="M1" s="1"/>
      <c r="N1" s="2"/>
      <c r="O1" s="2"/>
      <c r="P1" s="2"/>
      <c r="Q1" s="2"/>
      <c r="R1" s="2"/>
      <c r="S1" s="2"/>
      <c r="T1" s="4"/>
      <c r="U1" s="5"/>
    </row>
    <row r="2" spans="1:22" x14ac:dyDescent="0.25">
      <c r="A2" s="10" t="s">
        <v>0</v>
      </c>
      <c r="B2" s="10"/>
      <c r="C2" s="11"/>
      <c r="D2" s="11"/>
      <c r="E2" s="11"/>
      <c r="F2" s="11"/>
      <c r="G2" s="11"/>
      <c r="H2" s="11"/>
      <c r="I2" s="11"/>
      <c r="J2" s="11"/>
      <c r="K2" s="12"/>
      <c r="L2" s="10" t="s">
        <v>1</v>
      </c>
      <c r="M2" s="10"/>
      <c r="N2" s="11"/>
      <c r="O2" s="11"/>
      <c r="P2" s="11"/>
      <c r="Q2" s="11"/>
      <c r="R2" s="11"/>
      <c r="S2" s="11"/>
      <c r="T2" s="13"/>
      <c r="U2" s="14"/>
      <c r="V2" s="11"/>
    </row>
    <row r="3" spans="1:22" x14ac:dyDescent="0.25">
      <c r="A3" s="15" t="s">
        <v>63</v>
      </c>
      <c r="B3" s="15">
        <v>2025</v>
      </c>
      <c r="C3" s="16"/>
      <c r="D3" s="16"/>
      <c r="E3" s="16"/>
      <c r="F3" s="16"/>
      <c r="G3" s="16"/>
      <c r="H3" s="16"/>
      <c r="I3" s="16"/>
      <c r="J3" s="16"/>
      <c r="K3" s="12"/>
      <c r="L3" s="15" t="s">
        <v>63</v>
      </c>
      <c r="M3" s="15">
        <v>2025</v>
      </c>
      <c r="N3" s="16"/>
      <c r="O3" s="16"/>
      <c r="P3" s="16"/>
      <c r="Q3" s="16"/>
      <c r="R3" s="16"/>
      <c r="S3" s="16"/>
      <c r="T3" s="17"/>
      <c r="U3" s="18"/>
      <c r="V3" s="16"/>
    </row>
    <row r="4" spans="1:22" ht="24" x14ac:dyDescent="0.25">
      <c r="A4" s="90" t="s">
        <v>2</v>
      </c>
      <c r="B4" s="90" t="s">
        <v>3</v>
      </c>
      <c r="C4" s="91" t="s">
        <v>4</v>
      </c>
      <c r="D4" s="91" t="s">
        <v>5</v>
      </c>
      <c r="E4" s="91" t="s">
        <v>6</v>
      </c>
      <c r="F4" s="91" t="s">
        <v>7</v>
      </c>
      <c r="G4" s="91" t="s">
        <v>8</v>
      </c>
      <c r="H4" s="92" t="s">
        <v>9</v>
      </c>
      <c r="I4" s="91" t="s">
        <v>10</v>
      </c>
      <c r="J4" s="91" t="s">
        <v>45</v>
      </c>
      <c r="K4" s="12"/>
      <c r="L4" s="90" t="s">
        <v>2</v>
      </c>
      <c r="M4" s="90" t="s">
        <v>3</v>
      </c>
      <c r="N4" s="91" t="s">
        <v>4</v>
      </c>
      <c r="O4" s="91" t="s">
        <v>11</v>
      </c>
      <c r="P4" s="91" t="s">
        <v>5</v>
      </c>
      <c r="Q4" s="91" t="s">
        <v>6</v>
      </c>
      <c r="R4" s="91" t="s">
        <v>7</v>
      </c>
      <c r="S4" s="91" t="s">
        <v>8</v>
      </c>
      <c r="T4" s="92" t="s">
        <v>12</v>
      </c>
      <c r="U4" s="92" t="s">
        <v>13</v>
      </c>
      <c r="V4" s="91" t="s">
        <v>45</v>
      </c>
    </row>
    <row r="5" spans="1:22" x14ac:dyDescent="0.25">
      <c r="A5" s="20" t="s">
        <v>14</v>
      </c>
      <c r="B5" s="20"/>
      <c r="C5" s="21"/>
      <c r="D5" s="21"/>
      <c r="E5" s="21"/>
      <c r="F5" s="22"/>
      <c r="G5" s="21"/>
      <c r="H5" s="23"/>
      <c r="I5" s="21"/>
      <c r="J5" s="21"/>
      <c r="K5" s="19"/>
      <c r="L5" s="24" t="s">
        <v>14</v>
      </c>
      <c r="M5" s="20"/>
      <c r="N5" s="21"/>
      <c r="O5" s="21"/>
      <c r="P5" s="21"/>
      <c r="Q5" s="21"/>
      <c r="R5" s="22"/>
      <c r="S5" s="21"/>
      <c r="T5" s="23"/>
      <c r="U5" s="123">
        <v>6394.18</v>
      </c>
      <c r="V5" s="21"/>
    </row>
    <row r="6" spans="1:22" x14ac:dyDescent="0.25">
      <c r="A6" s="26" t="s">
        <v>64</v>
      </c>
      <c r="B6" s="27">
        <v>45723</v>
      </c>
      <c r="C6" s="26">
        <v>552163170</v>
      </c>
      <c r="D6" s="28" t="s">
        <v>24</v>
      </c>
      <c r="E6" s="28" t="s">
        <v>25</v>
      </c>
      <c r="F6" s="28">
        <v>11633.42</v>
      </c>
      <c r="G6" s="28">
        <v>10601.88</v>
      </c>
      <c r="H6" s="29">
        <v>1060.0999999999999</v>
      </c>
      <c r="I6" s="30">
        <f>H6*J6</f>
        <v>530.04999999999995</v>
      </c>
      <c r="J6" s="117">
        <v>0.5</v>
      </c>
      <c r="K6" s="31"/>
      <c r="L6" s="124"/>
      <c r="M6" s="125"/>
      <c r="N6" s="124"/>
      <c r="O6" s="126"/>
      <c r="P6" s="127"/>
      <c r="Q6" s="126"/>
      <c r="R6" s="128"/>
      <c r="S6" s="128"/>
      <c r="T6" s="129"/>
      <c r="U6" s="30"/>
      <c r="V6" s="117">
        <v>0.5</v>
      </c>
    </row>
    <row r="7" spans="1:22" x14ac:dyDescent="0.25">
      <c r="A7" s="26" t="s">
        <v>65</v>
      </c>
      <c r="B7" s="27">
        <v>45723</v>
      </c>
      <c r="C7" s="26">
        <v>553183087</v>
      </c>
      <c r="D7" s="28" t="s">
        <v>66</v>
      </c>
      <c r="E7" s="28" t="s">
        <v>25</v>
      </c>
      <c r="F7" s="28">
        <v>7167.1</v>
      </c>
      <c r="G7" s="28">
        <v>6804.71</v>
      </c>
      <c r="H7" s="35">
        <v>1020.6</v>
      </c>
      <c r="I7" s="30">
        <f t="shared" ref="I7:I32" si="0">H7*J7</f>
        <v>510.3</v>
      </c>
      <c r="J7" s="117">
        <v>0.5</v>
      </c>
      <c r="K7" s="31"/>
      <c r="L7" s="130"/>
      <c r="M7" s="131"/>
      <c r="N7" s="132"/>
      <c r="O7" s="128"/>
      <c r="P7" s="128"/>
      <c r="Q7" s="126"/>
      <c r="R7" s="133"/>
      <c r="S7" s="128"/>
      <c r="T7" s="134"/>
      <c r="U7" s="30"/>
      <c r="V7" s="117">
        <v>0.5</v>
      </c>
    </row>
    <row r="8" spans="1:22" x14ac:dyDescent="0.25">
      <c r="A8" s="26" t="s">
        <v>67</v>
      </c>
      <c r="B8" s="27">
        <v>45728</v>
      </c>
      <c r="C8" s="26">
        <v>553739975</v>
      </c>
      <c r="D8" s="28" t="s">
        <v>24</v>
      </c>
      <c r="E8" s="28" t="s">
        <v>25</v>
      </c>
      <c r="F8" s="28">
        <v>12738.74</v>
      </c>
      <c r="G8" s="28">
        <v>11525.52</v>
      </c>
      <c r="H8" s="29">
        <v>1152.54</v>
      </c>
      <c r="I8" s="30">
        <f t="shared" si="0"/>
        <v>576.27</v>
      </c>
      <c r="J8" s="117">
        <v>0.5</v>
      </c>
      <c r="K8" s="31"/>
      <c r="L8" s="130"/>
      <c r="M8" s="131"/>
      <c r="N8" s="130"/>
      <c r="O8" s="128"/>
      <c r="P8" s="128"/>
      <c r="Q8" s="128"/>
      <c r="R8" s="128"/>
      <c r="S8" s="128"/>
      <c r="T8" s="129"/>
      <c r="U8" s="30"/>
      <c r="V8" s="117">
        <v>0.5</v>
      </c>
    </row>
    <row r="9" spans="1:22" x14ac:dyDescent="0.25">
      <c r="A9" s="26" t="s">
        <v>68</v>
      </c>
      <c r="B9" s="27">
        <v>45726</v>
      </c>
      <c r="C9" s="26">
        <v>554701527</v>
      </c>
      <c r="D9" s="28" t="s">
        <v>24</v>
      </c>
      <c r="E9" s="28" t="s">
        <v>25</v>
      </c>
      <c r="F9" s="28">
        <v>16240.14</v>
      </c>
      <c r="G9" s="28">
        <v>14693.47</v>
      </c>
      <c r="H9" s="29">
        <v>1469.34</v>
      </c>
      <c r="I9" s="30">
        <f t="shared" si="0"/>
        <v>734.67</v>
      </c>
      <c r="J9" s="117">
        <v>0.5</v>
      </c>
      <c r="K9" s="31"/>
      <c r="L9" s="7"/>
      <c r="M9" s="32"/>
      <c r="N9" s="7"/>
      <c r="O9" s="6"/>
      <c r="P9" s="6"/>
      <c r="Q9" s="6"/>
      <c r="R9" s="6"/>
      <c r="S9" s="6"/>
      <c r="T9" s="33"/>
      <c r="U9" s="30"/>
      <c r="V9" s="117">
        <v>0.5</v>
      </c>
    </row>
    <row r="10" spans="1:22" x14ac:dyDescent="0.25">
      <c r="A10" s="26" t="s">
        <v>31</v>
      </c>
      <c r="B10" s="27">
        <v>45722</v>
      </c>
      <c r="C10" s="26">
        <v>554415875</v>
      </c>
      <c r="D10" s="28" t="s">
        <v>32</v>
      </c>
      <c r="E10" s="28" t="s">
        <v>25</v>
      </c>
      <c r="F10" s="28">
        <v>1090.8699999999999</v>
      </c>
      <c r="G10" s="28">
        <v>1038.92</v>
      </c>
      <c r="H10" s="29">
        <v>155.69999999999999</v>
      </c>
      <c r="I10" s="30">
        <f t="shared" si="0"/>
        <v>77.849999999999994</v>
      </c>
      <c r="J10" s="117">
        <v>0.5</v>
      </c>
      <c r="K10" s="31"/>
      <c r="L10" s="7"/>
      <c r="M10" s="32"/>
      <c r="N10" s="7"/>
      <c r="O10" s="6"/>
      <c r="P10" s="6"/>
      <c r="Q10" s="6"/>
      <c r="R10" s="6"/>
      <c r="S10" s="6"/>
      <c r="T10" s="33"/>
      <c r="U10" s="30"/>
      <c r="V10" s="117">
        <v>0.5</v>
      </c>
    </row>
    <row r="11" spans="1:22" x14ac:dyDescent="0.25">
      <c r="A11" s="26" t="s">
        <v>69</v>
      </c>
      <c r="B11" s="27">
        <v>45734</v>
      </c>
      <c r="C11" s="26">
        <v>554752408</v>
      </c>
      <c r="D11" s="28" t="s">
        <v>24</v>
      </c>
      <c r="E11" s="28" t="s">
        <v>25</v>
      </c>
      <c r="F11" s="28">
        <v>13110.05</v>
      </c>
      <c r="G11" s="28">
        <v>11861.46</v>
      </c>
      <c r="H11" s="29">
        <v>1186.1400000000001</v>
      </c>
      <c r="I11" s="30">
        <f t="shared" si="0"/>
        <v>593.07000000000005</v>
      </c>
      <c r="J11" s="117">
        <v>0.5</v>
      </c>
      <c r="K11" s="31"/>
      <c r="L11" s="7"/>
      <c r="M11" s="7"/>
      <c r="N11" s="7"/>
      <c r="O11" s="6"/>
      <c r="P11" s="6"/>
      <c r="Q11" s="6"/>
      <c r="R11" s="6"/>
      <c r="S11" s="6"/>
      <c r="T11" s="33"/>
      <c r="U11" s="30"/>
      <c r="V11" s="117">
        <v>0.5</v>
      </c>
    </row>
    <row r="12" spans="1:22" x14ac:dyDescent="0.25">
      <c r="A12" s="26" t="s">
        <v>69</v>
      </c>
      <c r="B12" s="27">
        <v>45731</v>
      </c>
      <c r="C12" s="26">
        <v>553962484</v>
      </c>
      <c r="D12" s="28" t="s">
        <v>24</v>
      </c>
      <c r="E12" s="28" t="s">
        <v>25</v>
      </c>
      <c r="F12" s="28">
        <v>20757.61</v>
      </c>
      <c r="G12" s="28">
        <v>18780.7</v>
      </c>
      <c r="H12" s="39">
        <v>1878.09</v>
      </c>
      <c r="I12" s="30">
        <f t="shared" si="0"/>
        <v>939.04499999999996</v>
      </c>
      <c r="J12" s="117">
        <v>0.5</v>
      </c>
      <c r="K12" s="31"/>
      <c r="L12" s="7"/>
      <c r="M12" s="7"/>
      <c r="N12" s="7"/>
      <c r="O12" s="6"/>
      <c r="P12" s="6"/>
      <c r="Q12" s="16"/>
      <c r="R12" s="16"/>
      <c r="S12" s="16"/>
      <c r="T12" s="40"/>
      <c r="U12" s="30"/>
      <c r="V12" s="117">
        <v>0.5</v>
      </c>
    </row>
    <row r="13" spans="1:22" x14ac:dyDescent="0.25">
      <c r="A13" s="26" t="s">
        <v>70</v>
      </c>
      <c r="B13" s="27">
        <v>45727</v>
      </c>
      <c r="C13" s="26">
        <v>555153167</v>
      </c>
      <c r="D13" s="28" t="s">
        <v>24</v>
      </c>
      <c r="E13" s="28" t="s">
        <v>25</v>
      </c>
      <c r="F13" s="28">
        <v>14978.75</v>
      </c>
      <c r="G13" s="28">
        <v>13552.19</v>
      </c>
      <c r="H13" s="29">
        <v>1355.22</v>
      </c>
      <c r="I13" s="30">
        <f t="shared" si="0"/>
        <v>677.61</v>
      </c>
      <c r="J13" s="117">
        <v>0.5</v>
      </c>
      <c r="K13" s="31"/>
      <c r="L13" s="7"/>
      <c r="M13" s="7"/>
      <c r="N13" s="7"/>
      <c r="O13" s="6"/>
      <c r="P13" s="6"/>
      <c r="Q13" s="16" t="s">
        <v>15</v>
      </c>
      <c r="R13" s="16">
        <f>R6+R7+R8+R9+R10</f>
        <v>0</v>
      </c>
      <c r="S13" s="16">
        <f>S6+S7+S8+S9+S10</f>
        <v>0</v>
      </c>
      <c r="T13" s="17">
        <f>T6+T7+T8+T10+T9</f>
        <v>0</v>
      </c>
      <c r="U13" s="41">
        <f>U6+U7+U8+U9+U10+U5</f>
        <v>6394.18</v>
      </c>
      <c r="V13" s="117">
        <v>0.5</v>
      </c>
    </row>
    <row r="14" spans="1:22" x14ac:dyDescent="0.25">
      <c r="A14" s="26" t="s">
        <v>71</v>
      </c>
      <c r="B14" s="27">
        <v>45726</v>
      </c>
      <c r="C14" s="26">
        <v>7477055</v>
      </c>
      <c r="D14" s="28" t="s">
        <v>36</v>
      </c>
      <c r="E14" s="28" t="s">
        <v>25</v>
      </c>
      <c r="F14" s="28">
        <v>66262.960000000006</v>
      </c>
      <c r="G14" s="28">
        <v>66262.960000000006</v>
      </c>
      <c r="H14" s="29">
        <v>9939.2999999999993</v>
      </c>
      <c r="I14" s="30">
        <f t="shared" si="0"/>
        <v>4969.6499999999996</v>
      </c>
      <c r="J14" s="117">
        <v>0.5</v>
      </c>
      <c r="K14" s="31"/>
      <c r="L14" s="7"/>
      <c r="M14" s="7"/>
      <c r="N14" s="7"/>
      <c r="O14" s="6"/>
      <c r="P14" s="6"/>
      <c r="Q14" s="16"/>
      <c r="R14" s="16"/>
      <c r="S14" s="16"/>
      <c r="T14" s="17"/>
      <c r="U14" s="42"/>
      <c r="V14" s="117">
        <v>0.5</v>
      </c>
    </row>
    <row r="15" spans="1:22" x14ac:dyDescent="0.25">
      <c r="A15" s="26" t="s">
        <v>72</v>
      </c>
      <c r="B15" s="27">
        <v>45729</v>
      </c>
      <c r="C15" s="26">
        <v>555728337</v>
      </c>
      <c r="D15" s="28" t="s">
        <v>24</v>
      </c>
      <c r="E15" s="28" t="s">
        <v>25</v>
      </c>
      <c r="F15" s="28">
        <v>22296.26</v>
      </c>
      <c r="G15" s="28">
        <v>20080.48</v>
      </c>
      <c r="H15" s="29">
        <v>2008.04</v>
      </c>
      <c r="I15" s="30">
        <f t="shared" si="0"/>
        <v>1004.02</v>
      </c>
      <c r="J15" s="117">
        <v>0.5</v>
      </c>
      <c r="K15" s="31"/>
      <c r="L15" s="7"/>
      <c r="M15" s="7"/>
      <c r="N15" s="7"/>
      <c r="O15" s="6"/>
      <c r="P15" s="6"/>
      <c r="Q15" s="16"/>
      <c r="R15" s="16"/>
      <c r="S15" s="16"/>
      <c r="T15" s="17"/>
      <c r="U15" s="18"/>
      <c r="V15" s="117">
        <v>0.5</v>
      </c>
    </row>
    <row r="16" spans="1:22" x14ac:dyDescent="0.25">
      <c r="A16" s="26" t="s">
        <v>73</v>
      </c>
      <c r="B16" s="27">
        <v>45730</v>
      </c>
      <c r="C16" s="26">
        <v>555992430</v>
      </c>
      <c r="D16" s="28" t="s">
        <v>24</v>
      </c>
      <c r="E16" s="28" t="s">
        <v>25</v>
      </c>
      <c r="F16" s="28">
        <v>17835.53</v>
      </c>
      <c r="G16" s="28">
        <v>16063.03</v>
      </c>
      <c r="H16" s="29">
        <v>1606.29</v>
      </c>
      <c r="I16" s="30">
        <f t="shared" si="0"/>
        <v>803.14499999999998</v>
      </c>
      <c r="J16" s="117">
        <v>0.5</v>
      </c>
      <c r="K16" s="31"/>
      <c r="L16" s="7"/>
      <c r="M16" s="7"/>
      <c r="N16" s="7"/>
      <c r="O16" s="6"/>
      <c r="P16" s="6"/>
      <c r="Q16" s="6"/>
      <c r="R16" s="6"/>
      <c r="S16" s="6"/>
      <c r="T16" s="8"/>
      <c r="U16" s="9"/>
      <c r="V16" s="117">
        <v>0.5</v>
      </c>
    </row>
    <row r="17" spans="1:22" x14ac:dyDescent="0.25">
      <c r="A17" s="26" t="s">
        <v>74</v>
      </c>
      <c r="B17" s="27">
        <v>45734</v>
      </c>
      <c r="C17" s="26">
        <v>557274377</v>
      </c>
      <c r="D17" s="28" t="s">
        <v>66</v>
      </c>
      <c r="E17" s="28" t="s">
        <v>25</v>
      </c>
      <c r="F17" s="28">
        <v>7143.88</v>
      </c>
      <c r="G17" s="28">
        <v>6777.11</v>
      </c>
      <c r="H17" s="29">
        <v>1016.55</v>
      </c>
      <c r="I17" s="30">
        <f t="shared" si="0"/>
        <v>508.27499999999998</v>
      </c>
      <c r="J17" s="117">
        <v>0.5</v>
      </c>
      <c r="K17" s="31"/>
      <c r="L17" s="7"/>
      <c r="M17" s="7"/>
      <c r="N17" s="7"/>
      <c r="O17" s="6"/>
      <c r="P17" s="6"/>
      <c r="Q17" s="6"/>
      <c r="R17" s="6"/>
      <c r="S17" s="6"/>
      <c r="T17" s="8"/>
      <c r="U17" s="9"/>
      <c r="V17" s="117">
        <v>0.5</v>
      </c>
    </row>
    <row r="18" spans="1:22" x14ac:dyDescent="0.25">
      <c r="A18" s="26" t="s">
        <v>75</v>
      </c>
      <c r="B18" s="27">
        <v>45734</v>
      </c>
      <c r="C18" s="26">
        <v>557264354</v>
      </c>
      <c r="D18" s="28" t="s">
        <v>24</v>
      </c>
      <c r="E18" s="28" t="s">
        <v>25</v>
      </c>
      <c r="F18" s="28">
        <v>15376.68</v>
      </c>
      <c r="G18" s="28">
        <v>13848.57</v>
      </c>
      <c r="H18" s="29">
        <v>1384.85</v>
      </c>
      <c r="I18" s="30">
        <f t="shared" si="0"/>
        <v>692.42499999999995</v>
      </c>
      <c r="J18" s="117">
        <v>0.5</v>
      </c>
      <c r="K18" s="31"/>
      <c r="L18" s="7"/>
      <c r="M18" s="7"/>
      <c r="N18" s="7"/>
      <c r="O18" s="6"/>
      <c r="P18" s="6"/>
      <c r="Q18" s="6"/>
      <c r="R18" s="6"/>
      <c r="S18" s="6"/>
      <c r="T18" s="8"/>
      <c r="U18" s="9"/>
      <c r="V18" s="117">
        <v>0.5</v>
      </c>
    </row>
    <row r="19" spans="1:22" x14ac:dyDescent="0.25">
      <c r="A19" s="26" t="s">
        <v>76</v>
      </c>
      <c r="B19" s="27">
        <v>45736</v>
      </c>
      <c r="C19" s="26">
        <v>557804656</v>
      </c>
      <c r="D19" s="28" t="s">
        <v>24</v>
      </c>
      <c r="E19" s="28" t="s">
        <v>25</v>
      </c>
      <c r="F19" s="28">
        <v>16713.8</v>
      </c>
      <c r="G19" s="28">
        <v>15122</v>
      </c>
      <c r="H19" s="29">
        <v>1512.2</v>
      </c>
      <c r="I19" s="30">
        <f t="shared" si="0"/>
        <v>756.1</v>
      </c>
      <c r="J19" s="117">
        <v>0.5</v>
      </c>
      <c r="K19" s="31"/>
      <c r="L19" s="7"/>
      <c r="M19" s="7"/>
      <c r="N19" s="7"/>
      <c r="O19" s="6"/>
      <c r="P19" s="6"/>
      <c r="Q19" s="6"/>
      <c r="R19" s="6"/>
      <c r="S19" s="6"/>
      <c r="T19" s="8"/>
      <c r="U19" s="9"/>
      <c r="V19" s="117">
        <v>0.5</v>
      </c>
    </row>
    <row r="20" spans="1:22" x14ac:dyDescent="0.25">
      <c r="A20" s="26" t="s">
        <v>77</v>
      </c>
      <c r="B20" s="27">
        <v>45742</v>
      </c>
      <c r="C20" s="26">
        <v>557880608</v>
      </c>
      <c r="D20" s="28" t="s">
        <v>24</v>
      </c>
      <c r="E20" s="28" t="s">
        <v>25</v>
      </c>
      <c r="F20" s="28">
        <v>13091.69</v>
      </c>
      <c r="G20" s="28">
        <v>11790.63</v>
      </c>
      <c r="H20" s="29">
        <v>1179.06</v>
      </c>
      <c r="I20" s="30">
        <f t="shared" si="0"/>
        <v>589.53</v>
      </c>
      <c r="J20" s="117">
        <v>0.5</v>
      </c>
      <c r="K20" s="31"/>
      <c r="L20" s="7"/>
      <c r="M20" s="7"/>
      <c r="N20" s="7"/>
      <c r="O20" s="6"/>
      <c r="P20" s="6"/>
      <c r="Q20" s="6"/>
      <c r="R20" s="6"/>
      <c r="S20" s="6"/>
      <c r="T20" s="8"/>
      <c r="U20" s="9"/>
      <c r="V20" s="117">
        <v>0.5</v>
      </c>
    </row>
    <row r="21" spans="1:22" x14ac:dyDescent="0.25">
      <c r="A21" s="26" t="s">
        <v>31</v>
      </c>
      <c r="B21" s="27">
        <v>45735</v>
      </c>
      <c r="C21" s="26">
        <v>558025544</v>
      </c>
      <c r="D21" s="28" t="s">
        <v>32</v>
      </c>
      <c r="E21" s="28" t="s">
        <v>25</v>
      </c>
      <c r="F21" s="28">
        <v>3360.59</v>
      </c>
      <c r="G21" s="28">
        <v>3200.56</v>
      </c>
      <c r="H21" s="29">
        <v>480</v>
      </c>
      <c r="I21" s="30">
        <f t="shared" si="0"/>
        <v>240</v>
      </c>
      <c r="J21" s="117">
        <v>0.5</v>
      </c>
      <c r="K21" s="31"/>
      <c r="L21" s="43"/>
      <c r="M21" s="32"/>
      <c r="N21" s="7"/>
      <c r="O21" s="6"/>
      <c r="P21" s="6"/>
      <c r="Q21" s="6"/>
      <c r="R21" s="6"/>
      <c r="S21" s="6"/>
      <c r="T21" s="8"/>
      <c r="U21" s="9"/>
      <c r="V21" s="117">
        <v>0.5</v>
      </c>
    </row>
    <row r="22" spans="1:22" x14ac:dyDescent="0.25">
      <c r="A22" s="26" t="s">
        <v>78</v>
      </c>
      <c r="B22" s="27">
        <v>45742</v>
      </c>
      <c r="C22" s="26">
        <v>557132989</v>
      </c>
      <c r="D22" s="28" t="s">
        <v>66</v>
      </c>
      <c r="E22" s="28" t="s">
        <v>25</v>
      </c>
      <c r="F22" s="28">
        <v>9372.9</v>
      </c>
      <c r="G22" s="28">
        <v>8869.4699999999993</v>
      </c>
      <c r="H22" s="29">
        <v>1330.35</v>
      </c>
      <c r="I22" s="30">
        <f t="shared" si="0"/>
        <v>665.17499999999995</v>
      </c>
      <c r="J22" s="117">
        <v>0.5</v>
      </c>
      <c r="K22" s="31"/>
      <c r="L22" s="43"/>
      <c r="M22" s="32"/>
      <c r="N22" s="7"/>
      <c r="O22" s="6"/>
      <c r="P22" s="6"/>
      <c r="Q22" s="6"/>
      <c r="R22" s="6"/>
      <c r="S22" s="6"/>
      <c r="T22" s="8"/>
      <c r="U22" s="9"/>
      <c r="V22" s="117">
        <v>0.5</v>
      </c>
    </row>
    <row r="23" spans="1:22" x14ac:dyDescent="0.25">
      <c r="A23" s="26" t="s">
        <v>31</v>
      </c>
      <c r="B23" s="27">
        <v>45725</v>
      </c>
      <c r="C23" s="26">
        <v>559187004</v>
      </c>
      <c r="D23" s="28" t="s">
        <v>32</v>
      </c>
      <c r="E23" s="28" t="s">
        <v>25</v>
      </c>
      <c r="F23" s="28">
        <v>2922.74</v>
      </c>
      <c r="G23" s="28">
        <v>2783.56</v>
      </c>
      <c r="H23" s="29">
        <v>417.45</v>
      </c>
      <c r="I23" s="30">
        <f t="shared" si="0"/>
        <v>208.72499999999999</v>
      </c>
      <c r="J23" s="117">
        <v>0.5</v>
      </c>
      <c r="K23" s="44"/>
      <c r="L23" s="43"/>
      <c r="M23" s="43"/>
      <c r="N23" s="7"/>
      <c r="O23" s="6"/>
      <c r="P23" s="6"/>
      <c r="Q23" s="6"/>
      <c r="R23" s="6"/>
      <c r="S23" s="6"/>
      <c r="T23" s="8"/>
      <c r="U23" s="9"/>
      <c r="V23" s="117">
        <v>0.5</v>
      </c>
    </row>
    <row r="24" spans="1:22" x14ac:dyDescent="0.25">
      <c r="A24" s="26" t="s">
        <v>79</v>
      </c>
      <c r="B24" s="27">
        <v>45744</v>
      </c>
      <c r="C24" s="26">
        <v>559996745</v>
      </c>
      <c r="D24" s="28" t="s">
        <v>66</v>
      </c>
      <c r="E24" s="28" t="s">
        <v>25</v>
      </c>
      <c r="F24" s="28">
        <v>9589.9500000000007</v>
      </c>
      <c r="G24" s="28">
        <v>9114.94</v>
      </c>
      <c r="H24" s="45">
        <v>1367.1</v>
      </c>
      <c r="I24" s="30">
        <f>H24*J24</f>
        <v>683.55</v>
      </c>
      <c r="J24" s="117">
        <v>0.5</v>
      </c>
      <c r="K24" s="31"/>
      <c r="L24" s="43"/>
      <c r="M24" s="7"/>
      <c r="N24" s="7"/>
      <c r="O24" s="6"/>
      <c r="P24" s="6"/>
      <c r="Q24" s="6"/>
      <c r="R24" s="6"/>
      <c r="S24" s="6"/>
      <c r="T24" s="8"/>
      <c r="U24" s="9"/>
      <c r="V24" s="117">
        <v>0.5</v>
      </c>
    </row>
    <row r="25" spans="1:22" x14ac:dyDescent="0.25">
      <c r="A25" s="26" t="s">
        <v>80</v>
      </c>
      <c r="B25" s="27">
        <v>45743</v>
      </c>
      <c r="C25" s="26">
        <v>559811782</v>
      </c>
      <c r="D25" s="28" t="s">
        <v>24</v>
      </c>
      <c r="E25" s="28" t="s">
        <v>25</v>
      </c>
      <c r="F25" s="28">
        <v>16713.8</v>
      </c>
      <c r="G25" s="28">
        <v>15122</v>
      </c>
      <c r="H25" s="45">
        <v>1512.2</v>
      </c>
      <c r="I25" s="30">
        <f t="shared" si="0"/>
        <v>756.1</v>
      </c>
      <c r="J25" s="117">
        <v>0.5</v>
      </c>
      <c r="K25" s="31"/>
      <c r="L25" s="7"/>
      <c r="M25" s="7"/>
      <c r="N25" s="7"/>
      <c r="O25" s="6"/>
      <c r="P25" s="6"/>
      <c r="Q25" s="6"/>
      <c r="R25" s="6"/>
      <c r="S25" s="6"/>
      <c r="T25" s="8"/>
      <c r="U25" s="9"/>
      <c r="V25" s="117">
        <v>0.5</v>
      </c>
    </row>
    <row r="26" spans="1:22" x14ac:dyDescent="0.25">
      <c r="A26" s="26" t="s">
        <v>81</v>
      </c>
      <c r="B26" s="27">
        <v>45745</v>
      </c>
      <c r="C26" s="26">
        <v>557700230</v>
      </c>
      <c r="D26" s="28" t="s">
        <v>24</v>
      </c>
      <c r="E26" s="28" t="s">
        <v>25</v>
      </c>
      <c r="F26" s="28">
        <v>12992.62</v>
      </c>
      <c r="G26" s="28">
        <v>11755.24</v>
      </c>
      <c r="H26" s="46">
        <v>1175.53</v>
      </c>
      <c r="I26" s="30">
        <f t="shared" si="0"/>
        <v>587.76499999999999</v>
      </c>
      <c r="J26" s="117">
        <v>0.5</v>
      </c>
      <c r="K26" s="31"/>
      <c r="L26" s="7"/>
      <c r="M26" s="7"/>
      <c r="N26" s="7"/>
      <c r="O26" s="6"/>
      <c r="P26" s="6"/>
      <c r="Q26" s="6"/>
      <c r="R26" s="6"/>
      <c r="S26" s="6"/>
      <c r="T26" s="8"/>
      <c r="U26" s="9"/>
      <c r="V26" s="117">
        <v>0.5</v>
      </c>
    </row>
    <row r="27" spans="1:22" x14ac:dyDescent="0.25">
      <c r="A27" s="26" t="s">
        <v>82</v>
      </c>
      <c r="B27" s="27">
        <v>45747</v>
      </c>
      <c r="C27" s="26">
        <v>558086531</v>
      </c>
      <c r="D27" s="28" t="s">
        <v>24</v>
      </c>
      <c r="E27" s="28" t="s">
        <v>25</v>
      </c>
      <c r="F27" s="28">
        <v>20976.37</v>
      </c>
      <c r="G27" s="28">
        <v>18978.599999999999</v>
      </c>
      <c r="H27" s="46">
        <v>1897.86</v>
      </c>
      <c r="I27" s="30">
        <f t="shared" si="0"/>
        <v>948.93</v>
      </c>
      <c r="J27" s="117">
        <v>0.5</v>
      </c>
      <c r="K27" s="31"/>
      <c r="L27" s="7"/>
      <c r="M27" s="7"/>
      <c r="N27" s="6"/>
      <c r="O27" s="6"/>
      <c r="P27" s="6"/>
      <c r="Q27" s="6"/>
      <c r="R27" s="6"/>
      <c r="S27" s="6"/>
      <c r="T27" s="8"/>
      <c r="U27" s="9"/>
      <c r="V27" s="117">
        <v>0.5</v>
      </c>
    </row>
    <row r="28" spans="1:22" x14ac:dyDescent="0.25">
      <c r="A28" s="26" t="s">
        <v>83</v>
      </c>
      <c r="B28" s="27">
        <v>45744</v>
      </c>
      <c r="C28" s="26">
        <v>559733050</v>
      </c>
      <c r="D28" s="28" t="s">
        <v>24</v>
      </c>
      <c r="E28" s="28" t="s">
        <v>25</v>
      </c>
      <c r="F28" s="28">
        <v>14978.74</v>
      </c>
      <c r="G28" s="28">
        <v>13552.2</v>
      </c>
      <c r="H28" s="46">
        <v>1355.23</v>
      </c>
      <c r="I28" s="30">
        <f t="shared" si="0"/>
        <v>677.61500000000001</v>
      </c>
      <c r="J28" s="117">
        <v>0.5</v>
      </c>
      <c r="K28" s="31"/>
      <c r="L28" s="7"/>
      <c r="M28" s="7"/>
      <c r="N28" s="6"/>
      <c r="O28" s="6"/>
      <c r="P28" s="6"/>
      <c r="Q28" s="6"/>
      <c r="R28" s="6"/>
      <c r="S28" s="6"/>
      <c r="T28" s="8"/>
      <c r="U28" s="9"/>
      <c r="V28" s="117">
        <v>0.5</v>
      </c>
    </row>
    <row r="29" spans="1:22" x14ac:dyDescent="0.25">
      <c r="A29" s="47"/>
      <c r="B29" s="48"/>
      <c r="C29" s="26"/>
      <c r="D29" s="28"/>
      <c r="E29" s="28"/>
      <c r="F29" s="28"/>
      <c r="G29" s="49"/>
      <c r="H29" s="50"/>
      <c r="I29" s="30">
        <f t="shared" si="0"/>
        <v>0</v>
      </c>
      <c r="J29" s="117">
        <v>0.5</v>
      </c>
      <c r="K29" s="31"/>
      <c r="L29" s="7"/>
      <c r="M29" s="7"/>
      <c r="N29" s="6"/>
      <c r="O29" s="6"/>
      <c r="P29" s="6"/>
      <c r="Q29" s="6"/>
      <c r="R29" s="6"/>
      <c r="S29" s="6"/>
      <c r="T29" s="8"/>
      <c r="U29" s="9"/>
      <c r="V29" s="117">
        <v>0.5</v>
      </c>
    </row>
    <row r="30" spans="1:22" x14ac:dyDescent="0.25">
      <c r="A30" s="43"/>
      <c r="B30" s="51"/>
      <c r="C30" s="7"/>
      <c r="D30" s="6"/>
      <c r="E30" s="6"/>
      <c r="F30" s="6"/>
      <c r="G30" s="6"/>
      <c r="H30" s="8"/>
      <c r="I30" s="30">
        <f t="shared" si="0"/>
        <v>0</v>
      </c>
      <c r="J30" s="117">
        <v>0.5</v>
      </c>
      <c r="K30" s="31"/>
      <c r="L30" s="7"/>
      <c r="M30" s="7"/>
      <c r="N30" s="6"/>
      <c r="O30" s="6"/>
      <c r="P30" s="6"/>
      <c r="Q30" s="6"/>
      <c r="R30" s="6"/>
      <c r="S30" s="6"/>
      <c r="T30" s="8"/>
      <c r="U30" s="9"/>
      <c r="V30" s="117">
        <v>0.5</v>
      </c>
    </row>
    <row r="31" spans="1:22" x14ac:dyDescent="0.25">
      <c r="A31" s="43"/>
      <c r="B31" s="51"/>
      <c r="C31" s="7"/>
      <c r="D31" s="6"/>
      <c r="E31" s="6"/>
      <c r="F31" s="6"/>
      <c r="G31" s="6"/>
      <c r="H31" s="8"/>
      <c r="I31" s="30">
        <f t="shared" si="0"/>
        <v>0</v>
      </c>
      <c r="J31" s="117">
        <v>0.5</v>
      </c>
      <c r="K31" s="31"/>
      <c r="L31" s="7"/>
      <c r="M31" s="7"/>
      <c r="N31" s="6"/>
      <c r="O31" s="6"/>
      <c r="P31" s="6"/>
      <c r="Q31" s="6"/>
      <c r="R31" s="6"/>
      <c r="S31" s="6"/>
      <c r="T31" s="8"/>
      <c r="U31" s="9"/>
      <c r="V31" s="117">
        <v>0.5</v>
      </c>
    </row>
    <row r="32" spans="1:22" x14ac:dyDescent="0.25">
      <c r="A32" s="7"/>
      <c r="B32" s="32"/>
      <c r="C32" s="7"/>
      <c r="D32" s="6"/>
      <c r="E32" s="6"/>
      <c r="F32" s="6"/>
      <c r="G32" s="6"/>
      <c r="H32" s="6"/>
      <c r="I32" s="30">
        <f t="shared" si="0"/>
        <v>0</v>
      </c>
      <c r="J32" s="117">
        <v>0.5</v>
      </c>
      <c r="K32" s="31"/>
      <c r="L32" s="7"/>
      <c r="M32" s="7"/>
      <c r="N32" s="6"/>
      <c r="O32" s="6"/>
      <c r="P32" s="6"/>
      <c r="Q32" s="6"/>
      <c r="R32" s="6"/>
      <c r="S32" s="6"/>
      <c r="T32" s="8"/>
      <c r="U32" s="9"/>
      <c r="V32" s="117">
        <v>0.5</v>
      </c>
    </row>
    <row r="33" spans="1:21" x14ac:dyDescent="0.25">
      <c r="A33" s="7"/>
      <c r="B33" s="32"/>
      <c r="C33" s="7"/>
      <c r="D33" s="6"/>
      <c r="E33" s="16" t="s">
        <v>15</v>
      </c>
      <c r="F33" s="52">
        <f>SUM(F5:F31)</f>
        <v>347345.19</v>
      </c>
      <c r="G33" s="16">
        <f>SUM(G6:G31)</f>
        <v>322180.19999999995</v>
      </c>
      <c r="H33" s="16">
        <f>SUM(H6:H30)</f>
        <v>37459.74</v>
      </c>
      <c r="I33" s="22">
        <f>SUM(I6:I30)</f>
        <v>18729.87</v>
      </c>
      <c r="J33" s="22"/>
      <c r="K33" s="31"/>
      <c r="L33" s="7"/>
      <c r="M33" s="7"/>
      <c r="N33" s="6"/>
      <c r="O33" s="6"/>
      <c r="P33" s="6"/>
      <c r="Q33" s="6"/>
      <c r="R33" s="6"/>
      <c r="S33" s="6"/>
      <c r="T33" s="8"/>
      <c r="U33" s="9"/>
    </row>
    <row r="34" spans="1:21" x14ac:dyDescent="0.25">
      <c r="A34" s="7"/>
      <c r="B34" s="32"/>
      <c r="C34" s="7"/>
      <c r="D34" s="6"/>
      <c r="E34" s="6"/>
      <c r="F34" s="6"/>
      <c r="G34" s="6"/>
      <c r="H34" s="6"/>
      <c r="I34" s="6"/>
      <c r="J34" s="6"/>
      <c r="K34" s="31"/>
      <c r="L34" s="7"/>
      <c r="M34" s="7"/>
      <c r="N34" s="6"/>
      <c r="O34" s="6"/>
      <c r="P34" s="6"/>
      <c r="Q34" s="6"/>
      <c r="R34" s="6"/>
      <c r="S34" s="43"/>
      <c r="T34" s="51"/>
      <c r="U34" s="8"/>
    </row>
    <row r="35" spans="1:21" x14ac:dyDescent="0.25">
      <c r="A35" s="7"/>
      <c r="B35" s="32"/>
      <c r="C35" s="7"/>
      <c r="D35" s="6"/>
      <c r="E35" s="6"/>
      <c r="F35" s="6"/>
      <c r="G35" s="6"/>
      <c r="H35" s="6"/>
      <c r="I35" s="6"/>
      <c r="J35" s="6"/>
      <c r="K35" s="31"/>
      <c r="L35" s="7"/>
      <c r="M35" s="7"/>
      <c r="N35" s="6"/>
      <c r="O35" s="6"/>
      <c r="P35" s="6"/>
      <c r="Q35" s="6"/>
      <c r="R35" s="6"/>
      <c r="S35" s="43"/>
      <c r="T35" s="51"/>
      <c r="U35" s="8"/>
    </row>
    <row r="36" spans="1:21" x14ac:dyDescent="0.25">
      <c r="A36" s="53" t="s">
        <v>16</v>
      </c>
      <c r="B36" s="54"/>
      <c r="C36" s="55"/>
      <c r="D36" s="55">
        <f>F5</f>
        <v>0</v>
      </c>
      <c r="E36" s="16"/>
      <c r="F36" s="16"/>
      <c r="G36" s="16"/>
      <c r="H36" s="16"/>
      <c r="I36" s="16"/>
      <c r="J36" s="16"/>
      <c r="K36" s="12"/>
      <c r="L36" s="53" t="s">
        <v>16</v>
      </c>
      <c r="M36" s="54"/>
      <c r="N36" s="22">
        <f>U5</f>
        <v>6394.18</v>
      </c>
      <c r="O36" s="6"/>
      <c r="P36" s="6"/>
      <c r="Q36" s="6"/>
      <c r="R36" s="6"/>
      <c r="S36" s="43"/>
      <c r="T36" s="32"/>
      <c r="U36" s="8"/>
    </row>
    <row r="37" spans="1:21" x14ac:dyDescent="0.25">
      <c r="A37" s="56" t="s">
        <v>17</v>
      </c>
      <c r="B37" s="57"/>
      <c r="C37" s="58"/>
      <c r="D37" s="71">
        <f>I33</f>
        <v>18729.87</v>
      </c>
      <c r="E37" s="16"/>
      <c r="F37" s="16"/>
      <c r="G37" s="16"/>
      <c r="H37" s="16"/>
      <c r="I37" s="16"/>
      <c r="J37" s="16"/>
      <c r="K37" s="12"/>
      <c r="L37" s="56" t="s">
        <v>18</v>
      </c>
      <c r="M37" s="57"/>
      <c r="N37" s="59"/>
      <c r="O37" s="6"/>
      <c r="P37" s="6"/>
      <c r="Q37" s="6"/>
      <c r="R37" s="6"/>
      <c r="S37" s="6"/>
      <c r="T37" s="8"/>
      <c r="U37" s="9"/>
    </row>
    <row r="38" spans="1:21" x14ac:dyDescent="0.25">
      <c r="A38" s="60" t="s">
        <v>19</v>
      </c>
      <c r="B38" s="60"/>
      <c r="C38" s="61"/>
      <c r="D38" s="84"/>
      <c r="E38" s="6"/>
      <c r="F38" s="6"/>
      <c r="G38" s="6"/>
      <c r="H38" s="6"/>
      <c r="I38" s="6"/>
      <c r="J38" s="6"/>
      <c r="K38" s="31"/>
      <c r="L38" s="60" t="s">
        <v>20</v>
      </c>
      <c r="M38" s="62"/>
      <c r="N38" s="120"/>
      <c r="O38" s="6"/>
      <c r="P38" s="6"/>
      <c r="Q38" s="6"/>
      <c r="R38" s="6"/>
      <c r="S38" s="6"/>
      <c r="T38" s="8"/>
      <c r="U38" s="9"/>
    </row>
    <row r="39" spans="1:21" x14ac:dyDescent="0.25">
      <c r="A39" s="60"/>
      <c r="B39" s="63"/>
      <c r="C39" s="61"/>
      <c r="D39" s="85"/>
      <c r="E39" s="6"/>
      <c r="F39" s="6"/>
      <c r="G39" s="6"/>
      <c r="H39" s="6"/>
      <c r="I39" s="6"/>
      <c r="J39" s="6"/>
      <c r="K39" s="31"/>
      <c r="L39" s="60" t="s">
        <v>84</v>
      </c>
      <c r="M39" s="62"/>
      <c r="N39" s="135">
        <v>447</v>
      </c>
      <c r="O39" s="6"/>
      <c r="P39" s="6"/>
      <c r="Q39" s="6"/>
      <c r="R39" s="6"/>
      <c r="S39" s="6"/>
      <c r="T39" s="8"/>
      <c r="U39" s="9"/>
    </row>
    <row r="40" spans="1:21" x14ac:dyDescent="0.25">
      <c r="A40" s="60"/>
      <c r="B40" s="64"/>
      <c r="C40" s="65"/>
      <c r="D40" s="84"/>
      <c r="E40" s="6"/>
      <c r="F40" s="6"/>
      <c r="G40" s="6"/>
      <c r="H40" s="6"/>
      <c r="I40" s="6"/>
      <c r="J40" s="6"/>
      <c r="K40" s="31"/>
      <c r="L40" s="60" t="s">
        <v>85</v>
      </c>
      <c r="M40" s="64"/>
      <c r="N40" s="135">
        <v>213</v>
      </c>
      <c r="O40" s="6"/>
      <c r="P40" s="6"/>
      <c r="Q40" s="7"/>
      <c r="R40" s="7"/>
      <c r="S40" s="7"/>
      <c r="T40" s="8"/>
      <c r="U40" s="9"/>
    </row>
    <row r="41" spans="1:21" x14ac:dyDescent="0.25">
      <c r="A41" s="60"/>
      <c r="B41" s="66"/>
      <c r="C41" s="67"/>
      <c r="D41" s="84"/>
      <c r="E41" s="6"/>
      <c r="F41" s="6"/>
      <c r="G41" s="6"/>
      <c r="H41" s="6"/>
      <c r="I41" s="6"/>
      <c r="J41" s="6"/>
      <c r="K41" s="31"/>
      <c r="L41" s="121" t="s">
        <v>86</v>
      </c>
      <c r="M41" s="121"/>
      <c r="N41" s="136">
        <v>107</v>
      </c>
      <c r="O41" s="6"/>
      <c r="P41" s="6"/>
      <c r="Q41" s="7"/>
      <c r="R41" s="7"/>
      <c r="S41" s="7"/>
      <c r="T41" s="8"/>
      <c r="U41" s="9"/>
    </row>
    <row r="42" spans="1:21" x14ac:dyDescent="0.25">
      <c r="A42" s="68"/>
      <c r="B42" s="64"/>
      <c r="C42" s="65"/>
      <c r="D42" s="86"/>
      <c r="E42" s="6"/>
      <c r="F42" s="6"/>
      <c r="G42" s="6"/>
      <c r="H42" s="6"/>
      <c r="I42" s="6"/>
      <c r="J42" s="6"/>
      <c r="K42" s="31"/>
      <c r="L42" s="60" t="s">
        <v>87</v>
      </c>
      <c r="M42" s="64"/>
      <c r="N42" s="135">
        <v>411</v>
      </c>
      <c r="O42" s="6"/>
      <c r="P42" s="6"/>
      <c r="Q42" s="7"/>
      <c r="R42" s="7"/>
      <c r="S42" s="7"/>
      <c r="T42" s="8"/>
      <c r="U42" s="9"/>
    </row>
    <row r="43" spans="1:21" x14ac:dyDescent="0.25">
      <c r="A43" s="68"/>
      <c r="B43" s="62"/>
      <c r="C43" s="63"/>
      <c r="D43" s="86"/>
      <c r="E43" s="6"/>
      <c r="F43" s="6"/>
      <c r="G43" s="6"/>
      <c r="H43" s="6"/>
      <c r="I43" s="6"/>
      <c r="J43" s="6"/>
      <c r="K43" s="31"/>
      <c r="L43" s="60" t="s">
        <v>88</v>
      </c>
      <c r="M43" s="64"/>
      <c r="N43" s="136">
        <v>304</v>
      </c>
      <c r="O43" s="6"/>
      <c r="P43" s="6"/>
      <c r="Q43" s="7"/>
      <c r="R43" s="7"/>
      <c r="S43" s="7"/>
      <c r="T43" s="8"/>
      <c r="U43" s="9"/>
    </row>
    <row r="44" spans="1:21" x14ac:dyDescent="0.25">
      <c r="A44" s="72"/>
      <c r="B44" s="73"/>
      <c r="C44" s="73"/>
      <c r="D44" s="122"/>
      <c r="E44" s="74"/>
      <c r="F44" s="74"/>
      <c r="G44" s="74"/>
      <c r="H44" s="74"/>
      <c r="I44" s="74"/>
      <c r="J44" s="74"/>
      <c r="K44" s="12"/>
      <c r="L44" s="73"/>
      <c r="M44" s="73"/>
      <c r="N44" s="73"/>
      <c r="O44" s="75"/>
      <c r="P44" s="75"/>
      <c r="Q44" s="75"/>
      <c r="R44" s="75"/>
      <c r="S44" s="75"/>
      <c r="T44" s="75"/>
      <c r="U44" s="75"/>
    </row>
    <row r="45" spans="1:21" x14ac:dyDescent="0.25">
      <c r="A45" s="72"/>
      <c r="B45" s="76"/>
      <c r="C45" s="76"/>
      <c r="D45" s="88"/>
      <c r="E45" s="75"/>
      <c r="F45" s="75"/>
      <c r="G45" s="75"/>
      <c r="H45" s="75"/>
      <c r="I45" s="75"/>
      <c r="J45" s="75"/>
      <c r="K45" s="12"/>
      <c r="L45" s="76"/>
      <c r="M45" s="76"/>
      <c r="N45" s="76"/>
      <c r="O45" s="75"/>
      <c r="P45" s="75"/>
      <c r="Q45" s="75"/>
      <c r="R45" s="75"/>
      <c r="S45" s="75"/>
      <c r="T45" s="75"/>
      <c r="U45" s="75"/>
    </row>
    <row r="46" spans="1:21" x14ac:dyDescent="0.25">
      <c r="A46" s="78" t="s">
        <v>15</v>
      </c>
      <c r="B46" s="79"/>
      <c r="C46" s="80"/>
      <c r="D46" s="89">
        <f>D36+D37</f>
        <v>18729.87</v>
      </c>
      <c r="E46" s="81"/>
      <c r="F46" s="81"/>
      <c r="G46" s="81"/>
      <c r="H46" s="81"/>
      <c r="I46" s="81"/>
      <c r="J46" s="81"/>
      <c r="K46" s="12"/>
      <c r="L46" s="79" t="s">
        <v>15</v>
      </c>
      <c r="M46" s="79"/>
      <c r="N46" s="80">
        <f>N36+N39+N40+N41+N42+N43</f>
        <v>7876.18</v>
      </c>
      <c r="O46" s="75"/>
      <c r="P46" s="75"/>
      <c r="Q46" s="75"/>
      <c r="R46" s="75"/>
      <c r="S46" s="75"/>
      <c r="T46" s="75"/>
      <c r="U46" s="75"/>
    </row>
    <row r="47" spans="1:21" x14ac:dyDescent="0.25">
      <c r="A47" s="82"/>
      <c r="B47" s="75"/>
      <c r="C47" s="75"/>
      <c r="D47" s="77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</row>
    <row r="48" spans="1:21" x14ac:dyDescent="0.25">
      <c r="A48" s="82"/>
      <c r="B48" s="75"/>
      <c r="C48" s="75"/>
      <c r="D48" s="77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</row>
    <row r="49" spans="1:21" x14ac:dyDescent="0.25">
      <c r="A49" s="82"/>
      <c r="B49" s="51"/>
      <c r="C49" s="7"/>
      <c r="D49" s="77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</row>
    <row r="50" spans="1:21" x14ac:dyDescent="0.25">
      <c r="A50" s="82"/>
      <c r="B50" s="15"/>
      <c r="C50" s="16"/>
      <c r="D50" s="77"/>
      <c r="E50" s="79"/>
      <c r="F50" s="79"/>
      <c r="G50" s="79"/>
      <c r="H50" s="79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</row>
    <row r="51" spans="1:21" x14ac:dyDescent="0.25">
      <c r="A51" s="82"/>
      <c r="B51" s="15"/>
      <c r="C51" s="16"/>
      <c r="D51" s="77"/>
      <c r="E51" s="79"/>
      <c r="F51" s="79"/>
      <c r="G51" s="79"/>
      <c r="H51" s="79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</row>
    <row r="52" spans="1:21" x14ac:dyDescent="0.25">
      <c r="A52" s="75"/>
      <c r="B52" s="113"/>
      <c r="C52" s="113"/>
      <c r="D52" s="75"/>
      <c r="E52" s="79"/>
      <c r="F52" s="79" t="s">
        <v>89</v>
      </c>
      <c r="G52" s="79"/>
      <c r="H52" s="80">
        <f>N46-D46</f>
        <v>-10853.689999999999</v>
      </c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</row>
    <row r="53" spans="1:21" x14ac:dyDescent="0.25">
      <c r="A53" s="75"/>
      <c r="B53" s="75"/>
      <c r="C53" s="75"/>
      <c r="D53" s="75"/>
      <c r="E53" s="79"/>
      <c r="F53" s="79"/>
      <c r="G53" s="79"/>
      <c r="H53" s="79"/>
      <c r="I53" s="137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</row>
    <row r="54" spans="1:21" x14ac:dyDescent="0.25">
      <c r="A54" s="75"/>
      <c r="B54" s="75"/>
      <c r="C54" s="75"/>
      <c r="D54" s="75"/>
      <c r="E54" s="79"/>
      <c r="F54" s="79"/>
      <c r="G54" s="79"/>
      <c r="H54" s="79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</row>
  </sheetData>
  <conditionalFormatting sqref="C1:C5">
    <cfRule type="cellIs" dxfId="299" priority="24" operator="equal">
      <formula>15698.2</formula>
    </cfRule>
    <cfRule type="cellIs" dxfId="298" priority="25" operator="equal">
      <formula>"kapalı"</formula>
    </cfRule>
  </conditionalFormatting>
  <conditionalFormatting sqref="C50:C51">
    <cfRule type="cellIs" dxfId="297" priority="9" operator="equal">
      <formula>15698.2</formula>
    </cfRule>
    <cfRule type="cellIs" dxfId="296" priority="10" operator="equal">
      <formula>"kapalı"</formula>
    </cfRule>
  </conditionalFormatting>
  <conditionalFormatting sqref="D6:D26">
    <cfRule type="cellIs" dxfId="295" priority="6" operator="equal">
      <formula>15698.2</formula>
    </cfRule>
    <cfRule type="cellIs" dxfId="294" priority="7" operator="equal">
      <formula>"kapalı"</formula>
    </cfRule>
  </conditionalFormatting>
  <conditionalFormatting sqref="E6:E28">
    <cfRule type="cellIs" dxfId="293" priority="1" operator="equal">
      <formula>"K.KART"</formula>
    </cfRule>
  </conditionalFormatting>
  <conditionalFormatting sqref="E6:F6 F7">
    <cfRule type="cellIs" dxfId="292" priority="2" operator="equal">
      <formula>"K.KART"</formula>
    </cfRule>
  </conditionalFormatting>
  <conditionalFormatting sqref="F8:F26 D27:F35 E36:F36 D37:F38 E39:F39 D40:F43">
    <cfRule type="cellIs" dxfId="291" priority="15" operator="equal">
      <formula>15698.2</formula>
    </cfRule>
    <cfRule type="cellIs" dxfId="290" priority="16" operator="equal">
      <formula>"kapalı"</formula>
    </cfRule>
  </conditionalFormatting>
  <conditionalFormatting sqref="G6:G23">
    <cfRule type="cellIs" dxfId="289" priority="8" operator="equal">
      <formula>"K.KART"</formula>
    </cfRule>
  </conditionalFormatting>
  <conditionalFormatting sqref="N36">
    <cfRule type="cellIs" dxfId="288" priority="11" operator="equal">
      <formula>"K.KART"</formula>
    </cfRule>
  </conditionalFormatting>
  <conditionalFormatting sqref="N4:O4">
    <cfRule type="cellIs" dxfId="287" priority="17" operator="equal">
      <formula>15698.2</formula>
    </cfRule>
    <cfRule type="cellIs" dxfId="286" priority="18" operator="equal">
      <formula>"kapalı"</formula>
    </cfRule>
  </conditionalFormatting>
  <conditionalFormatting sqref="N1:P3 N5:P5 N27:P35 O36:P43">
    <cfRule type="cellIs" dxfId="285" priority="27" operator="equal">
      <formula>15698.2</formula>
    </cfRule>
  </conditionalFormatting>
  <conditionalFormatting sqref="N1:P3 N5:P5">
    <cfRule type="cellIs" dxfId="284" priority="20" operator="equal">
      <formula>"KAPALI"</formula>
    </cfRule>
    <cfRule type="cellIs" dxfId="283" priority="21" operator="equal">
      <formula>"açık"</formula>
    </cfRule>
  </conditionalFormatting>
  <conditionalFormatting sqref="N27:P35 O36:P43">
    <cfRule type="cellIs" dxfId="282" priority="22" operator="equal">
      <formula>"KAPALI"</formula>
    </cfRule>
    <cfRule type="cellIs" dxfId="281" priority="23" operator="equal">
      <formula>"açık"</formula>
    </cfRule>
  </conditionalFormatting>
  <conditionalFormatting sqref="O6:P26">
    <cfRule type="cellIs" dxfId="280" priority="4" operator="equal">
      <formula>15698.2</formula>
    </cfRule>
    <cfRule type="cellIs" dxfId="279" priority="5" operator="equal">
      <formula>"kapalı"</formula>
    </cfRule>
  </conditionalFormatting>
  <conditionalFormatting sqref="P4:U4">
    <cfRule type="cellIs" dxfId="278" priority="19" operator="equal">
      <formula>"K.KART"</formula>
    </cfRule>
  </conditionalFormatting>
  <conditionalFormatting sqref="Q5:Q7">
    <cfRule type="cellIs" dxfId="277" priority="3" operator="equal">
      <formula>"K.KART"</formula>
    </cfRule>
  </conditionalFormatting>
  <conditionalFormatting sqref="Q8:Q10">
    <cfRule type="cellIs" dxfId="276" priority="13" operator="equal">
      <formula>15698.2</formula>
    </cfRule>
    <cfRule type="cellIs" dxfId="275" priority="14" operator="equal">
      <formula>"kapalı"</formula>
    </cfRule>
  </conditionalFormatting>
  <conditionalFormatting sqref="Q1:R3 D1:H5 G24:H28 G30:H43">
    <cfRule type="cellIs" dxfId="274" priority="26" operator="equal">
      <formula>"K.KART"</formula>
    </cfRule>
  </conditionalFormatting>
  <conditionalFormatting sqref="Q11:R43">
    <cfRule type="cellIs" dxfId="273" priority="28" operator="equal">
      <formula>"K.KART"</formula>
    </cfRule>
  </conditionalFormatting>
  <conditionalFormatting sqref="R5:R10">
    <cfRule type="cellIs" dxfId="272" priority="12" operator="equal">
      <formula>"K.KART"</formula>
    </cfRule>
  </conditionalFormatting>
  <pageMargins left="0.7" right="0.7" top="0.75" bottom="0.75" header="0.3" footer="0.3"/>
  <pageSetup paperSize="9" scale="56" fitToHeight="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EE694-BB1D-4493-94B4-7DAEF77C9F85}">
  <sheetPr>
    <pageSetUpPr fitToPage="1"/>
  </sheetPr>
  <dimension ref="A1:W62"/>
  <sheetViews>
    <sheetView topLeftCell="A22" workbookViewId="0">
      <selection activeCell="F33" sqref="F33"/>
    </sheetView>
  </sheetViews>
  <sheetFormatPr defaultRowHeight="15" x14ac:dyDescent="0.25"/>
  <cols>
    <col min="1" max="1" width="6.42578125" customWidth="1"/>
    <col min="2" max="2" width="19.7109375" customWidth="1"/>
    <col min="3" max="3" width="10.28515625" customWidth="1"/>
    <col min="4" max="4" width="12.85546875" customWidth="1"/>
    <col min="5" max="5" width="11.42578125" customWidth="1"/>
    <col min="7" max="7" width="14.140625" customWidth="1"/>
    <col min="8" max="8" width="13.5703125" customWidth="1"/>
    <col min="9" max="9" width="11.28515625" customWidth="1"/>
    <col min="10" max="10" width="11" customWidth="1"/>
    <col min="11" max="11" width="5.42578125" customWidth="1"/>
    <col min="12" max="12" width="2.140625" customWidth="1"/>
    <col min="13" max="13" width="16.140625" customWidth="1"/>
    <col min="14" max="14" width="10.140625" customWidth="1"/>
    <col min="15" max="15" width="10.5703125" customWidth="1"/>
    <col min="16" max="16" width="11" customWidth="1"/>
    <col min="19" max="19" width="10.42578125" customWidth="1"/>
    <col min="20" max="20" width="10.7109375" customWidth="1"/>
    <col min="21" max="21" width="10" customWidth="1"/>
    <col min="22" max="22" width="9.5703125" customWidth="1"/>
    <col min="23" max="23" width="5.42578125" customWidth="1"/>
  </cols>
  <sheetData>
    <row r="1" spans="1:23" x14ac:dyDescent="0.25">
      <c r="B1" s="1"/>
      <c r="C1" s="1"/>
      <c r="D1" s="2"/>
      <c r="E1" s="2"/>
      <c r="F1" s="2"/>
      <c r="G1" s="2"/>
      <c r="H1" s="2"/>
      <c r="I1" s="2"/>
      <c r="J1" s="2"/>
      <c r="K1" s="2"/>
      <c r="L1" s="3"/>
      <c r="M1" s="1"/>
      <c r="N1" s="1"/>
      <c r="O1" s="2"/>
      <c r="P1" s="2"/>
      <c r="Q1" s="2"/>
      <c r="R1" s="2"/>
      <c r="S1" s="2"/>
      <c r="T1" s="2"/>
      <c r="U1" s="4"/>
      <c r="V1" s="5"/>
    </row>
    <row r="2" spans="1:23" x14ac:dyDescent="0.25">
      <c r="A2" s="138"/>
      <c r="B2" s="10" t="s">
        <v>0</v>
      </c>
      <c r="C2" s="10"/>
      <c r="D2" s="11"/>
      <c r="E2" s="11"/>
      <c r="F2" s="11"/>
      <c r="G2" s="11"/>
      <c r="H2" s="11"/>
      <c r="I2" s="11"/>
      <c r="J2" s="11"/>
      <c r="K2" s="11"/>
      <c r="L2" s="12"/>
      <c r="M2" s="10" t="s">
        <v>1</v>
      </c>
      <c r="N2" s="10"/>
      <c r="O2" s="11"/>
      <c r="P2" s="11"/>
      <c r="Q2" s="11"/>
      <c r="R2" s="11"/>
      <c r="S2" s="11"/>
      <c r="T2" s="11"/>
      <c r="U2" s="13"/>
      <c r="V2" s="14"/>
      <c r="W2" s="11"/>
    </row>
    <row r="3" spans="1:23" x14ac:dyDescent="0.25">
      <c r="A3" s="139"/>
      <c r="B3" s="15" t="s">
        <v>90</v>
      </c>
      <c r="C3" s="15">
        <v>2025</v>
      </c>
      <c r="D3" s="16"/>
      <c r="E3" s="16"/>
      <c r="F3" s="16"/>
      <c r="G3" s="16"/>
      <c r="H3" s="16"/>
      <c r="I3" s="16"/>
      <c r="J3" s="16"/>
      <c r="K3" s="16"/>
      <c r="L3" s="12"/>
      <c r="M3" s="15" t="s">
        <v>90</v>
      </c>
      <c r="N3" s="15">
        <v>2025</v>
      </c>
      <c r="O3" s="16"/>
      <c r="P3" s="16"/>
      <c r="Q3" s="16"/>
      <c r="R3" s="16"/>
      <c r="S3" s="16"/>
      <c r="T3" s="16"/>
      <c r="U3" s="17"/>
      <c r="V3" s="18"/>
      <c r="W3" s="16"/>
    </row>
    <row r="4" spans="1:23" ht="24" x14ac:dyDescent="0.25">
      <c r="A4" s="139" t="s">
        <v>91</v>
      </c>
      <c r="B4" s="90" t="s">
        <v>2</v>
      </c>
      <c r="C4" s="90" t="s">
        <v>3</v>
      </c>
      <c r="D4" s="91" t="s">
        <v>4</v>
      </c>
      <c r="E4" s="91" t="s">
        <v>5</v>
      </c>
      <c r="F4" s="91" t="s">
        <v>6</v>
      </c>
      <c r="G4" s="91" t="s">
        <v>7</v>
      </c>
      <c r="H4" s="91" t="s">
        <v>8</v>
      </c>
      <c r="I4" s="92" t="s">
        <v>9</v>
      </c>
      <c r="J4" s="91" t="s">
        <v>10</v>
      </c>
      <c r="K4" s="91" t="s">
        <v>45</v>
      </c>
      <c r="L4" s="12"/>
      <c r="M4" s="90" t="s">
        <v>2</v>
      </c>
      <c r="N4" s="90" t="s">
        <v>3</v>
      </c>
      <c r="O4" s="91" t="s">
        <v>4</v>
      </c>
      <c r="P4" s="91" t="s">
        <v>11</v>
      </c>
      <c r="Q4" s="91" t="s">
        <v>5</v>
      </c>
      <c r="R4" s="91" t="s">
        <v>6</v>
      </c>
      <c r="S4" s="91" t="s">
        <v>7</v>
      </c>
      <c r="T4" s="91" t="s">
        <v>8</v>
      </c>
      <c r="U4" s="92" t="s">
        <v>12</v>
      </c>
      <c r="V4" s="92" t="s">
        <v>13</v>
      </c>
      <c r="W4" s="91" t="s">
        <v>45</v>
      </c>
    </row>
    <row r="5" spans="1:23" x14ac:dyDescent="0.25">
      <c r="A5" s="138"/>
      <c r="B5" s="20" t="s">
        <v>14</v>
      </c>
      <c r="C5" s="20"/>
      <c r="D5" s="21"/>
      <c r="E5" s="21"/>
      <c r="F5" s="21"/>
      <c r="G5" s="22">
        <v>10853.69</v>
      </c>
      <c r="H5" s="21"/>
      <c r="I5" s="23"/>
      <c r="J5" s="21"/>
      <c r="K5" s="21"/>
      <c r="L5" s="19"/>
      <c r="M5" s="24" t="s">
        <v>14</v>
      </c>
      <c r="N5" s="20"/>
      <c r="O5" s="21"/>
      <c r="P5" s="21"/>
      <c r="Q5" s="21"/>
      <c r="R5" s="21"/>
      <c r="S5" s="22"/>
      <c r="T5" s="21"/>
      <c r="U5" s="23"/>
      <c r="V5" s="25"/>
      <c r="W5" s="21"/>
    </row>
    <row r="6" spans="1:23" x14ac:dyDescent="0.25">
      <c r="A6" s="139">
        <v>1</v>
      </c>
      <c r="B6" s="26" t="s">
        <v>92</v>
      </c>
      <c r="C6" s="27">
        <v>45751</v>
      </c>
      <c r="D6" s="26">
        <v>560180818</v>
      </c>
      <c r="E6" s="28" t="s">
        <v>29</v>
      </c>
      <c r="F6" s="140" t="s">
        <v>25</v>
      </c>
      <c r="G6" s="16">
        <v>20553.150000000001</v>
      </c>
      <c r="H6" s="16">
        <v>19574.43</v>
      </c>
      <c r="I6" s="141">
        <v>2936.16</v>
      </c>
      <c r="J6" s="30">
        <f>I6*K6</f>
        <v>1468.08</v>
      </c>
      <c r="K6" s="117">
        <v>0.5</v>
      </c>
      <c r="L6" s="31"/>
      <c r="M6" s="26" t="s">
        <v>93</v>
      </c>
      <c r="N6" s="27">
        <v>45774</v>
      </c>
      <c r="O6" s="26">
        <v>61899957</v>
      </c>
      <c r="P6" s="28" t="s">
        <v>43</v>
      </c>
      <c r="Q6" s="83" t="s">
        <v>29</v>
      </c>
      <c r="R6" s="28" t="s">
        <v>25</v>
      </c>
      <c r="S6" s="6">
        <v>16939.75</v>
      </c>
      <c r="T6" s="6">
        <v>16133.09</v>
      </c>
      <c r="U6" s="29">
        <v>2419.9499999999998</v>
      </c>
      <c r="V6" s="30">
        <f>U6*W6</f>
        <v>1209.9749999999999</v>
      </c>
      <c r="W6" s="117">
        <v>0.5</v>
      </c>
    </row>
    <row r="7" spans="1:23" x14ac:dyDescent="0.25">
      <c r="A7" s="139">
        <v>2</v>
      </c>
      <c r="B7" s="26" t="s">
        <v>92</v>
      </c>
      <c r="C7" s="27">
        <v>45751</v>
      </c>
      <c r="D7" s="26">
        <v>560181725</v>
      </c>
      <c r="E7" s="28" t="s">
        <v>24</v>
      </c>
      <c r="F7" s="28" t="s">
        <v>25</v>
      </c>
      <c r="G7" s="16">
        <v>8023.07</v>
      </c>
      <c r="H7" s="16">
        <v>7163.44</v>
      </c>
      <c r="I7" s="142" t="s">
        <v>94</v>
      </c>
      <c r="J7" s="30">
        <v>358</v>
      </c>
      <c r="K7" s="117">
        <v>0.5</v>
      </c>
      <c r="L7" s="31"/>
      <c r="M7" s="130"/>
      <c r="N7" s="131"/>
      <c r="O7" s="132"/>
      <c r="P7" s="128"/>
      <c r="Q7" s="128"/>
      <c r="R7" s="126"/>
      <c r="S7" s="133"/>
      <c r="T7" s="128"/>
      <c r="U7" s="134"/>
      <c r="V7" s="30">
        <f t="shared" ref="V7:V12" si="0">U7*W7</f>
        <v>0</v>
      </c>
      <c r="W7" s="117">
        <v>0.5</v>
      </c>
    </row>
    <row r="8" spans="1:23" x14ac:dyDescent="0.25">
      <c r="A8" s="139">
        <v>3</v>
      </c>
      <c r="B8" s="26" t="s">
        <v>95</v>
      </c>
      <c r="C8" s="27">
        <v>45748</v>
      </c>
      <c r="D8" s="26">
        <v>558659284</v>
      </c>
      <c r="E8" s="28" t="s">
        <v>24</v>
      </c>
      <c r="F8" s="28" t="s">
        <v>25</v>
      </c>
      <c r="G8" s="16">
        <v>10925.55</v>
      </c>
      <c r="H8" s="16">
        <v>9923.5400000000009</v>
      </c>
      <c r="I8" s="142" t="s">
        <v>96</v>
      </c>
      <c r="J8" s="30">
        <v>496</v>
      </c>
      <c r="K8" s="117">
        <v>0.5</v>
      </c>
      <c r="L8" s="31"/>
      <c r="M8" s="130"/>
      <c r="N8" s="131"/>
      <c r="O8" s="130"/>
      <c r="P8" s="128"/>
      <c r="Q8" s="128"/>
      <c r="R8" s="128"/>
      <c r="S8" s="128"/>
      <c r="T8" s="128"/>
      <c r="U8" s="129"/>
      <c r="V8" s="30">
        <f t="shared" si="0"/>
        <v>0</v>
      </c>
      <c r="W8" s="117">
        <v>0.5</v>
      </c>
    </row>
    <row r="9" spans="1:23" x14ac:dyDescent="0.25">
      <c r="A9" s="139">
        <v>4</v>
      </c>
      <c r="B9" s="26" t="s">
        <v>31</v>
      </c>
      <c r="C9" s="27">
        <v>45750</v>
      </c>
      <c r="D9" s="26">
        <v>561197779</v>
      </c>
      <c r="E9" s="28" t="s">
        <v>32</v>
      </c>
      <c r="F9" s="28" t="s">
        <v>25</v>
      </c>
      <c r="G9" s="16">
        <v>5805.79</v>
      </c>
      <c r="H9" s="16">
        <v>5529.33</v>
      </c>
      <c r="I9" s="141">
        <v>829.35</v>
      </c>
      <c r="J9" s="30">
        <v>415</v>
      </c>
      <c r="K9" s="117">
        <v>0.5</v>
      </c>
      <c r="L9" s="31"/>
      <c r="M9" s="7"/>
      <c r="N9" s="32"/>
      <c r="O9" s="7"/>
      <c r="P9" s="6"/>
      <c r="Q9" s="6"/>
      <c r="R9" s="6"/>
      <c r="S9" s="6"/>
      <c r="T9" s="6"/>
      <c r="U9" s="33"/>
      <c r="V9" s="30">
        <f t="shared" si="0"/>
        <v>0</v>
      </c>
      <c r="W9" s="117">
        <v>0.5</v>
      </c>
    </row>
    <row r="10" spans="1:23" x14ac:dyDescent="0.25">
      <c r="A10" s="139">
        <v>5</v>
      </c>
      <c r="B10" s="26" t="s">
        <v>31</v>
      </c>
      <c r="C10" s="27">
        <v>45750</v>
      </c>
      <c r="D10" s="26">
        <v>561198780</v>
      </c>
      <c r="E10" s="28" t="s">
        <v>32</v>
      </c>
      <c r="F10" s="28" t="s">
        <v>25</v>
      </c>
      <c r="G10" s="16">
        <v>5055.18</v>
      </c>
      <c r="H10" s="16">
        <v>4814.46</v>
      </c>
      <c r="I10" s="141">
        <v>722.1</v>
      </c>
      <c r="J10" s="30">
        <v>361</v>
      </c>
      <c r="K10" s="117">
        <v>0.5</v>
      </c>
      <c r="L10" s="31"/>
      <c r="M10" s="7"/>
      <c r="N10" s="32"/>
      <c r="O10" s="7"/>
      <c r="P10" s="6"/>
      <c r="Q10" s="6"/>
      <c r="R10" s="6"/>
      <c r="S10" s="6"/>
      <c r="T10" s="6"/>
      <c r="U10" s="33"/>
      <c r="V10" s="30">
        <f t="shared" si="0"/>
        <v>0</v>
      </c>
      <c r="W10" s="117">
        <v>0.5</v>
      </c>
    </row>
    <row r="11" spans="1:23" x14ac:dyDescent="0.25">
      <c r="A11" s="139">
        <v>6</v>
      </c>
      <c r="B11" s="26" t="s">
        <v>31</v>
      </c>
      <c r="C11" s="27">
        <v>45750</v>
      </c>
      <c r="D11" s="26">
        <v>561195057</v>
      </c>
      <c r="E11" s="28" t="s">
        <v>32</v>
      </c>
      <c r="F11" s="28" t="s">
        <v>25</v>
      </c>
      <c r="G11" s="16">
        <v>6453.68</v>
      </c>
      <c r="H11" s="16">
        <v>6146.36</v>
      </c>
      <c r="I11" s="141">
        <v>921.9</v>
      </c>
      <c r="J11" s="30">
        <v>460.5</v>
      </c>
      <c r="K11" s="117">
        <v>0.5</v>
      </c>
      <c r="L11" s="31"/>
      <c r="M11" s="7"/>
      <c r="N11" s="7"/>
      <c r="O11" s="7"/>
      <c r="P11" s="6"/>
      <c r="Q11" s="6"/>
      <c r="R11" s="6"/>
      <c r="S11" s="6"/>
      <c r="T11" s="6"/>
      <c r="U11" s="33"/>
      <c r="V11" s="30">
        <f t="shared" si="0"/>
        <v>0</v>
      </c>
      <c r="W11" s="117">
        <v>0.5</v>
      </c>
    </row>
    <row r="12" spans="1:23" x14ac:dyDescent="0.25">
      <c r="A12" s="139">
        <v>7</v>
      </c>
      <c r="B12" s="26" t="s">
        <v>97</v>
      </c>
      <c r="C12" s="27">
        <v>45754</v>
      </c>
      <c r="D12" s="26">
        <v>561844581</v>
      </c>
      <c r="E12" s="28" t="s">
        <v>24</v>
      </c>
      <c r="F12" s="28" t="s">
        <v>25</v>
      </c>
      <c r="G12" s="16">
        <v>18210.18</v>
      </c>
      <c r="H12" s="16">
        <v>16540.099999999999</v>
      </c>
      <c r="I12" s="142" t="s">
        <v>98</v>
      </c>
      <c r="J12" s="30">
        <v>827</v>
      </c>
      <c r="K12" s="117">
        <v>0.5</v>
      </c>
      <c r="L12" s="31"/>
      <c r="M12" s="7"/>
      <c r="N12" s="7"/>
      <c r="O12" s="7"/>
      <c r="P12" s="6"/>
      <c r="Q12" s="6"/>
      <c r="R12" s="16"/>
      <c r="S12" s="16"/>
      <c r="T12" s="16"/>
      <c r="U12" s="40"/>
      <c r="V12" s="30">
        <f t="shared" si="0"/>
        <v>0</v>
      </c>
      <c r="W12" s="117">
        <v>0.5</v>
      </c>
    </row>
    <row r="13" spans="1:23" x14ac:dyDescent="0.25">
      <c r="A13" s="139">
        <v>8</v>
      </c>
      <c r="B13" s="26" t="s">
        <v>99</v>
      </c>
      <c r="C13" s="27">
        <v>45754</v>
      </c>
      <c r="D13" s="26">
        <v>561876023</v>
      </c>
      <c r="E13" s="28" t="s">
        <v>24</v>
      </c>
      <c r="F13" s="28" t="s">
        <v>25</v>
      </c>
      <c r="G13" s="16">
        <v>14736.13</v>
      </c>
      <c r="H13" s="16">
        <v>13271.67</v>
      </c>
      <c r="I13" s="142" t="s">
        <v>100</v>
      </c>
      <c r="J13" s="30">
        <v>663.5</v>
      </c>
      <c r="K13" s="117">
        <v>0.5</v>
      </c>
      <c r="L13" s="31"/>
      <c r="M13" s="7"/>
      <c r="N13" s="7"/>
      <c r="O13" s="7"/>
      <c r="P13" s="6"/>
      <c r="Q13" s="6"/>
      <c r="R13" s="16" t="s">
        <v>15</v>
      </c>
      <c r="S13" s="16">
        <f>S6+S7+S8+S9+S10</f>
        <v>16939.75</v>
      </c>
      <c r="T13" s="16">
        <f>T6+T7+T8+T9+T10</f>
        <v>16133.09</v>
      </c>
      <c r="U13" s="17">
        <f>U6+U7+U8+U10+U9</f>
        <v>2419.9499999999998</v>
      </c>
      <c r="V13" s="41">
        <f>V6+V7+V8+V9+V10+V5</f>
        <v>1209.9749999999999</v>
      </c>
      <c r="W13" s="117">
        <v>0.5</v>
      </c>
    </row>
    <row r="14" spans="1:23" x14ac:dyDescent="0.25">
      <c r="A14" s="139">
        <v>9</v>
      </c>
      <c r="B14" s="26" t="s">
        <v>101</v>
      </c>
      <c r="C14" s="27">
        <v>45755</v>
      </c>
      <c r="D14" s="26">
        <v>562123907</v>
      </c>
      <c r="E14" s="28" t="s">
        <v>24</v>
      </c>
      <c r="F14" s="28" t="s">
        <v>25</v>
      </c>
      <c r="G14" s="16">
        <v>11968.06</v>
      </c>
      <c r="H14" s="16">
        <v>10685.76</v>
      </c>
      <c r="I14" s="142" t="s">
        <v>102</v>
      </c>
      <c r="J14" s="30">
        <v>534.5</v>
      </c>
      <c r="K14" s="117">
        <v>0.5</v>
      </c>
      <c r="L14" s="31"/>
      <c r="M14" s="7"/>
      <c r="N14" s="7"/>
      <c r="O14" s="7"/>
      <c r="P14" s="6"/>
      <c r="Q14" s="6"/>
      <c r="R14" s="16"/>
      <c r="S14" s="16"/>
      <c r="T14" s="16"/>
      <c r="U14" s="17"/>
      <c r="V14" s="42"/>
      <c r="W14" s="117">
        <v>0.5</v>
      </c>
    </row>
    <row r="15" spans="1:23" x14ac:dyDescent="0.25">
      <c r="A15" s="139">
        <v>10</v>
      </c>
      <c r="B15" s="26" t="s">
        <v>101</v>
      </c>
      <c r="C15" s="27">
        <v>45755</v>
      </c>
      <c r="D15" s="26">
        <v>562018180</v>
      </c>
      <c r="E15" s="28" t="s">
        <v>29</v>
      </c>
      <c r="F15" s="28" t="s">
        <v>25</v>
      </c>
      <c r="G15" s="16">
        <v>15188.44</v>
      </c>
      <c r="H15" s="16">
        <v>14465.17</v>
      </c>
      <c r="I15" s="142" t="s">
        <v>103</v>
      </c>
      <c r="J15" s="30">
        <v>1085</v>
      </c>
      <c r="K15" s="117">
        <v>0.5</v>
      </c>
      <c r="L15" s="31"/>
      <c r="M15" s="7"/>
      <c r="N15" s="7"/>
      <c r="O15" s="7"/>
      <c r="P15" s="6"/>
      <c r="Q15" s="6"/>
      <c r="R15" s="16"/>
      <c r="S15" s="16"/>
      <c r="T15" s="16"/>
      <c r="U15" s="17"/>
      <c r="V15" s="18"/>
      <c r="W15" s="117">
        <v>0.5</v>
      </c>
    </row>
    <row r="16" spans="1:23" x14ac:dyDescent="0.25">
      <c r="A16" s="139">
        <v>11</v>
      </c>
      <c r="B16" s="26" t="s">
        <v>104</v>
      </c>
      <c r="C16" s="27">
        <v>45755</v>
      </c>
      <c r="D16" s="26">
        <v>561428525</v>
      </c>
      <c r="E16" s="28" t="s">
        <v>24</v>
      </c>
      <c r="F16" s="28" t="s">
        <v>25</v>
      </c>
      <c r="G16" s="16">
        <v>13488.83</v>
      </c>
      <c r="H16" s="16">
        <v>12204.19</v>
      </c>
      <c r="I16" s="142" t="s">
        <v>105</v>
      </c>
      <c r="J16" s="30">
        <v>610</v>
      </c>
      <c r="K16" s="117">
        <v>0.5</v>
      </c>
      <c r="L16" s="31"/>
      <c r="M16" s="7"/>
      <c r="N16" s="7"/>
      <c r="O16" s="7"/>
      <c r="P16" s="6"/>
      <c r="Q16" s="6"/>
      <c r="R16" s="6"/>
      <c r="S16" s="6"/>
      <c r="T16" s="6"/>
      <c r="U16" s="8"/>
      <c r="V16" s="9"/>
      <c r="W16" s="117">
        <v>0.5</v>
      </c>
    </row>
    <row r="17" spans="1:23" x14ac:dyDescent="0.25">
      <c r="A17" s="139">
        <v>12</v>
      </c>
      <c r="B17" s="26" t="s">
        <v>31</v>
      </c>
      <c r="C17" s="27">
        <v>45753</v>
      </c>
      <c r="D17" s="26">
        <v>562298305</v>
      </c>
      <c r="E17" s="28" t="s">
        <v>32</v>
      </c>
      <c r="F17" s="28" t="s">
        <v>25</v>
      </c>
      <c r="G17" s="16">
        <v>248.76</v>
      </c>
      <c r="H17" s="16">
        <v>236.91</v>
      </c>
      <c r="I17" s="141">
        <v>35.4</v>
      </c>
      <c r="J17" s="30">
        <v>17.5</v>
      </c>
      <c r="K17" s="117">
        <v>0.5</v>
      </c>
      <c r="L17" s="31"/>
      <c r="M17" s="7"/>
      <c r="N17" s="7"/>
      <c r="O17" s="7"/>
      <c r="P17" s="6"/>
      <c r="Q17" s="6"/>
      <c r="R17" s="6"/>
      <c r="S17" s="6"/>
      <c r="T17" s="6"/>
      <c r="U17" s="8"/>
      <c r="V17" s="9"/>
      <c r="W17" s="117">
        <v>0.5</v>
      </c>
    </row>
    <row r="18" spans="1:23" x14ac:dyDescent="0.25">
      <c r="A18" s="139">
        <v>13</v>
      </c>
      <c r="B18" s="26" t="s">
        <v>31</v>
      </c>
      <c r="C18" s="27">
        <v>45754</v>
      </c>
      <c r="D18" s="26">
        <v>562296133</v>
      </c>
      <c r="E18" s="28" t="s">
        <v>32</v>
      </c>
      <c r="F18" s="28" t="s">
        <v>25</v>
      </c>
      <c r="G18" s="16">
        <v>2646.54</v>
      </c>
      <c r="H18" s="16">
        <v>2520.5100000000002</v>
      </c>
      <c r="I18" s="141">
        <v>378</v>
      </c>
      <c r="J18" s="30">
        <v>189</v>
      </c>
      <c r="K18" s="117">
        <v>0.5</v>
      </c>
      <c r="L18" s="31"/>
      <c r="M18" s="7"/>
      <c r="N18" s="7"/>
      <c r="O18" s="7"/>
      <c r="P18" s="6"/>
      <c r="Q18" s="6"/>
      <c r="R18" s="6"/>
      <c r="S18" s="6"/>
      <c r="T18" s="6"/>
      <c r="U18" s="8"/>
      <c r="V18" s="9"/>
      <c r="W18" s="117">
        <v>0.5</v>
      </c>
    </row>
    <row r="19" spans="1:23" x14ac:dyDescent="0.25">
      <c r="A19" s="139">
        <v>14</v>
      </c>
      <c r="B19" s="26" t="s">
        <v>31</v>
      </c>
      <c r="C19" s="27">
        <v>45749</v>
      </c>
      <c r="D19" s="26">
        <v>562890110</v>
      </c>
      <c r="E19" s="28" t="s">
        <v>32</v>
      </c>
      <c r="F19" s="28" t="s">
        <v>25</v>
      </c>
      <c r="G19" s="16">
        <v>474.02</v>
      </c>
      <c r="H19" s="16">
        <v>451.45</v>
      </c>
      <c r="I19" s="141">
        <v>67.650000000000006</v>
      </c>
      <c r="J19" s="30">
        <v>33.5</v>
      </c>
      <c r="K19" s="117">
        <v>0.5</v>
      </c>
      <c r="L19" s="31"/>
      <c r="M19" s="7"/>
      <c r="N19" s="7"/>
      <c r="O19" s="7"/>
      <c r="P19" s="6"/>
      <c r="Q19" s="6"/>
      <c r="R19" s="6"/>
      <c r="S19" s="6"/>
      <c r="T19" s="6"/>
      <c r="U19" s="8"/>
      <c r="V19" s="9"/>
      <c r="W19" s="117">
        <v>0.5</v>
      </c>
    </row>
    <row r="20" spans="1:23" x14ac:dyDescent="0.25">
      <c r="A20" s="139">
        <v>15</v>
      </c>
      <c r="B20" s="26" t="s">
        <v>106</v>
      </c>
      <c r="C20" s="27">
        <v>45757</v>
      </c>
      <c r="D20" s="26">
        <v>561688011</v>
      </c>
      <c r="E20" s="28" t="s">
        <v>24</v>
      </c>
      <c r="F20" s="140" t="s">
        <v>107</v>
      </c>
      <c r="G20" s="16">
        <v>16223.23</v>
      </c>
      <c r="H20" s="16">
        <v>14610.96</v>
      </c>
      <c r="I20" s="142" t="s">
        <v>108</v>
      </c>
      <c r="J20" s="30">
        <v>730.5</v>
      </c>
      <c r="K20" s="117">
        <v>0.5</v>
      </c>
      <c r="L20" s="31"/>
      <c r="M20" s="7"/>
      <c r="N20" s="7"/>
      <c r="O20" s="7"/>
      <c r="P20" s="6"/>
      <c r="Q20" s="6"/>
      <c r="R20" s="6"/>
      <c r="S20" s="6"/>
      <c r="T20" s="6"/>
      <c r="U20" s="8"/>
      <c r="V20" s="9"/>
      <c r="W20" s="117">
        <v>0.5</v>
      </c>
    </row>
    <row r="21" spans="1:23" x14ac:dyDescent="0.25">
      <c r="A21" s="139">
        <v>16</v>
      </c>
      <c r="B21" s="26" t="s">
        <v>109</v>
      </c>
      <c r="C21" s="27">
        <v>45759</v>
      </c>
      <c r="D21" s="26">
        <v>562574222</v>
      </c>
      <c r="E21" s="28" t="s">
        <v>24</v>
      </c>
      <c r="F21" s="28" t="s">
        <v>25</v>
      </c>
      <c r="G21" s="16">
        <v>10616.43</v>
      </c>
      <c r="H21" s="16">
        <v>9642.7800000000007</v>
      </c>
      <c r="I21" s="142" t="s">
        <v>110</v>
      </c>
      <c r="J21" s="30">
        <v>482</v>
      </c>
      <c r="K21" s="117">
        <v>0.5</v>
      </c>
      <c r="L21" s="31"/>
      <c r="M21" s="43"/>
      <c r="N21" s="32"/>
      <c r="O21" s="7"/>
      <c r="P21" s="6"/>
      <c r="Q21" s="6"/>
      <c r="R21" s="6"/>
      <c r="S21" s="6"/>
      <c r="T21" s="6"/>
      <c r="U21" s="8"/>
      <c r="V21" s="9"/>
      <c r="W21" s="117">
        <v>0.5</v>
      </c>
    </row>
    <row r="22" spans="1:23" x14ac:dyDescent="0.25">
      <c r="A22" s="139">
        <v>17</v>
      </c>
      <c r="B22" s="26" t="s">
        <v>111</v>
      </c>
      <c r="C22" s="27">
        <v>45759</v>
      </c>
      <c r="D22" s="26">
        <v>562240934</v>
      </c>
      <c r="E22" s="28" t="s">
        <v>66</v>
      </c>
      <c r="F22" s="140" t="s">
        <v>25</v>
      </c>
      <c r="G22" s="16">
        <v>5130.75</v>
      </c>
      <c r="H22" s="16">
        <v>4872.51</v>
      </c>
      <c r="I22" s="141">
        <v>730.8</v>
      </c>
      <c r="J22" s="30">
        <v>365</v>
      </c>
      <c r="K22" s="117">
        <v>0.5</v>
      </c>
      <c r="L22" s="31"/>
      <c r="M22" s="43"/>
      <c r="N22" s="32"/>
      <c r="O22" s="7"/>
      <c r="P22" s="6"/>
      <c r="Q22" s="6"/>
      <c r="R22" s="6"/>
      <c r="S22" s="6"/>
      <c r="T22" s="6"/>
      <c r="U22" s="8"/>
      <c r="V22" s="9"/>
      <c r="W22" s="117">
        <v>0.5</v>
      </c>
    </row>
    <row r="23" spans="1:23" x14ac:dyDescent="0.25">
      <c r="A23" s="139">
        <v>18</v>
      </c>
      <c r="B23" s="26" t="s">
        <v>112</v>
      </c>
      <c r="C23" s="27">
        <v>45758</v>
      </c>
      <c r="D23" s="26">
        <v>563108069</v>
      </c>
      <c r="E23" s="28" t="s">
        <v>24</v>
      </c>
      <c r="F23" s="28" t="s">
        <v>25</v>
      </c>
      <c r="G23" s="16">
        <v>17535.75</v>
      </c>
      <c r="H23" s="16">
        <v>15897.78</v>
      </c>
      <c r="I23" s="142" t="s">
        <v>113</v>
      </c>
      <c r="J23" s="30">
        <v>794.5</v>
      </c>
      <c r="K23" s="117">
        <v>0.5</v>
      </c>
      <c r="L23" s="44"/>
      <c r="M23" s="43"/>
      <c r="N23" s="43"/>
      <c r="O23" s="7"/>
      <c r="P23" s="6"/>
      <c r="Q23" s="6"/>
      <c r="R23" s="6"/>
      <c r="S23" s="6"/>
      <c r="T23" s="6"/>
      <c r="U23" s="8"/>
      <c r="V23" s="9"/>
      <c r="W23" s="117">
        <v>0.5</v>
      </c>
    </row>
    <row r="24" spans="1:23" x14ac:dyDescent="0.25">
      <c r="A24" s="139">
        <v>19</v>
      </c>
      <c r="B24" s="26" t="s">
        <v>114</v>
      </c>
      <c r="C24" s="27">
        <v>45761</v>
      </c>
      <c r="D24" s="26">
        <v>563677840</v>
      </c>
      <c r="E24" s="28" t="s">
        <v>24</v>
      </c>
      <c r="F24" s="28" t="s">
        <v>25</v>
      </c>
      <c r="G24" s="16">
        <v>18210.18</v>
      </c>
      <c r="H24" s="16">
        <v>16540.099999999999</v>
      </c>
      <c r="I24" s="143" t="s">
        <v>115</v>
      </c>
      <c r="J24" s="30">
        <v>827</v>
      </c>
      <c r="K24" s="117">
        <v>0.5</v>
      </c>
      <c r="L24" s="31"/>
      <c r="M24" s="43"/>
      <c r="N24" s="7"/>
      <c r="O24" s="7"/>
      <c r="P24" s="6"/>
      <c r="Q24" s="6"/>
      <c r="R24" s="6"/>
      <c r="S24" s="6"/>
      <c r="T24" s="6"/>
      <c r="U24" s="8"/>
      <c r="V24" s="9"/>
      <c r="W24" s="117">
        <v>0.5</v>
      </c>
    </row>
    <row r="25" spans="1:23" x14ac:dyDescent="0.25">
      <c r="A25" s="139">
        <v>20</v>
      </c>
      <c r="B25" s="26" t="s">
        <v>116</v>
      </c>
      <c r="C25" s="27">
        <v>45761</v>
      </c>
      <c r="D25" s="26">
        <v>563712570</v>
      </c>
      <c r="E25" s="28" t="s">
        <v>24</v>
      </c>
      <c r="F25" s="28" t="s">
        <v>25</v>
      </c>
      <c r="G25" s="16">
        <v>21559.59</v>
      </c>
      <c r="H25" s="16">
        <v>19582.349999999999</v>
      </c>
      <c r="I25" s="143" t="s">
        <v>117</v>
      </c>
      <c r="J25" s="30">
        <v>979.12</v>
      </c>
      <c r="K25" s="117">
        <v>0.5</v>
      </c>
      <c r="L25" s="31"/>
      <c r="M25" s="7"/>
      <c r="N25" s="7"/>
      <c r="O25" s="7"/>
      <c r="P25" s="6"/>
      <c r="Q25" s="6"/>
      <c r="R25" s="6"/>
      <c r="S25" s="6"/>
      <c r="T25" s="6"/>
      <c r="U25" s="8"/>
      <c r="V25" s="9"/>
      <c r="W25" s="117">
        <v>0.5</v>
      </c>
    </row>
    <row r="26" spans="1:23" x14ac:dyDescent="0.25">
      <c r="A26" s="139">
        <v>21</v>
      </c>
      <c r="B26" s="26" t="s">
        <v>118</v>
      </c>
      <c r="C26" s="27">
        <v>45765</v>
      </c>
      <c r="D26" s="26">
        <v>564181557</v>
      </c>
      <c r="E26" s="28" t="s">
        <v>24</v>
      </c>
      <c r="F26" s="28" t="s">
        <v>25</v>
      </c>
      <c r="G26" s="16">
        <v>15103.27</v>
      </c>
      <c r="H26" s="144">
        <v>13634.87</v>
      </c>
      <c r="I26" s="145">
        <v>1363.48</v>
      </c>
      <c r="J26" s="30">
        <f>I26*K26</f>
        <v>681.74</v>
      </c>
      <c r="K26" s="117">
        <v>0.5</v>
      </c>
      <c r="L26" s="31"/>
      <c r="M26" s="7"/>
      <c r="N26" s="7"/>
      <c r="O26" s="7"/>
      <c r="P26" s="6"/>
      <c r="Q26" s="6"/>
      <c r="R26" s="6"/>
      <c r="S26" s="6"/>
      <c r="T26" s="6"/>
      <c r="U26" s="8"/>
      <c r="V26" s="9"/>
      <c r="W26" s="117">
        <v>0.5</v>
      </c>
    </row>
    <row r="27" spans="1:23" x14ac:dyDescent="0.25">
      <c r="A27" s="139">
        <v>22</v>
      </c>
      <c r="B27" s="26" t="s">
        <v>119</v>
      </c>
      <c r="C27" s="27">
        <v>45768</v>
      </c>
      <c r="D27" s="26">
        <v>564881320</v>
      </c>
      <c r="E27" s="28" t="s">
        <v>24</v>
      </c>
      <c r="F27" s="28" t="s">
        <v>25</v>
      </c>
      <c r="G27" s="146">
        <v>10689.03</v>
      </c>
      <c r="H27" s="147">
        <v>9725.57</v>
      </c>
      <c r="I27" s="148">
        <v>972.56</v>
      </c>
      <c r="J27" s="30">
        <f t="shared" ref="J27:J42" si="1">I27*K27</f>
        <v>486.28</v>
      </c>
      <c r="K27" s="117">
        <v>0.5</v>
      </c>
      <c r="L27" s="31"/>
      <c r="M27" s="7"/>
      <c r="N27" s="7"/>
      <c r="O27" s="6"/>
      <c r="P27" s="6"/>
      <c r="Q27" s="6"/>
      <c r="R27" s="6"/>
      <c r="S27" s="6"/>
      <c r="T27" s="6"/>
      <c r="U27" s="8"/>
      <c r="V27" s="9"/>
      <c r="W27" s="117">
        <v>0.5</v>
      </c>
    </row>
    <row r="28" spans="1:23" x14ac:dyDescent="0.25">
      <c r="A28" s="139">
        <v>23</v>
      </c>
      <c r="B28" s="26" t="s">
        <v>120</v>
      </c>
      <c r="C28" s="27">
        <v>45766</v>
      </c>
      <c r="D28" s="26">
        <v>564791525</v>
      </c>
      <c r="E28" s="28" t="s">
        <v>29</v>
      </c>
      <c r="F28" s="28" t="s">
        <v>25</v>
      </c>
      <c r="G28" s="146">
        <v>22646.23</v>
      </c>
      <c r="H28" s="147">
        <v>21567.83</v>
      </c>
      <c r="I28" s="149">
        <v>3235.18</v>
      </c>
      <c r="J28" s="30">
        <f t="shared" si="1"/>
        <v>1617.59</v>
      </c>
      <c r="K28" s="117">
        <v>0.5</v>
      </c>
      <c r="L28" s="31"/>
      <c r="M28" s="7"/>
      <c r="N28" s="7"/>
      <c r="O28" s="6"/>
      <c r="P28" s="6"/>
      <c r="Q28" s="6"/>
      <c r="R28" s="6"/>
      <c r="S28" s="6"/>
      <c r="T28" s="6"/>
      <c r="U28" s="8"/>
      <c r="V28" s="9"/>
      <c r="W28" s="117">
        <v>0.5</v>
      </c>
    </row>
    <row r="29" spans="1:23" x14ac:dyDescent="0.25">
      <c r="A29" s="139">
        <v>24</v>
      </c>
      <c r="B29" s="26" t="s">
        <v>120</v>
      </c>
      <c r="C29" s="27">
        <v>45771</v>
      </c>
      <c r="D29" s="26">
        <v>565232341</v>
      </c>
      <c r="E29" s="28" t="s">
        <v>24</v>
      </c>
      <c r="F29" s="28" t="s">
        <v>25</v>
      </c>
      <c r="G29" s="146">
        <v>8093</v>
      </c>
      <c r="H29" s="150">
        <v>7225.88</v>
      </c>
      <c r="I29" s="151">
        <v>722.59</v>
      </c>
      <c r="J29" s="30">
        <f t="shared" si="1"/>
        <v>361.29500000000002</v>
      </c>
      <c r="K29" s="117">
        <v>0.5</v>
      </c>
      <c r="L29" s="31"/>
      <c r="M29" s="7"/>
      <c r="N29" s="7"/>
      <c r="O29" s="6"/>
      <c r="P29" s="6"/>
      <c r="Q29" s="6"/>
      <c r="R29" s="6"/>
      <c r="S29" s="6"/>
      <c r="T29" s="6"/>
      <c r="U29" s="8"/>
      <c r="V29" s="9"/>
      <c r="W29" s="117">
        <v>0.5</v>
      </c>
    </row>
    <row r="30" spans="1:23" x14ac:dyDescent="0.25">
      <c r="A30" s="139">
        <v>25</v>
      </c>
      <c r="B30" s="7" t="s">
        <v>121</v>
      </c>
      <c r="C30" s="152">
        <v>45764</v>
      </c>
      <c r="D30" s="15">
        <v>564776333</v>
      </c>
      <c r="E30" s="16" t="s">
        <v>24</v>
      </c>
      <c r="F30" s="28" t="s">
        <v>25</v>
      </c>
      <c r="G30" s="146">
        <v>18210.18</v>
      </c>
      <c r="H30" s="147">
        <v>16540.099999999999</v>
      </c>
      <c r="I30" s="17">
        <v>1654.02</v>
      </c>
      <c r="J30" s="30">
        <f t="shared" si="1"/>
        <v>827.01</v>
      </c>
      <c r="K30" s="117">
        <v>0.5</v>
      </c>
      <c r="L30" s="31"/>
      <c r="M30" s="7"/>
      <c r="N30" s="7"/>
      <c r="O30" s="6"/>
      <c r="P30" s="6"/>
      <c r="Q30" s="6"/>
      <c r="R30" s="6"/>
      <c r="S30" s="6"/>
      <c r="T30" s="6"/>
      <c r="U30" s="8"/>
      <c r="V30" s="9"/>
      <c r="W30" s="117">
        <v>0.5</v>
      </c>
    </row>
    <row r="31" spans="1:23" x14ac:dyDescent="0.25">
      <c r="A31" s="139">
        <v>26</v>
      </c>
      <c r="B31" s="15" t="s">
        <v>69</v>
      </c>
      <c r="C31" s="152">
        <v>45769</v>
      </c>
      <c r="D31" s="15">
        <v>565123680</v>
      </c>
      <c r="E31" s="16" t="s">
        <v>24</v>
      </c>
      <c r="F31" s="28" t="s">
        <v>25</v>
      </c>
      <c r="G31" s="146">
        <v>13839.61</v>
      </c>
      <c r="H31" s="146">
        <v>12494.08</v>
      </c>
      <c r="I31" s="17">
        <v>1249.4100000000001</v>
      </c>
      <c r="J31" s="30">
        <f t="shared" si="1"/>
        <v>624.70500000000004</v>
      </c>
      <c r="K31" s="117">
        <v>0.5</v>
      </c>
      <c r="L31" s="31"/>
      <c r="M31" s="7"/>
      <c r="N31" s="7"/>
      <c r="O31" s="6"/>
      <c r="P31" s="6"/>
      <c r="Q31" s="6"/>
      <c r="R31" s="6"/>
      <c r="S31" s="6"/>
      <c r="T31" s="6"/>
      <c r="U31" s="8"/>
      <c r="V31" s="9"/>
      <c r="W31" s="117">
        <v>0.5</v>
      </c>
    </row>
    <row r="32" spans="1:23" x14ac:dyDescent="0.25">
      <c r="A32" s="139">
        <v>27</v>
      </c>
      <c r="B32" s="15" t="s">
        <v>122</v>
      </c>
      <c r="C32" s="152">
        <v>45769</v>
      </c>
      <c r="D32" s="15">
        <v>556936084</v>
      </c>
      <c r="E32" s="16" t="s">
        <v>123</v>
      </c>
      <c r="F32" s="28" t="s">
        <v>25</v>
      </c>
      <c r="G32" s="146">
        <v>23099.47</v>
      </c>
      <c r="H32" s="146">
        <v>21969.22</v>
      </c>
      <c r="I32" s="17">
        <v>3295</v>
      </c>
      <c r="J32" s="30">
        <f t="shared" si="1"/>
        <v>1647.5</v>
      </c>
      <c r="K32" s="117">
        <v>0.5</v>
      </c>
      <c r="L32" s="31"/>
      <c r="M32" s="7"/>
      <c r="N32" s="7"/>
      <c r="O32" s="6"/>
      <c r="P32" s="6"/>
      <c r="Q32" s="6"/>
      <c r="R32" s="6"/>
      <c r="S32" s="6"/>
      <c r="T32" s="6"/>
      <c r="U32" s="8"/>
      <c r="V32" s="9"/>
      <c r="W32" s="117"/>
    </row>
    <row r="33" spans="1:23" x14ac:dyDescent="0.25">
      <c r="A33" s="139">
        <v>28</v>
      </c>
      <c r="B33" s="15" t="s">
        <v>124</v>
      </c>
      <c r="C33" s="32">
        <v>45771</v>
      </c>
      <c r="D33" s="7">
        <v>565491948</v>
      </c>
      <c r="E33" s="6" t="s">
        <v>24</v>
      </c>
      <c r="F33" s="140" t="s">
        <v>107</v>
      </c>
      <c r="G33" s="16">
        <v>12996.48</v>
      </c>
      <c r="H33" s="16">
        <v>11804.56</v>
      </c>
      <c r="I33" s="17">
        <v>1180.46</v>
      </c>
      <c r="J33" s="30">
        <f t="shared" si="1"/>
        <v>590.23</v>
      </c>
      <c r="K33" s="117">
        <v>0.5</v>
      </c>
      <c r="L33" s="31"/>
      <c r="M33" s="7"/>
      <c r="N33" s="7"/>
      <c r="O33" s="6"/>
      <c r="P33" s="6"/>
      <c r="Q33" s="6"/>
      <c r="R33" s="6"/>
      <c r="S33" s="6"/>
      <c r="T33" s="6"/>
      <c r="U33" s="8"/>
      <c r="V33" s="9"/>
      <c r="W33" s="117"/>
    </row>
    <row r="34" spans="1:23" x14ac:dyDescent="0.25">
      <c r="A34" s="139">
        <v>29</v>
      </c>
      <c r="B34" s="7" t="s">
        <v>124</v>
      </c>
      <c r="C34" s="32">
        <v>45771</v>
      </c>
      <c r="D34" s="7">
        <v>565492580</v>
      </c>
      <c r="E34" s="6" t="s">
        <v>24</v>
      </c>
      <c r="F34" s="28" t="s">
        <v>25</v>
      </c>
      <c r="G34" s="16">
        <v>13477.81</v>
      </c>
      <c r="H34" s="16">
        <v>12262.99</v>
      </c>
      <c r="I34" s="17">
        <v>1226.3</v>
      </c>
      <c r="J34" s="30">
        <f t="shared" si="1"/>
        <v>613.15</v>
      </c>
      <c r="K34" s="117">
        <v>0.5</v>
      </c>
      <c r="L34" s="31"/>
      <c r="M34" s="7"/>
      <c r="N34" s="7"/>
      <c r="O34" s="6"/>
      <c r="P34" s="6"/>
      <c r="Q34" s="6"/>
      <c r="R34" s="6"/>
      <c r="S34" s="6"/>
      <c r="T34" s="6"/>
      <c r="U34" s="8"/>
      <c r="V34" s="9"/>
      <c r="W34" s="117"/>
    </row>
    <row r="35" spans="1:23" x14ac:dyDescent="0.25">
      <c r="A35" s="139">
        <v>30</v>
      </c>
      <c r="B35" s="7" t="s">
        <v>125</v>
      </c>
      <c r="C35" s="32">
        <v>45769</v>
      </c>
      <c r="D35" s="7">
        <v>565122912</v>
      </c>
      <c r="E35" s="6" t="s">
        <v>24</v>
      </c>
      <c r="F35" s="28" t="s">
        <v>25</v>
      </c>
      <c r="G35" s="16">
        <v>17298.97</v>
      </c>
      <c r="H35" s="16">
        <v>15712.44</v>
      </c>
      <c r="I35" s="17">
        <v>1571.25</v>
      </c>
      <c r="J35" s="30">
        <f t="shared" si="1"/>
        <v>785.625</v>
      </c>
      <c r="K35" s="117">
        <v>0.5</v>
      </c>
      <c r="L35" s="31"/>
      <c r="M35" s="7"/>
      <c r="N35" s="7"/>
      <c r="O35" s="6"/>
      <c r="P35" s="6"/>
      <c r="Q35" s="6"/>
      <c r="R35" s="6"/>
      <c r="S35" s="6"/>
      <c r="T35" s="6"/>
      <c r="U35" s="8"/>
      <c r="V35" s="9"/>
      <c r="W35" s="117"/>
    </row>
    <row r="36" spans="1:23" x14ac:dyDescent="0.25">
      <c r="A36" s="139">
        <v>31</v>
      </c>
      <c r="B36" s="7" t="s">
        <v>31</v>
      </c>
      <c r="C36" s="32">
        <v>45769</v>
      </c>
      <c r="D36" s="7">
        <v>566416453</v>
      </c>
      <c r="E36" s="6" t="s">
        <v>32</v>
      </c>
      <c r="F36" s="28" t="s">
        <v>25</v>
      </c>
      <c r="G36" s="16">
        <v>419.13</v>
      </c>
      <c r="H36" s="16">
        <v>399.17</v>
      </c>
      <c r="I36" s="17">
        <v>59.85</v>
      </c>
      <c r="J36" s="30">
        <f t="shared" si="1"/>
        <v>29.925000000000001</v>
      </c>
      <c r="K36" s="117">
        <v>0.5</v>
      </c>
      <c r="L36" s="31"/>
      <c r="M36" s="7"/>
      <c r="N36" s="7"/>
      <c r="O36" s="6"/>
      <c r="P36" s="6"/>
      <c r="Q36" s="6"/>
      <c r="R36" s="6"/>
      <c r="S36" s="6"/>
      <c r="T36" s="6"/>
      <c r="U36" s="8"/>
      <c r="V36" s="9"/>
      <c r="W36" s="117"/>
    </row>
    <row r="37" spans="1:23" x14ac:dyDescent="0.25">
      <c r="A37" s="139">
        <v>32</v>
      </c>
      <c r="B37" s="7" t="s">
        <v>31</v>
      </c>
      <c r="C37" s="32">
        <v>45771</v>
      </c>
      <c r="D37" s="7">
        <v>567554582</v>
      </c>
      <c r="E37" s="6" t="s">
        <v>32</v>
      </c>
      <c r="F37" s="28" t="s">
        <v>25</v>
      </c>
      <c r="G37" s="16">
        <v>1086.8499999999999</v>
      </c>
      <c r="H37" s="16">
        <v>1035.0899999999999</v>
      </c>
      <c r="I37" s="17">
        <v>155.25</v>
      </c>
      <c r="J37" s="30">
        <f t="shared" si="1"/>
        <v>77.625</v>
      </c>
      <c r="K37" s="117">
        <v>0.5</v>
      </c>
      <c r="L37" s="31"/>
      <c r="M37" s="7"/>
      <c r="N37" s="7"/>
      <c r="O37" s="6"/>
      <c r="P37" s="6"/>
      <c r="Q37" s="6"/>
      <c r="R37" s="6"/>
      <c r="S37" s="6"/>
      <c r="T37" s="6"/>
      <c r="U37" s="8"/>
      <c r="V37" s="9"/>
      <c r="W37" s="117"/>
    </row>
    <row r="38" spans="1:23" x14ac:dyDescent="0.25">
      <c r="A38" s="139">
        <v>33</v>
      </c>
      <c r="B38" s="7" t="s">
        <v>31</v>
      </c>
      <c r="C38" s="32">
        <v>45770</v>
      </c>
      <c r="D38" s="7">
        <v>567559907</v>
      </c>
      <c r="E38" s="6" t="s">
        <v>32</v>
      </c>
      <c r="F38" s="28" t="s">
        <v>25</v>
      </c>
      <c r="G38" s="16">
        <v>1490.61</v>
      </c>
      <c r="H38" s="16">
        <v>1419.63</v>
      </c>
      <c r="I38" s="17">
        <v>212.85</v>
      </c>
      <c r="J38" s="30">
        <f t="shared" si="1"/>
        <v>106.425</v>
      </c>
      <c r="K38" s="117">
        <v>0.5</v>
      </c>
      <c r="L38" s="31"/>
      <c r="M38" s="7"/>
      <c r="N38" s="7"/>
      <c r="O38" s="6"/>
      <c r="P38" s="6"/>
      <c r="Q38" s="6"/>
      <c r="R38" s="6"/>
      <c r="S38" s="6"/>
      <c r="T38" s="6"/>
      <c r="U38" s="8"/>
      <c r="V38" s="9"/>
      <c r="W38" s="117"/>
    </row>
    <row r="39" spans="1:23" x14ac:dyDescent="0.25">
      <c r="A39" s="139">
        <v>34</v>
      </c>
      <c r="B39" s="7" t="s">
        <v>126</v>
      </c>
      <c r="C39" s="32">
        <v>45777</v>
      </c>
      <c r="D39" s="7">
        <v>568292062</v>
      </c>
      <c r="E39" s="6" t="s">
        <v>29</v>
      </c>
      <c r="F39" s="28" t="s">
        <v>25</v>
      </c>
      <c r="G39" s="16">
        <v>19950.87</v>
      </c>
      <c r="H39" s="16">
        <v>19000.82</v>
      </c>
      <c r="I39" s="17">
        <v>2850</v>
      </c>
      <c r="J39" s="30">
        <f t="shared" si="1"/>
        <v>1425</v>
      </c>
      <c r="K39" s="117">
        <v>0.5</v>
      </c>
      <c r="L39" s="31"/>
      <c r="M39" s="7"/>
      <c r="N39" s="7"/>
      <c r="O39" s="6"/>
      <c r="P39" s="6"/>
      <c r="Q39" s="6"/>
      <c r="R39" s="6"/>
      <c r="S39" s="6"/>
      <c r="T39" s="6"/>
      <c r="U39" s="8"/>
      <c r="V39" s="9"/>
      <c r="W39" s="117"/>
    </row>
    <row r="40" spans="1:23" x14ac:dyDescent="0.25">
      <c r="A40" s="139">
        <v>35</v>
      </c>
      <c r="B40" s="7" t="s">
        <v>126</v>
      </c>
      <c r="C40" s="32">
        <v>45777</v>
      </c>
      <c r="D40" s="7">
        <v>568344122</v>
      </c>
      <c r="E40" s="6" t="s">
        <v>24</v>
      </c>
      <c r="F40" s="28" t="s">
        <v>25</v>
      </c>
      <c r="G40" s="16">
        <v>13489.05</v>
      </c>
      <c r="H40" s="16">
        <v>12043.77</v>
      </c>
      <c r="I40" s="17">
        <v>1204.3</v>
      </c>
      <c r="J40" s="30">
        <f t="shared" si="1"/>
        <v>602.15</v>
      </c>
      <c r="K40" s="117">
        <v>0.5</v>
      </c>
      <c r="L40" s="31"/>
      <c r="M40" s="7"/>
      <c r="N40" s="7"/>
      <c r="O40" s="6"/>
      <c r="P40" s="6"/>
      <c r="Q40" s="6"/>
      <c r="R40" s="6"/>
      <c r="S40" s="6"/>
      <c r="T40" s="6"/>
      <c r="U40" s="8"/>
      <c r="V40" s="9"/>
      <c r="W40" s="117"/>
    </row>
    <row r="41" spans="1:23" x14ac:dyDescent="0.25">
      <c r="A41" s="139">
        <v>36</v>
      </c>
      <c r="B41" s="7" t="s">
        <v>127</v>
      </c>
      <c r="C41" s="32">
        <v>45776</v>
      </c>
      <c r="D41" s="7">
        <v>568122405</v>
      </c>
      <c r="E41" s="6" t="s">
        <v>29</v>
      </c>
      <c r="F41" s="28" t="s">
        <v>25</v>
      </c>
      <c r="G41" s="16">
        <v>13427.4</v>
      </c>
      <c r="H41" s="16">
        <v>12788</v>
      </c>
      <c r="I41" s="17">
        <v>1918.2</v>
      </c>
      <c r="J41" s="30">
        <f t="shared" si="1"/>
        <v>959.1</v>
      </c>
      <c r="K41" s="117">
        <v>0.5</v>
      </c>
      <c r="L41" s="31"/>
      <c r="M41" s="7"/>
      <c r="N41" s="7"/>
      <c r="O41" s="6"/>
      <c r="P41" s="6"/>
      <c r="Q41" s="6"/>
      <c r="R41" s="6"/>
      <c r="S41" s="6"/>
      <c r="T41" s="6"/>
      <c r="U41" s="8"/>
      <c r="V41" s="9"/>
      <c r="W41" s="117"/>
    </row>
    <row r="42" spans="1:23" x14ac:dyDescent="0.25">
      <c r="A42" s="139">
        <v>37</v>
      </c>
      <c r="B42" s="7" t="s">
        <v>127</v>
      </c>
      <c r="C42" s="32">
        <v>45776</v>
      </c>
      <c r="D42" s="7">
        <v>568167603</v>
      </c>
      <c r="E42" s="6" t="s">
        <v>24</v>
      </c>
      <c r="F42" s="28" t="s">
        <v>25</v>
      </c>
      <c r="G42" s="16">
        <v>8092.99</v>
      </c>
      <c r="H42" s="16">
        <v>7225.88</v>
      </c>
      <c r="I42" s="16">
        <v>722.59</v>
      </c>
      <c r="J42" s="30">
        <f t="shared" si="1"/>
        <v>361.29500000000002</v>
      </c>
      <c r="K42" s="117">
        <v>0.5</v>
      </c>
      <c r="L42" s="31"/>
      <c r="M42" s="7"/>
      <c r="N42" s="7"/>
      <c r="O42" s="6"/>
      <c r="P42" s="6"/>
      <c r="Q42" s="6"/>
      <c r="R42" s="6"/>
      <c r="S42" s="6"/>
      <c r="T42" s="6"/>
      <c r="U42" s="8"/>
      <c r="V42" s="9"/>
      <c r="W42" s="117">
        <v>0.5</v>
      </c>
    </row>
    <row r="43" spans="1:23" x14ac:dyDescent="0.25">
      <c r="A43" s="139"/>
      <c r="B43" s="7"/>
      <c r="C43" s="32"/>
      <c r="D43" s="7"/>
      <c r="E43" s="6"/>
      <c r="F43" s="16"/>
      <c r="G43" s="52"/>
      <c r="H43" s="16" t="s">
        <v>15</v>
      </c>
      <c r="I43" s="16"/>
      <c r="J43" s="22">
        <f>SUM(J6:J42)</f>
        <v>23493.344999999998</v>
      </c>
      <c r="K43" s="22"/>
      <c r="L43" s="31"/>
      <c r="M43" s="7"/>
      <c r="N43" s="7"/>
      <c r="O43" s="6"/>
      <c r="P43" s="6"/>
      <c r="Q43" s="6"/>
      <c r="R43" s="6"/>
      <c r="S43" s="6"/>
      <c r="T43" s="6"/>
      <c r="U43" s="8"/>
      <c r="V43" s="9"/>
    </row>
    <row r="44" spans="1:23" x14ac:dyDescent="0.25">
      <c r="B44" s="7"/>
      <c r="C44" s="32"/>
      <c r="D44" s="7"/>
      <c r="E44" s="6"/>
      <c r="F44" s="6"/>
      <c r="G44" s="6"/>
      <c r="H44" s="6"/>
      <c r="I44" s="6"/>
      <c r="J44" s="6"/>
      <c r="K44" s="6"/>
      <c r="L44" s="31"/>
      <c r="M44" s="7"/>
      <c r="N44" s="7"/>
      <c r="O44" s="6"/>
      <c r="P44" s="6"/>
      <c r="Q44" s="6"/>
      <c r="R44" s="6"/>
      <c r="S44" s="6"/>
      <c r="T44" s="43"/>
      <c r="U44" s="51"/>
      <c r="V44" s="8"/>
    </row>
    <row r="45" spans="1:23" x14ac:dyDescent="0.25">
      <c r="B45" s="7"/>
      <c r="C45" s="32"/>
      <c r="D45" s="7"/>
      <c r="E45" s="6"/>
      <c r="F45" s="6"/>
      <c r="G45" s="6"/>
      <c r="H45" s="6"/>
      <c r="I45" s="6"/>
      <c r="J45" s="6"/>
      <c r="K45" s="6"/>
      <c r="L45" s="31"/>
      <c r="M45" s="7"/>
      <c r="N45" s="7"/>
      <c r="O45" s="6"/>
      <c r="P45" s="6"/>
      <c r="Q45" s="6"/>
      <c r="R45" s="6"/>
      <c r="S45" s="6"/>
      <c r="T45" s="43"/>
      <c r="U45" s="51"/>
      <c r="V45" s="8"/>
    </row>
    <row r="46" spans="1:23" x14ac:dyDescent="0.25">
      <c r="B46" s="53" t="s">
        <v>16</v>
      </c>
      <c r="C46" s="54"/>
      <c r="D46" s="55"/>
      <c r="E46" s="55">
        <f>G5</f>
        <v>10853.69</v>
      </c>
      <c r="F46" s="16"/>
      <c r="G46" s="16"/>
      <c r="H46" s="16"/>
      <c r="I46" s="16"/>
      <c r="J46" s="16"/>
      <c r="K46" s="16"/>
      <c r="L46" s="12"/>
      <c r="M46" s="53" t="s">
        <v>16</v>
      </c>
      <c r="N46" s="54"/>
      <c r="O46" s="22">
        <f>S5</f>
        <v>0</v>
      </c>
      <c r="P46" s="21"/>
      <c r="Q46" s="6"/>
      <c r="R46" s="6"/>
      <c r="S46" s="6"/>
      <c r="T46" s="43"/>
      <c r="U46" s="32"/>
      <c r="V46" s="8"/>
    </row>
    <row r="47" spans="1:23" x14ac:dyDescent="0.25">
      <c r="B47" s="56" t="s">
        <v>17</v>
      </c>
      <c r="C47" s="57"/>
      <c r="D47" s="58"/>
      <c r="E47" s="153">
        <f>J43</f>
        <v>23493.344999999998</v>
      </c>
      <c r="F47" s="16"/>
      <c r="G47" s="16"/>
      <c r="H47" s="16"/>
      <c r="I47" s="16"/>
      <c r="J47" s="16"/>
      <c r="K47" s="16"/>
      <c r="L47" s="12"/>
      <c r="M47" s="56" t="s">
        <v>18</v>
      </c>
      <c r="N47" s="57"/>
      <c r="O47" s="59"/>
      <c r="P47" s="80">
        <f>V13</f>
        <v>1209.9749999999999</v>
      </c>
      <c r="Q47" s="6"/>
      <c r="R47" s="6"/>
      <c r="S47" s="6"/>
      <c r="T47" s="6"/>
      <c r="U47" s="8"/>
      <c r="V47" s="9"/>
    </row>
    <row r="48" spans="1:23" x14ac:dyDescent="0.25">
      <c r="B48" s="60" t="s">
        <v>19</v>
      </c>
      <c r="C48" s="60"/>
      <c r="D48" s="61"/>
      <c r="E48" s="154"/>
      <c r="F48" s="6"/>
      <c r="G48" s="6"/>
      <c r="H48" s="6"/>
      <c r="I48" s="6"/>
      <c r="J48" s="6"/>
      <c r="K48" s="6"/>
      <c r="L48" s="31"/>
      <c r="M48" s="60" t="s">
        <v>20</v>
      </c>
      <c r="N48" s="62"/>
      <c r="O48" s="120"/>
      <c r="P48" s="80"/>
      <c r="Q48" s="6"/>
      <c r="R48" s="6"/>
      <c r="S48" s="6"/>
      <c r="T48" s="6"/>
      <c r="U48" s="8"/>
      <c r="V48" s="9"/>
    </row>
    <row r="49" spans="2:22" x14ac:dyDescent="0.25">
      <c r="B49" s="160" t="s">
        <v>132</v>
      </c>
      <c r="C49" s="70"/>
      <c r="D49" s="71"/>
      <c r="E49" s="70">
        <v>18</v>
      </c>
      <c r="F49" s="6"/>
      <c r="G49" s="6"/>
      <c r="H49" s="6"/>
      <c r="I49" s="6"/>
      <c r="J49" s="6"/>
      <c r="K49" s="6"/>
      <c r="L49" s="31"/>
      <c r="M49" s="60"/>
      <c r="N49" s="63"/>
      <c r="O49" s="61"/>
      <c r="P49" s="155"/>
      <c r="Q49" s="6"/>
      <c r="R49" s="6"/>
      <c r="S49" s="6"/>
      <c r="T49" s="6"/>
      <c r="U49" s="8"/>
      <c r="V49" s="9"/>
    </row>
    <row r="50" spans="2:22" x14ac:dyDescent="0.25">
      <c r="B50" s="60"/>
      <c r="C50" s="64"/>
      <c r="D50" s="65"/>
      <c r="E50" s="154"/>
      <c r="F50" s="6"/>
      <c r="G50" s="6"/>
      <c r="H50" s="6"/>
      <c r="I50" s="6"/>
      <c r="J50" s="6"/>
      <c r="K50" s="6"/>
      <c r="L50" s="31"/>
      <c r="M50" s="60" t="s">
        <v>128</v>
      </c>
      <c r="N50" s="64"/>
      <c r="O50" s="65"/>
      <c r="P50" s="154">
        <f>G20+G33</f>
        <v>29219.71</v>
      </c>
      <c r="Q50" s="6"/>
      <c r="R50" s="7"/>
      <c r="S50" s="7"/>
      <c r="T50" s="7"/>
      <c r="U50" s="8"/>
      <c r="V50" s="9"/>
    </row>
    <row r="51" spans="2:22" x14ac:dyDescent="0.25">
      <c r="B51" s="60"/>
      <c r="C51" s="66"/>
      <c r="D51" s="67"/>
      <c r="E51" s="84"/>
      <c r="F51" s="6"/>
      <c r="G51" s="6"/>
      <c r="H51" s="6"/>
      <c r="I51" s="6"/>
      <c r="J51" s="6"/>
      <c r="K51" s="6"/>
      <c r="L51" s="31"/>
      <c r="M51" s="130"/>
      <c r="N51" s="156" t="s">
        <v>168</v>
      </c>
      <c r="O51" s="156"/>
      <c r="P51" s="70">
        <v>272</v>
      </c>
      <c r="Q51" s="6"/>
      <c r="R51" s="7"/>
      <c r="S51" s="7"/>
      <c r="T51" s="7"/>
      <c r="U51" s="8"/>
      <c r="V51" s="9"/>
    </row>
    <row r="52" spans="2:22" x14ac:dyDescent="0.25">
      <c r="B52" s="68"/>
      <c r="C52" s="64"/>
      <c r="D52" s="65"/>
      <c r="E52" s="86"/>
      <c r="F52" s="6"/>
      <c r="G52" s="6"/>
      <c r="H52" s="6"/>
      <c r="I52" s="6"/>
      <c r="J52" s="6"/>
      <c r="K52" s="6"/>
      <c r="L52" s="31"/>
      <c r="M52" s="60" t="s">
        <v>129</v>
      </c>
      <c r="N52" s="64"/>
      <c r="O52" s="65"/>
      <c r="P52" s="70">
        <v>604</v>
      </c>
      <c r="Q52" s="6"/>
      <c r="R52" s="7"/>
      <c r="S52" s="7"/>
      <c r="T52" s="7"/>
      <c r="U52" s="8"/>
      <c r="V52" s="9"/>
    </row>
    <row r="53" spans="2:22" x14ac:dyDescent="0.25">
      <c r="B53" s="68"/>
      <c r="C53" s="62"/>
      <c r="D53" s="63"/>
      <c r="E53" s="86"/>
      <c r="F53" s="6"/>
      <c r="G53" s="6"/>
      <c r="H53" s="6"/>
      <c r="I53" s="6"/>
      <c r="J53" s="6"/>
      <c r="K53" s="128"/>
      <c r="L53" s="157"/>
      <c r="M53" s="121" t="s">
        <v>130</v>
      </c>
      <c r="N53" s="121"/>
      <c r="O53" s="63"/>
      <c r="P53" s="70">
        <v>392</v>
      </c>
      <c r="Q53" s="6"/>
      <c r="R53" s="7"/>
      <c r="S53" s="7"/>
      <c r="T53" s="7"/>
      <c r="U53" s="8"/>
      <c r="V53" s="9"/>
    </row>
    <row r="54" spans="2:22" x14ac:dyDescent="0.25">
      <c r="B54" s="69"/>
      <c r="C54" s="70"/>
      <c r="D54" s="71"/>
      <c r="E54" s="87"/>
      <c r="F54" s="16"/>
      <c r="G54" s="16"/>
      <c r="H54" s="16"/>
      <c r="I54" s="16"/>
      <c r="J54" s="16"/>
      <c r="K54" s="158"/>
      <c r="L54" s="159"/>
      <c r="M54" s="160" t="s">
        <v>131</v>
      </c>
      <c r="N54" s="160"/>
      <c r="O54" s="71"/>
      <c r="P54" s="70">
        <v>193</v>
      </c>
      <c r="Q54" s="6"/>
      <c r="R54" s="7"/>
      <c r="S54" s="7"/>
      <c r="T54" s="7"/>
      <c r="U54" s="8"/>
      <c r="V54" s="9"/>
    </row>
    <row r="55" spans="2:22" x14ac:dyDescent="0.25">
      <c r="B55" s="69"/>
      <c r="C55" s="70"/>
      <c r="D55" s="71"/>
      <c r="E55" s="87"/>
      <c r="F55" s="16"/>
      <c r="G55" s="16"/>
      <c r="H55" s="16"/>
      <c r="I55" s="16"/>
      <c r="J55" s="16"/>
      <c r="K55" s="16"/>
      <c r="L55" s="12"/>
      <c r="M55" s="160"/>
      <c r="N55" s="70"/>
      <c r="O55" s="71"/>
      <c r="P55" s="70"/>
      <c r="Q55" s="6"/>
      <c r="R55" s="7"/>
      <c r="S55" s="7"/>
      <c r="T55" s="7"/>
      <c r="U55" s="8"/>
      <c r="V55" s="9"/>
    </row>
    <row r="56" spans="2:22" x14ac:dyDescent="0.25">
      <c r="B56" s="78" t="s">
        <v>15</v>
      </c>
      <c r="C56" s="79"/>
      <c r="D56" s="80"/>
      <c r="E56" s="161">
        <f>E46+E47+E48+E49+E50</f>
        <v>34365.034999999996</v>
      </c>
      <c r="F56" s="81"/>
      <c r="G56" s="81"/>
      <c r="H56" s="81"/>
      <c r="I56" s="81"/>
      <c r="J56" s="81"/>
      <c r="K56" s="81"/>
      <c r="L56" s="12"/>
      <c r="M56" s="79" t="s">
        <v>15</v>
      </c>
      <c r="N56" s="79"/>
      <c r="O56" s="80"/>
      <c r="P56" s="71">
        <f>P49+P50+P46+P47+P48+P51+P52+P53+P54+P55</f>
        <v>31890.684999999998</v>
      </c>
      <c r="Q56" s="75"/>
      <c r="R56" s="75"/>
      <c r="S56" s="75"/>
      <c r="T56" s="75"/>
      <c r="U56" s="75"/>
      <c r="V56" s="75"/>
    </row>
    <row r="57" spans="2:22" x14ac:dyDescent="0.25">
      <c r="B57" s="82"/>
      <c r="C57" s="75"/>
      <c r="D57" s="75"/>
      <c r="E57" s="77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162"/>
      <c r="Q57" s="75"/>
      <c r="R57" s="75"/>
      <c r="S57" s="75"/>
      <c r="T57" s="75"/>
      <c r="U57" s="75"/>
      <c r="V57" s="75"/>
    </row>
    <row r="58" spans="2:22" x14ac:dyDescent="0.25">
      <c r="B58" s="82"/>
      <c r="C58" s="75"/>
      <c r="D58" s="75"/>
      <c r="E58" s="77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</row>
    <row r="59" spans="2:22" x14ac:dyDescent="0.25">
      <c r="B59" s="75"/>
      <c r="C59" s="113"/>
      <c r="D59" s="113"/>
      <c r="E59" s="75"/>
      <c r="F59" s="79"/>
      <c r="G59" s="163" t="s">
        <v>133</v>
      </c>
      <c r="H59" s="80">
        <f>E56-P56</f>
        <v>2474.3499999999985</v>
      </c>
      <c r="I59" s="80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</row>
    <row r="60" spans="2:22" x14ac:dyDescent="0.25">
      <c r="B60" s="75"/>
      <c r="C60" s="75"/>
      <c r="D60" s="75"/>
      <c r="E60" s="75"/>
      <c r="F60" s="79"/>
      <c r="G60" s="79"/>
      <c r="H60" s="79"/>
      <c r="I60" s="79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</row>
    <row r="61" spans="2:22" x14ac:dyDescent="0.25">
      <c r="B61" s="75"/>
      <c r="C61" s="75"/>
      <c r="D61" s="75"/>
      <c r="E61" s="75"/>
      <c r="F61" s="79"/>
      <c r="G61" s="79"/>
      <c r="H61" s="79"/>
      <c r="I61" s="79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</row>
    <row r="62" spans="2:22" x14ac:dyDescent="0.25">
      <c r="B62" s="75"/>
      <c r="C62" s="75"/>
      <c r="D62" s="75"/>
      <c r="E62" s="75"/>
      <c r="F62" s="81"/>
      <c r="G62" s="81"/>
      <c r="H62" s="81"/>
      <c r="I62" s="81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</row>
  </sheetData>
  <conditionalFormatting sqref="A2">
    <cfRule type="cellIs" dxfId="271" priority="5" operator="equal">
      <formula>"K.KART"</formula>
    </cfRule>
  </conditionalFormatting>
  <conditionalFormatting sqref="A5">
    <cfRule type="cellIs" dxfId="270" priority="4" operator="equal">
      <formula>"K.KART"</formula>
    </cfRule>
  </conditionalFormatting>
  <conditionalFormatting sqref="D1:D5 D54:D55">
    <cfRule type="cellIs" dxfId="269" priority="37" operator="equal">
      <formula>15698.2</formula>
    </cfRule>
    <cfRule type="cellIs" dxfId="268" priority="38" operator="equal">
      <formula>"kapalı"</formula>
    </cfRule>
  </conditionalFormatting>
  <conditionalFormatting sqref="D49">
    <cfRule type="cellIs" dxfId="267" priority="1" operator="equal">
      <formula>"KAPALI"</formula>
    </cfRule>
    <cfRule type="cellIs" dxfId="266" priority="2" operator="equal">
      <formula>"açık"</formula>
    </cfRule>
    <cfRule type="cellIs" dxfId="265" priority="3" operator="equal">
      <formula>15698.2</formula>
    </cfRule>
  </conditionalFormatting>
  <conditionalFormatting sqref="E6:E42">
    <cfRule type="cellIs" dxfId="264" priority="19" operator="equal">
      <formula>15698.2</formula>
    </cfRule>
    <cfRule type="cellIs" dxfId="263" priority="20" operator="equal">
      <formula>"kapalı"</formula>
    </cfRule>
  </conditionalFormatting>
  <conditionalFormatting sqref="F6:F42">
    <cfRule type="cellIs" dxfId="262" priority="12" operator="equal">
      <formula>"K.KART"</formula>
    </cfRule>
  </conditionalFormatting>
  <conditionalFormatting sqref="F6:G6 G7">
    <cfRule type="cellIs" dxfId="261" priority="15" operator="equal">
      <formula>"K.KART"</formula>
    </cfRule>
  </conditionalFormatting>
  <conditionalFormatting sqref="G8:G42 E43:G45 F46:G46 E47:G48 F49:G49 E50:G54">
    <cfRule type="cellIs" dxfId="260" priority="29" operator="equal">
      <formula>"kapalı"</formula>
    </cfRule>
    <cfRule type="cellIs" dxfId="259" priority="28" operator="equal">
      <formula>15698.2</formula>
    </cfRule>
  </conditionalFormatting>
  <conditionalFormatting sqref="H6:H28">
    <cfRule type="cellIs" dxfId="258" priority="21" operator="equal">
      <formula>"K.KART"</formula>
    </cfRule>
  </conditionalFormatting>
  <conditionalFormatting sqref="N51:O51">
    <cfRule type="cellIs" dxfId="257" priority="6" operator="equal">
      <formula>15698.2</formula>
    </cfRule>
    <cfRule type="cellIs" dxfId="256" priority="7" operator="equal">
      <formula>"kapalı"</formula>
    </cfRule>
  </conditionalFormatting>
  <conditionalFormatting sqref="O46">
    <cfRule type="cellIs" dxfId="255" priority="24" operator="equal">
      <formula>"K.KART"</formula>
    </cfRule>
  </conditionalFormatting>
  <conditionalFormatting sqref="O4:P4">
    <cfRule type="cellIs" dxfId="254" priority="30" operator="equal">
      <formula>15698.2</formula>
    </cfRule>
    <cfRule type="cellIs" dxfId="253" priority="31" operator="equal">
      <formula>"kapalı"</formula>
    </cfRule>
  </conditionalFormatting>
  <conditionalFormatting sqref="O1:Q3 O5:Q5 O27:Q45 P46:Q46 Q47:Q55 O54:O55">
    <cfRule type="cellIs" dxfId="252" priority="40" operator="equal">
      <formula>15698.2</formula>
    </cfRule>
  </conditionalFormatting>
  <conditionalFormatting sqref="O1:Q3 O5:Q5">
    <cfRule type="cellIs" dxfId="251" priority="33" operator="equal">
      <formula>"KAPALI"</formula>
    </cfRule>
    <cfRule type="cellIs" dxfId="250" priority="34" operator="equal">
      <formula>"açık"</formula>
    </cfRule>
  </conditionalFormatting>
  <conditionalFormatting sqref="O27:Q45 O54:O55">
    <cfRule type="cellIs" dxfId="249" priority="35" operator="equal">
      <formula>"KAPALI"</formula>
    </cfRule>
    <cfRule type="cellIs" dxfId="248" priority="36" operator="equal">
      <formula>"açık"</formula>
    </cfRule>
  </conditionalFormatting>
  <conditionalFormatting sqref="P49">
    <cfRule type="cellIs" dxfId="247" priority="8" operator="equal">
      <formula>"K.KART"</formula>
    </cfRule>
  </conditionalFormatting>
  <conditionalFormatting sqref="P50">
    <cfRule type="cellIs" dxfId="246" priority="9" operator="equal">
      <formula>15698.2</formula>
    </cfRule>
    <cfRule type="cellIs" dxfId="245" priority="10" operator="equal">
      <formula>"kapalı"</formula>
    </cfRule>
  </conditionalFormatting>
  <conditionalFormatting sqref="P6:Q26">
    <cfRule type="cellIs" dxfId="244" priority="18" operator="equal">
      <formula>"kapalı"</formula>
    </cfRule>
    <cfRule type="cellIs" dxfId="243" priority="17" operator="equal">
      <formula>15698.2</formula>
    </cfRule>
  </conditionalFormatting>
  <conditionalFormatting sqref="P46:Q46 Q47:Q55">
    <cfRule type="cellIs" dxfId="242" priority="13" operator="equal">
      <formula>"KAPALI"</formula>
    </cfRule>
    <cfRule type="cellIs" dxfId="241" priority="14" operator="equal">
      <formula>"açık"</formula>
    </cfRule>
  </conditionalFormatting>
  <conditionalFormatting sqref="Q4:V4">
    <cfRule type="cellIs" dxfId="240" priority="32" operator="equal">
      <formula>"K.KART"</formula>
    </cfRule>
  </conditionalFormatting>
  <conditionalFormatting sqref="R5:R7">
    <cfRule type="cellIs" dxfId="239" priority="16" operator="equal">
      <formula>"K.KART"</formula>
    </cfRule>
  </conditionalFormatting>
  <conditionalFormatting sqref="R8:R10">
    <cfRule type="cellIs" dxfId="238" priority="26" operator="equal">
      <formula>15698.2</formula>
    </cfRule>
    <cfRule type="cellIs" dxfId="237" priority="27" operator="equal">
      <formula>"kapalı"</formula>
    </cfRule>
  </conditionalFormatting>
  <conditionalFormatting sqref="R1:S3 E1:I5 H30:I54 E55:I55">
    <cfRule type="cellIs" dxfId="236" priority="39" operator="equal">
      <formula>"K.KART"</formula>
    </cfRule>
  </conditionalFormatting>
  <conditionalFormatting sqref="R11:S55">
    <cfRule type="cellIs" dxfId="235" priority="41" operator="equal">
      <formula>"K.KART"</formula>
    </cfRule>
  </conditionalFormatting>
  <conditionalFormatting sqref="S5:S10">
    <cfRule type="cellIs" dxfId="234" priority="25" operator="equal">
      <formula>"K.KART"</formula>
    </cfRule>
  </conditionalFormatting>
  <pageMargins left="0.7" right="0.7" top="0.75" bottom="0.75" header="0.3" footer="0.3"/>
  <pageSetup paperSize="9" scale="55" fitToHeight="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AB292-43B1-4314-A0D1-2D3F024AC200}">
  <sheetPr>
    <pageSetUpPr fitToPage="1"/>
  </sheetPr>
  <dimension ref="A1:V50"/>
  <sheetViews>
    <sheetView workbookViewId="0">
      <selection activeCell="G43" sqref="G43"/>
    </sheetView>
  </sheetViews>
  <sheetFormatPr defaultRowHeight="15" x14ac:dyDescent="0.25"/>
  <cols>
    <col min="1" max="1" width="18" customWidth="1"/>
    <col min="2" max="2" width="12.140625" customWidth="1"/>
    <col min="3" max="3" width="12.42578125" customWidth="1"/>
    <col min="4" max="4" width="10.140625" customWidth="1"/>
    <col min="6" max="6" width="11.5703125" customWidth="1"/>
    <col min="7" max="7" width="12.42578125" customWidth="1"/>
    <col min="8" max="8" width="10.28515625" customWidth="1"/>
    <col min="9" max="9" width="10.5703125" customWidth="1"/>
    <col min="10" max="10" width="5.85546875" customWidth="1"/>
    <col min="11" max="11" width="2" customWidth="1"/>
    <col min="12" max="12" width="15.85546875" customWidth="1"/>
    <col min="13" max="13" width="10.85546875" customWidth="1"/>
    <col min="14" max="14" width="11.5703125" customWidth="1"/>
    <col min="15" max="15" width="9.85546875" customWidth="1"/>
    <col min="17" max="17" width="10.28515625" customWidth="1"/>
    <col min="18" max="18" width="11.85546875" customWidth="1"/>
    <col min="19" max="19" width="11.42578125" customWidth="1"/>
    <col min="20" max="20" width="10.42578125" customWidth="1"/>
    <col min="21" max="21" width="10.7109375" customWidth="1"/>
    <col min="22" max="22" width="6.28515625" customWidth="1"/>
  </cols>
  <sheetData>
    <row r="1" spans="1:22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3"/>
      <c r="L1" s="1"/>
      <c r="M1" s="1"/>
      <c r="N1" s="2"/>
      <c r="O1" s="2"/>
      <c r="P1" s="2"/>
      <c r="Q1" s="2"/>
      <c r="R1" s="2"/>
      <c r="S1" s="2"/>
      <c r="T1" s="4"/>
      <c r="U1" s="5"/>
    </row>
    <row r="2" spans="1:22" x14ac:dyDescent="0.25">
      <c r="A2" s="10" t="s">
        <v>0</v>
      </c>
      <c r="B2" s="10"/>
      <c r="C2" s="11"/>
      <c r="D2" s="11"/>
      <c r="E2" s="11"/>
      <c r="F2" s="11"/>
      <c r="G2" s="11"/>
      <c r="H2" s="11"/>
      <c r="I2" s="11"/>
      <c r="J2" s="11"/>
      <c r="K2" s="12"/>
      <c r="L2" s="10" t="s">
        <v>1</v>
      </c>
      <c r="M2" s="10"/>
      <c r="N2" s="11"/>
      <c r="O2" s="11"/>
      <c r="P2" s="11"/>
      <c r="Q2" s="11"/>
      <c r="R2" s="11"/>
      <c r="S2" s="11"/>
      <c r="T2" s="13"/>
      <c r="U2" s="14"/>
      <c r="V2" s="11"/>
    </row>
    <row r="3" spans="1:22" x14ac:dyDescent="0.25">
      <c r="A3" s="15" t="s">
        <v>134</v>
      </c>
      <c r="B3" s="15">
        <v>2025</v>
      </c>
      <c r="C3" s="16"/>
      <c r="D3" s="16"/>
      <c r="E3" s="16"/>
      <c r="F3" s="16"/>
      <c r="G3" s="16"/>
      <c r="H3" s="16"/>
      <c r="I3" s="16"/>
      <c r="J3" s="16"/>
      <c r="K3" s="12"/>
      <c r="L3" s="15" t="s">
        <v>134</v>
      </c>
      <c r="M3" s="15">
        <v>2025</v>
      </c>
      <c r="N3" s="16"/>
      <c r="O3" s="16"/>
      <c r="P3" s="16"/>
      <c r="Q3" s="16"/>
      <c r="R3" s="16"/>
      <c r="S3" s="16"/>
      <c r="T3" s="17"/>
      <c r="U3" s="18"/>
      <c r="V3" s="16"/>
    </row>
    <row r="4" spans="1:22" ht="24" x14ac:dyDescent="0.25">
      <c r="A4" s="90" t="s">
        <v>2</v>
      </c>
      <c r="B4" s="90" t="s">
        <v>3</v>
      </c>
      <c r="C4" s="91" t="s">
        <v>4</v>
      </c>
      <c r="D4" s="91" t="s">
        <v>5</v>
      </c>
      <c r="E4" s="91" t="s">
        <v>6</v>
      </c>
      <c r="F4" s="91" t="s">
        <v>7</v>
      </c>
      <c r="G4" s="91" t="s">
        <v>8</v>
      </c>
      <c r="H4" s="92" t="s">
        <v>9</v>
      </c>
      <c r="I4" s="91" t="s">
        <v>10</v>
      </c>
      <c r="J4" s="91" t="s">
        <v>45</v>
      </c>
      <c r="K4" s="12"/>
      <c r="L4" s="90" t="s">
        <v>2</v>
      </c>
      <c r="M4" s="90" t="s">
        <v>3</v>
      </c>
      <c r="N4" s="91" t="s">
        <v>4</v>
      </c>
      <c r="O4" s="91" t="s">
        <v>11</v>
      </c>
      <c r="P4" s="91" t="s">
        <v>5</v>
      </c>
      <c r="Q4" s="91" t="s">
        <v>6</v>
      </c>
      <c r="R4" s="91" t="s">
        <v>7</v>
      </c>
      <c r="S4" s="91" t="s">
        <v>8</v>
      </c>
      <c r="T4" s="92" t="s">
        <v>12</v>
      </c>
      <c r="U4" s="92" t="s">
        <v>13</v>
      </c>
      <c r="V4" s="91" t="s">
        <v>45</v>
      </c>
    </row>
    <row r="5" spans="1:22" x14ac:dyDescent="0.25">
      <c r="A5" s="20" t="s">
        <v>14</v>
      </c>
      <c r="B5" s="20"/>
      <c r="C5" s="21"/>
      <c r="D5" s="21"/>
      <c r="E5" s="21"/>
      <c r="F5" s="22">
        <v>2474.35</v>
      </c>
      <c r="G5" s="21"/>
      <c r="H5" s="23"/>
      <c r="I5" s="21"/>
      <c r="J5" s="21"/>
      <c r="K5" s="19"/>
      <c r="L5" s="24" t="s">
        <v>14</v>
      </c>
      <c r="M5" s="20"/>
      <c r="N5" s="21"/>
      <c r="O5" s="21"/>
      <c r="P5" s="21"/>
      <c r="Q5" s="21"/>
      <c r="R5" s="22"/>
      <c r="S5" s="21"/>
      <c r="T5" s="23"/>
      <c r="U5" s="25"/>
      <c r="V5" s="21"/>
    </row>
    <row r="6" spans="1:22" x14ac:dyDescent="0.25">
      <c r="A6" s="26" t="s">
        <v>135</v>
      </c>
      <c r="B6" s="27">
        <v>45780</v>
      </c>
      <c r="C6" s="26">
        <v>569334081</v>
      </c>
      <c r="D6" s="28" t="s">
        <v>32</v>
      </c>
      <c r="E6" s="28" t="s">
        <v>25</v>
      </c>
      <c r="F6" s="16">
        <v>620.44000000000005</v>
      </c>
      <c r="G6" s="16">
        <v>590.89</v>
      </c>
      <c r="H6" s="142">
        <v>88.5</v>
      </c>
      <c r="I6" s="30">
        <f t="shared" ref="I6:I30" si="0">H6*J6</f>
        <v>44.25</v>
      </c>
      <c r="J6" s="117">
        <v>0.5</v>
      </c>
      <c r="K6" s="31"/>
      <c r="L6" s="130"/>
      <c r="M6" s="131"/>
      <c r="N6" s="130"/>
      <c r="O6" s="128"/>
      <c r="P6" s="128"/>
      <c r="Q6" s="128"/>
      <c r="R6" s="128"/>
      <c r="S6" s="128"/>
      <c r="T6" s="129"/>
      <c r="U6" s="28"/>
      <c r="V6" s="117">
        <v>0.5</v>
      </c>
    </row>
    <row r="7" spans="1:22" x14ac:dyDescent="0.25">
      <c r="A7" s="26" t="s">
        <v>136</v>
      </c>
      <c r="B7" s="27">
        <v>45783</v>
      </c>
      <c r="C7" s="26">
        <v>569973591</v>
      </c>
      <c r="D7" s="28" t="s">
        <v>24</v>
      </c>
      <c r="E7" s="28" t="s">
        <v>25</v>
      </c>
      <c r="F7" s="16">
        <v>18957.419999999998</v>
      </c>
      <c r="G7" s="16">
        <v>17248.68</v>
      </c>
      <c r="H7" s="141">
        <v>1724.8</v>
      </c>
      <c r="I7" s="30">
        <f t="shared" si="0"/>
        <v>862.4</v>
      </c>
      <c r="J7" s="117">
        <v>0.5</v>
      </c>
      <c r="K7" s="31"/>
      <c r="L7" s="7"/>
      <c r="M7" s="32"/>
      <c r="N7" s="7"/>
      <c r="O7" s="6"/>
      <c r="P7" s="6"/>
      <c r="Q7" s="6"/>
      <c r="R7" s="6"/>
      <c r="S7" s="6"/>
      <c r="T7" s="33"/>
      <c r="U7" s="28"/>
      <c r="V7" s="117">
        <v>0.5</v>
      </c>
    </row>
    <row r="8" spans="1:22" x14ac:dyDescent="0.25">
      <c r="A8" s="26" t="s">
        <v>135</v>
      </c>
      <c r="B8" s="27">
        <v>45784</v>
      </c>
      <c r="C8" s="26">
        <v>570147348</v>
      </c>
      <c r="D8" s="28" t="s">
        <v>32</v>
      </c>
      <c r="E8" s="28" t="s">
        <v>25</v>
      </c>
      <c r="F8" s="16">
        <v>286.11</v>
      </c>
      <c r="G8" s="16">
        <v>272.48</v>
      </c>
      <c r="H8" s="141">
        <v>40.799999999999997</v>
      </c>
      <c r="I8" s="30">
        <f t="shared" si="0"/>
        <v>20.399999999999999</v>
      </c>
      <c r="J8" s="117">
        <v>0.5</v>
      </c>
      <c r="K8" s="31"/>
      <c r="L8" s="7"/>
      <c r="M8" s="32"/>
      <c r="N8" s="7"/>
      <c r="O8" s="6"/>
      <c r="P8" s="6"/>
      <c r="Q8" s="6"/>
      <c r="R8" s="6"/>
      <c r="S8" s="6"/>
      <c r="T8" s="33"/>
      <c r="U8" s="28"/>
      <c r="V8" s="117">
        <v>0.5</v>
      </c>
    </row>
    <row r="9" spans="1:22" x14ac:dyDescent="0.25">
      <c r="A9" s="26" t="s">
        <v>135</v>
      </c>
      <c r="B9" s="27">
        <v>45784</v>
      </c>
      <c r="C9" s="26">
        <v>570155520</v>
      </c>
      <c r="D9" s="28" t="s">
        <v>32</v>
      </c>
      <c r="E9" s="28" t="s">
        <v>25</v>
      </c>
      <c r="F9" s="16">
        <v>980.72</v>
      </c>
      <c r="G9" s="16">
        <v>934.01</v>
      </c>
      <c r="H9" s="141">
        <v>140.1</v>
      </c>
      <c r="I9" s="30">
        <f t="shared" si="0"/>
        <v>70.05</v>
      </c>
      <c r="J9" s="117">
        <v>0.5</v>
      </c>
      <c r="K9" s="31"/>
      <c r="L9" s="7"/>
      <c r="M9" s="7"/>
      <c r="N9" s="7"/>
      <c r="O9" s="6"/>
      <c r="P9" s="6"/>
      <c r="Q9" s="6"/>
      <c r="R9" s="6"/>
      <c r="S9" s="6"/>
      <c r="T9" s="33"/>
      <c r="U9" s="28"/>
      <c r="V9" s="117">
        <v>0.5</v>
      </c>
    </row>
    <row r="10" spans="1:22" x14ac:dyDescent="0.25">
      <c r="A10" s="26" t="s">
        <v>135</v>
      </c>
      <c r="B10" s="27">
        <v>45784</v>
      </c>
      <c r="C10" s="26">
        <v>570158384</v>
      </c>
      <c r="D10" s="28" t="s">
        <v>32</v>
      </c>
      <c r="E10" s="28" t="s">
        <v>25</v>
      </c>
      <c r="F10" s="16">
        <v>5966.1</v>
      </c>
      <c r="G10" s="16">
        <v>5682</v>
      </c>
      <c r="H10" s="142">
        <v>852.3</v>
      </c>
      <c r="I10" s="30">
        <f t="shared" si="0"/>
        <v>426.15</v>
      </c>
      <c r="J10" s="117">
        <v>0.5</v>
      </c>
      <c r="K10" s="31"/>
      <c r="L10" s="7"/>
      <c r="M10" s="7"/>
      <c r="N10" s="7"/>
      <c r="O10" s="6"/>
      <c r="P10" s="6"/>
      <c r="Q10" s="16"/>
      <c r="R10" s="16"/>
      <c r="S10" s="16"/>
      <c r="T10" s="40"/>
      <c r="U10" s="28"/>
      <c r="V10" s="117">
        <v>0.5</v>
      </c>
    </row>
    <row r="11" spans="1:22" x14ac:dyDescent="0.25">
      <c r="A11" s="26" t="s">
        <v>135</v>
      </c>
      <c r="B11" s="27">
        <v>45784</v>
      </c>
      <c r="C11" s="26">
        <v>570144534</v>
      </c>
      <c r="D11" s="28" t="s">
        <v>32</v>
      </c>
      <c r="E11" s="28" t="s">
        <v>25</v>
      </c>
      <c r="F11" s="16">
        <v>1680.57</v>
      </c>
      <c r="G11" s="16">
        <v>1600.54</v>
      </c>
      <c r="H11" s="142">
        <v>240</v>
      </c>
      <c r="I11" s="30">
        <f t="shared" si="0"/>
        <v>120</v>
      </c>
      <c r="J11" s="117">
        <v>0.5</v>
      </c>
      <c r="K11" s="31"/>
      <c r="L11" s="7"/>
      <c r="M11" s="7"/>
      <c r="N11" s="7"/>
      <c r="O11" s="6"/>
      <c r="P11" s="6"/>
      <c r="Q11" s="16" t="s">
        <v>15</v>
      </c>
      <c r="R11" s="16"/>
      <c r="S11" s="16"/>
      <c r="T11" s="17"/>
      <c r="U11" s="119"/>
      <c r="V11" s="117">
        <v>0.5</v>
      </c>
    </row>
    <row r="12" spans="1:22" x14ac:dyDescent="0.25">
      <c r="A12" s="26" t="s">
        <v>137</v>
      </c>
      <c r="B12" s="27">
        <v>45784</v>
      </c>
      <c r="C12" s="26">
        <v>570149788</v>
      </c>
      <c r="D12" s="28" t="s">
        <v>24</v>
      </c>
      <c r="E12" s="28" t="s">
        <v>25</v>
      </c>
      <c r="F12" s="16">
        <v>17705.849999999999</v>
      </c>
      <c r="G12" s="16">
        <v>16109.91</v>
      </c>
      <c r="H12" s="142">
        <v>1610.9</v>
      </c>
      <c r="I12" s="30">
        <f t="shared" si="0"/>
        <v>805.45</v>
      </c>
      <c r="J12" s="117">
        <v>0.5</v>
      </c>
      <c r="K12" s="31"/>
      <c r="L12" s="7"/>
      <c r="M12" s="7"/>
      <c r="N12" s="7"/>
      <c r="O12" s="6"/>
      <c r="P12" s="6"/>
      <c r="Q12" s="16"/>
      <c r="R12" s="16"/>
      <c r="S12" s="16"/>
      <c r="T12" s="17"/>
      <c r="U12" s="42"/>
      <c r="V12" s="117">
        <v>0.5</v>
      </c>
    </row>
    <row r="13" spans="1:22" x14ac:dyDescent="0.25">
      <c r="A13" s="26" t="s">
        <v>138</v>
      </c>
      <c r="B13" s="27">
        <v>45787</v>
      </c>
      <c r="C13" s="26">
        <v>569357710</v>
      </c>
      <c r="D13" s="28" t="s">
        <v>66</v>
      </c>
      <c r="E13" s="164" t="s">
        <v>25</v>
      </c>
      <c r="F13" s="16">
        <v>5371.12</v>
      </c>
      <c r="G13" s="16">
        <v>5064.71</v>
      </c>
      <c r="H13" s="142">
        <v>759.6</v>
      </c>
      <c r="I13" s="30">
        <f t="shared" si="0"/>
        <v>379.8</v>
      </c>
      <c r="J13" s="117">
        <v>0.5</v>
      </c>
      <c r="K13" s="31"/>
      <c r="L13" s="7"/>
      <c r="M13" s="7"/>
      <c r="N13" s="7"/>
      <c r="O13" s="6"/>
      <c r="P13" s="6"/>
      <c r="Q13" s="16"/>
      <c r="R13" s="16"/>
      <c r="S13" s="16"/>
      <c r="T13" s="17"/>
      <c r="U13" s="18"/>
      <c r="V13" s="117">
        <v>0.5</v>
      </c>
    </row>
    <row r="14" spans="1:22" x14ac:dyDescent="0.25">
      <c r="A14" s="26" t="s">
        <v>57</v>
      </c>
      <c r="B14" s="27">
        <v>45785</v>
      </c>
      <c r="C14" s="26">
        <v>569084279</v>
      </c>
      <c r="D14" s="28" t="s">
        <v>24</v>
      </c>
      <c r="E14" s="28" t="s">
        <v>25</v>
      </c>
      <c r="F14" s="16">
        <v>17315.23</v>
      </c>
      <c r="G14" s="16">
        <v>15727.25</v>
      </c>
      <c r="H14" s="142">
        <v>1572.7</v>
      </c>
      <c r="I14" s="30">
        <f t="shared" si="0"/>
        <v>786.35</v>
      </c>
      <c r="J14" s="117">
        <v>0.5</v>
      </c>
      <c r="K14" s="31"/>
      <c r="L14" s="7"/>
      <c r="M14" s="7"/>
      <c r="N14" s="7"/>
      <c r="O14" s="6"/>
      <c r="P14" s="6"/>
      <c r="Q14" s="6"/>
      <c r="R14" s="6"/>
      <c r="S14" s="6"/>
      <c r="T14" s="8"/>
      <c r="U14" s="9"/>
      <c r="V14" s="117">
        <v>0.5</v>
      </c>
    </row>
    <row r="15" spans="1:22" x14ac:dyDescent="0.25">
      <c r="A15" s="26" t="s">
        <v>139</v>
      </c>
      <c r="B15" s="27">
        <v>45787</v>
      </c>
      <c r="C15" s="26">
        <v>569493377</v>
      </c>
      <c r="D15" s="28" t="s">
        <v>24</v>
      </c>
      <c r="E15" s="28" t="s">
        <v>25</v>
      </c>
      <c r="F15" s="16">
        <v>21862.34</v>
      </c>
      <c r="G15" s="16">
        <v>19820.23</v>
      </c>
      <c r="H15" s="141">
        <v>1982</v>
      </c>
      <c r="I15" s="30">
        <f t="shared" si="0"/>
        <v>991</v>
      </c>
      <c r="J15" s="117">
        <v>0.5</v>
      </c>
      <c r="K15" s="31"/>
      <c r="L15" s="7"/>
      <c r="M15" s="7"/>
      <c r="N15" s="7"/>
      <c r="O15" s="6"/>
      <c r="P15" s="6"/>
      <c r="Q15" s="6"/>
      <c r="R15" s="6"/>
      <c r="S15" s="6"/>
      <c r="T15" s="8"/>
      <c r="U15" s="9"/>
      <c r="V15" s="117">
        <v>0.5</v>
      </c>
    </row>
    <row r="16" spans="1:22" x14ac:dyDescent="0.25">
      <c r="A16" s="26" t="s">
        <v>140</v>
      </c>
      <c r="B16" s="27">
        <v>45791</v>
      </c>
      <c r="C16" s="26">
        <v>572222894</v>
      </c>
      <c r="D16" s="28" t="s">
        <v>24</v>
      </c>
      <c r="E16" s="28" t="s">
        <v>25</v>
      </c>
      <c r="F16" s="16">
        <v>16723.3</v>
      </c>
      <c r="G16" s="16">
        <v>15161.23</v>
      </c>
      <c r="H16" s="141">
        <v>1516.1</v>
      </c>
      <c r="I16" s="30">
        <f t="shared" si="0"/>
        <v>758.05</v>
      </c>
      <c r="J16" s="117">
        <v>0.5</v>
      </c>
      <c r="K16" s="31"/>
      <c r="L16" s="7"/>
      <c r="M16" s="7"/>
      <c r="N16" s="7"/>
      <c r="O16" s="6"/>
      <c r="P16" s="6"/>
      <c r="Q16" s="6"/>
      <c r="R16" s="6"/>
      <c r="S16" s="6"/>
      <c r="T16" s="8"/>
      <c r="U16" s="9"/>
      <c r="V16" s="117">
        <v>0.5</v>
      </c>
    </row>
    <row r="17" spans="1:22" x14ac:dyDescent="0.25">
      <c r="A17" s="26" t="s">
        <v>135</v>
      </c>
      <c r="B17" s="27">
        <v>45785</v>
      </c>
      <c r="C17" s="26">
        <v>571111489</v>
      </c>
      <c r="D17" s="28" t="s">
        <v>32</v>
      </c>
      <c r="E17" s="28" t="s">
        <v>25</v>
      </c>
      <c r="F17" s="16">
        <v>696.97</v>
      </c>
      <c r="G17" s="16">
        <v>663.78</v>
      </c>
      <c r="H17" s="141">
        <v>99.45</v>
      </c>
      <c r="I17" s="30">
        <f t="shared" si="0"/>
        <v>49.725000000000001</v>
      </c>
      <c r="J17" s="117">
        <v>0.5</v>
      </c>
      <c r="K17" s="31"/>
      <c r="L17" s="7"/>
      <c r="M17" s="7"/>
      <c r="N17" s="7"/>
      <c r="O17" s="6"/>
      <c r="P17" s="6"/>
      <c r="Q17" s="6"/>
      <c r="R17" s="6"/>
      <c r="S17" s="6"/>
      <c r="T17" s="8"/>
      <c r="U17" s="9"/>
      <c r="V17" s="117">
        <v>0.5</v>
      </c>
    </row>
    <row r="18" spans="1:22" x14ac:dyDescent="0.25">
      <c r="A18" s="26" t="s">
        <v>141</v>
      </c>
      <c r="B18" s="27">
        <v>45786</v>
      </c>
      <c r="C18" s="26">
        <v>570924181</v>
      </c>
      <c r="D18" s="28" t="s">
        <v>29</v>
      </c>
      <c r="E18" s="28" t="s">
        <v>25</v>
      </c>
      <c r="F18" s="16">
        <v>23454.400000000001</v>
      </c>
      <c r="G18" s="16">
        <v>22337.52</v>
      </c>
      <c r="H18" s="142">
        <v>3350.55</v>
      </c>
      <c r="I18" s="30">
        <f t="shared" si="0"/>
        <v>1675.2750000000001</v>
      </c>
      <c r="J18" s="117">
        <v>0.5</v>
      </c>
      <c r="K18" s="31"/>
      <c r="L18" s="7"/>
      <c r="M18" s="7"/>
      <c r="N18" s="7"/>
      <c r="O18" s="6"/>
      <c r="P18" s="6"/>
      <c r="Q18" s="6"/>
      <c r="R18" s="6"/>
      <c r="S18" s="6"/>
      <c r="T18" s="8"/>
      <c r="U18" s="9"/>
      <c r="V18" s="117">
        <v>0.5</v>
      </c>
    </row>
    <row r="19" spans="1:22" x14ac:dyDescent="0.25">
      <c r="A19" s="26" t="s">
        <v>142</v>
      </c>
      <c r="B19" s="27">
        <v>45785</v>
      </c>
      <c r="C19" s="26">
        <v>570628558</v>
      </c>
      <c r="D19" s="28" t="s">
        <v>24</v>
      </c>
      <c r="E19" s="28" t="s">
        <v>25</v>
      </c>
      <c r="F19" s="16">
        <v>18280.39</v>
      </c>
      <c r="G19" s="16">
        <v>16603.89</v>
      </c>
      <c r="H19" s="142">
        <v>1660.3</v>
      </c>
      <c r="I19" s="30">
        <f>H19*J19</f>
        <v>830.15</v>
      </c>
      <c r="J19" s="117">
        <v>0.5</v>
      </c>
      <c r="K19" s="31"/>
      <c r="L19" s="43"/>
      <c r="M19" s="32"/>
      <c r="N19" s="7"/>
      <c r="O19" s="6"/>
      <c r="P19" s="6"/>
      <c r="Q19" s="6"/>
      <c r="R19" s="6"/>
      <c r="S19" s="6"/>
      <c r="T19" s="8"/>
      <c r="U19" s="9"/>
      <c r="V19" s="117">
        <v>0.5</v>
      </c>
    </row>
    <row r="20" spans="1:22" x14ac:dyDescent="0.25">
      <c r="A20" s="26" t="s">
        <v>143</v>
      </c>
      <c r="B20" s="27">
        <v>45801</v>
      </c>
      <c r="C20" s="26">
        <v>574826358</v>
      </c>
      <c r="D20" s="28" t="s">
        <v>24</v>
      </c>
      <c r="E20" s="28" t="s">
        <v>25</v>
      </c>
      <c r="F20" s="16">
        <v>18280.38</v>
      </c>
      <c r="G20" s="16">
        <v>16603.87</v>
      </c>
      <c r="H20" s="141">
        <v>1660.3</v>
      </c>
      <c r="I20" s="30">
        <f t="shared" si="0"/>
        <v>830.15</v>
      </c>
      <c r="J20" s="117">
        <v>0.5</v>
      </c>
      <c r="K20" s="31"/>
      <c r="L20" s="43"/>
      <c r="M20" s="32"/>
      <c r="N20" s="7"/>
      <c r="O20" s="6"/>
      <c r="P20" s="6"/>
      <c r="Q20" s="6"/>
      <c r="R20" s="6"/>
      <c r="S20" s="6"/>
      <c r="T20" s="8"/>
      <c r="U20" s="9"/>
      <c r="V20" s="117">
        <v>0.5</v>
      </c>
    </row>
    <row r="21" spans="1:22" x14ac:dyDescent="0.25">
      <c r="A21" s="26" t="s">
        <v>143</v>
      </c>
      <c r="B21" s="27">
        <v>45801</v>
      </c>
      <c r="C21" s="26">
        <v>574826358</v>
      </c>
      <c r="D21" s="28" t="s">
        <v>144</v>
      </c>
      <c r="E21" s="28" t="s">
        <v>25</v>
      </c>
      <c r="F21" s="16">
        <v>332.47</v>
      </c>
      <c r="G21" s="16">
        <v>332.47</v>
      </c>
      <c r="H21" s="141">
        <v>49.8</v>
      </c>
      <c r="I21" s="30">
        <f t="shared" si="0"/>
        <v>24.9</v>
      </c>
      <c r="J21" s="117">
        <v>0.5</v>
      </c>
      <c r="K21" s="31"/>
      <c r="L21" s="43"/>
      <c r="M21" s="32"/>
      <c r="N21" s="7"/>
      <c r="O21" s="6"/>
      <c r="P21" s="6"/>
      <c r="Q21" s="6"/>
      <c r="R21" s="6"/>
      <c r="S21" s="6"/>
      <c r="T21" s="8"/>
      <c r="U21" s="9"/>
      <c r="V21" s="117">
        <v>0.5</v>
      </c>
    </row>
    <row r="22" spans="1:22" x14ac:dyDescent="0.25">
      <c r="A22" s="26" t="s">
        <v>135</v>
      </c>
      <c r="B22" s="27">
        <v>45801</v>
      </c>
      <c r="C22" s="26">
        <v>575481715</v>
      </c>
      <c r="D22" s="28" t="s">
        <v>32</v>
      </c>
      <c r="E22" s="28" t="s">
        <v>25</v>
      </c>
      <c r="F22" s="16">
        <v>763.75</v>
      </c>
      <c r="G22" s="16">
        <v>727.38</v>
      </c>
      <c r="H22" s="142">
        <v>109.05</v>
      </c>
      <c r="I22" s="30">
        <f t="shared" si="0"/>
        <v>54.524999999999999</v>
      </c>
      <c r="J22" s="117">
        <v>0.5</v>
      </c>
      <c r="K22" s="44"/>
      <c r="L22" s="43"/>
      <c r="M22" s="43"/>
      <c r="N22" s="7"/>
      <c r="O22" s="6"/>
      <c r="P22" s="6"/>
      <c r="Q22" s="6"/>
      <c r="R22" s="6"/>
      <c r="S22" s="6"/>
      <c r="T22" s="8"/>
      <c r="U22" s="9"/>
      <c r="V22" s="117">
        <v>0.5</v>
      </c>
    </row>
    <row r="23" spans="1:22" x14ac:dyDescent="0.25">
      <c r="A23" s="26" t="s">
        <v>135</v>
      </c>
      <c r="B23" s="27">
        <v>45803</v>
      </c>
      <c r="C23" s="26">
        <v>576490492</v>
      </c>
      <c r="D23" s="28" t="s">
        <v>32</v>
      </c>
      <c r="E23" s="28" t="s">
        <v>25</v>
      </c>
      <c r="F23" s="16">
        <v>796.7</v>
      </c>
      <c r="G23" s="16">
        <v>758.76</v>
      </c>
      <c r="H23" s="143">
        <v>113.81</v>
      </c>
      <c r="I23" s="30">
        <f t="shared" si="0"/>
        <v>56.905000000000001</v>
      </c>
      <c r="J23" s="117">
        <v>0.5</v>
      </c>
      <c r="K23" s="31"/>
      <c r="L23" s="43"/>
      <c r="M23" s="7"/>
      <c r="N23" s="7"/>
      <c r="O23" s="6"/>
      <c r="P23" s="6"/>
      <c r="Q23" s="6"/>
      <c r="R23" s="6"/>
      <c r="S23" s="6"/>
      <c r="T23" s="8"/>
      <c r="U23" s="9"/>
      <c r="V23" s="117">
        <v>0.5</v>
      </c>
    </row>
    <row r="24" spans="1:22" x14ac:dyDescent="0.25">
      <c r="A24" s="26" t="s">
        <v>149</v>
      </c>
      <c r="B24" s="27">
        <v>45806</v>
      </c>
      <c r="C24" s="26">
        <v>576349958</v>
      </c>
      <c r="D24" s="28" t="s">
        <v>24</v>
      </c>
      <c r="E24" s="28" t="s">
        <v>25</v>
      </c>
      <c r="F24" s="16">
        <v>16926.29</v>
      </c>
      <c r="G24" s="16">
        <v>15314.26</v>
      </c>
      <c r="H24" s="143">
        <v>1531.4</v>
      </c>
      <c r="I24" s="30">
        <f t="shared" si="0"/>
        <v>765.7</v>
      </c>
      <c r="J24" s="117">
        <v>0.5</v>
      </c>
      <c r="K24" s="31"/>
      <c r="L24" s="7"/>
      <c r="M24" s="7"/>
      <c r="N24" s="7"/>
      <c r="O24" s="6"/>
      <c r="P24" s="6"/>
      <c r="Q24" s="6"/>
      <c r="R24" s="6"/>
      <c r="S24" s="6"/>
      <c r="T24" s="8"/>
      <c r="U24" s="9"/>
      <c r="V24" s="117">
        <v>0.5</v>
      </c>
    </row>
    <row r="25" spans="1:22" x14ac:dyDescent="0.25">
      <c r="A25" s="26" t="s">
        <v>150</v>
      </c>
      <c r="B25" s="27">
        <v>45807</v>
      </c>
      <c r="C25" s="26">
        <v>576482949</v>
      </c>
      <c r="D25" s="28" t="s">
        <v>24</v>
      </c>
      <c r="E25" s="28" t="s">
        <v>25</v>
      </c>
      <c r="F25" s="16">
        <v>6771.02</v>
      </c>
      <c r="G25" s="144">
        <v>6045.55</v>
      </c>
      <c r="H25" s="145">
        <v>604.5</v>
      </c>
      <c r="I25" s="30">
        <f t="shared" si="0"/>
        <v>302.25</v>
      </c>
      <c r="J25" s="117">
        <v>0.5</v>
      </c>
      <c r="K25" s="31"/>
      <c r="L25" s="7"/>
      <c r="M25" s="7"/>
      <c r="N25" s="7"/>
      <c r="O25" s="6"/>
      <c r="P25" s="6"/>
      <c r="Q25" s="6"/>
      <c r="R25" s="6"/>
      <c r="S25" s="6"/>
      <c r="T25" s="8"/>
      <c r="U25" s="9"/>
      <c r="V25" s="117">
        <v>0.5</v>
      </c>
    </row>
    <row r="26" spans="1:22" x14ac:dyDescent="0.25">
      <c r="A26" s="26" t="s">
        <v>150</v>
      </c>
      <c r="B26" s="27">
        <v>45807</v>
      </c>
      <c r="C26" s="26">
        <v>576461747</v>
      </c>
      <c r="D26" s="28" t="s">
        <v>29</v>
      </c>
      <c r="E26" s="28" t="s">
        <v>25</v>
      </c>
      <c r="F26" s="146">
        <v>12333.68</v>
      </c>
      <c r="G26" s="147">
        <v>11746.37</v>
      </c>
      <c r="H26" s="148">
        <v>1761.9</v>
      </c>
      <c r="I26" s="30">
        <f t="shared" si="0"/>
        <v>880.95</v>
      </c>
      <c r="J26" s="117">
        <v>0.5</v>
      </c>
      <c r="K26" s="31"/>
      <c r="L26" s="7"/>
      <c r="M26" s="7"/>
      <c r="N26" s="6"/>
      <c r="O26" s="6"/>
      <c r="P26" s="6"/>
      <c r="Q26" s="6"/>
      <c r="R26" s="6"/>
      <c r="S26" s="6"/>
      <c r="T26" s="8"/>
      <c r="U26" s="9"/>
      <c r="V26" s="117">
        <v>0.5</v>
      </c>
    </row>
    <row r="27" spans="1:22" x14ac:dyDescent="0.25">
      <c r="A27" s="26"/>
      <c r="B27" s="27"/>
      <c r="C27" s="26"/>
      <c r="D27" s="28"/>
      <c r="E27" s="28"/>
      <c r="F27" s="146"/>
      <c r="G27" s="147"/>
      <c r="H27" s="149"/>
      <c r="I27" s="30">
        <f t="shared" si="0"/>
        <v>0</v>
      </c>
      <c r="J27" s="117">
        <v>0.5</v>
      </c>
      <c r="K27" s="31"/>
      <c r="L27" s="7"/>
      <c r="M27" s="7"/>
      <c r="N27" s="6"/>
      <c r="O27" s="6"/>
      <c r="P27" s="6"/>
      <c r="Q27" s="6"/>
      <c r="R27" s="6"/>
      <c r="S27" s="6"/>
      <c r="T27" s="8"/>
      <c r="U27" s="9"/>
      <c r="V27" s="117">
        <v>0.5</v>
      </c>
    </row>
    <row r="28" spans="1:22" x14ac:dyDescent="0.25">
      <c r="A28" s="26"/>
      <c r="B28" s="27"/>
      <c r="C28" s="26"/>
      <c r="D28" s="28"/>
      <c r="E28" s="28"/>
      <c r="F28" s="146"/>
      <c r="G28" s="150"/>
      <c r="H28" s="151"/>
      <c r="I28" s="30">
        <f t="shared" si="0"/>
        <v>0</v>
      </c>
      <c r="J28" s="117">
        <v>0.5</v>
      </c>
      <c r="K28" s="31"/>
      <c r="L28" s="7"/>
      <c r="M28" s="7"/>
      <c r="N28" s="6"/>
      <c r="O28" s="6"/>
      <c r="P28" s="6"/>
      <c r="Q28" s="6"/>
      <c r="R28" s="6"/>
      <c r="S28" s="6"/>
      <c r="T28" s="8"/>
      <c r="U28" s="9"/>
      <c r="V28" s="117">
        <v>0.5</v>
      </c>
    </row>
    <row r="29" spans="1:22" x14ac:dyDescent="0.25">
      <c r="A29" s="7"/>
      <c r="B29" s="152"/>
      <c r="C29" s="15"/>
      <c r="D29" s="16"/>
      <c r="E29" s="28"/>
      <c r="F29" s="146"/>
      <c r="G29" s="147"/>
      <c r="H29" s="17"/>
      <c r="I29" s="30">
        <f t="shared" si="0"/>
        <v>0</v>
      </c>
      <c r="J29" s="117">
        <v>0.5</v>
      </c>
      <c r="K29" s="31"/>
      <c r="L29" s="7"/>
      <c r="M29" s="7"/>
      <c r="N29" s="6"/>
      <c r="O29" s="6"/>
      <c r="P29" s="6"/>
      <c r="Q29" s="6"/>
      <c r="R29" s="6"/>
      <c r="S29" s="6"/>
      <c r="T29" s="8"/>
      <c r="U29" s="9"/>
      <c r="V29" s="117">
        <v>0.5</v>
      </c>
    </row>
    <row r="30" spans="1:22" x14ac:dyDescent="0.25">
      <c r="A30" s="15"/>
      <c r="B30" s="152"/>
      <c r="C30" s="15"/>
      <c r="D30" s="16"/>
      <c r="E30" s="28"/>
      <c r="F30" s="146"/>
      <c r="G30" s="146"/>
      <c r="H30" s="17"/>
      <c r="I30" s="30">
        <f t="shared" si="0"/>
        <v>0</v>
      </c>
      <c r="J30" s="117">
        <v>0.5</v>
      </c>
      <c r="K30" s="31"/>
      <c r="L30" s="7"/>
      <c r="M30" s="7"/>
      <c r="N30" s="6"/>
      <c r="O30" s="6"/>
      <c r="P30" s="6"/>
      <c r="Q30" s="6"/>
      <c r="R30" s="6"/>
      <c r="S30" s="6"/>
      <c r="T30" s="8"/>
      <c r="U30" s="9"/>
      <c r="V30" s="117">
        <v>0.5</v>
      </c>
    </row>
    <row r="31" spans="1:22" x14ac:dyDescent="0.25">
      <c r="A31" s="7"/>
      <c r="B31" s="32"/>
      <c r="C31" s="7"/>
      <c r="D31" s="6"/>
      <c r="E31" s="16"/>
      <c r="F31" s="52"/>
      <c r="G31" s="16" t="s">
        <v>15</v>
      </c>
      <c r="H31" s="16"/>
      <c r="I31" s="22">
        <f>SUM(I6:I30)</f>
        <v>10734.430000000002</v>
      </c>
      <c r="J31" s="22"/>
      <c r="K31" s="31"/>
      <c r="L31" s="7"/>
      <c r="M31" s="7"/>
      <c r="N31" s="6"/>
      <c r="O31" s="6"/>
      <c r="P31" s="6"/>
      <c r="Q31" s="6"/>
      <c r="R31" s="6"/>
      <c r="S31" s="6"/>
      <c r="T31" s="8"/>
      <c r="U31" s="9"/>
      <c r="V31" s="75"/>
    </row>
    <row r="32" spans="1:22" x14ac:dyDescent="0.25">
      <c r="A32" s="7"/>
      <c r="B32" s="32"/>
      <c r="C32" s="7"/>
      <c r="D32" s="6"/>
      <c r="E32" s="6"/>
      <c r="F32" s="6"/>
      <c r="G32" s="6"/>
      <c r="H32" s="6"/>
      <c r="I32" s="6"/>
      <c r="J32" s="6"/>
      <c r="K32" s="31"/>
      <c r="L32" s="7"/>
      <c r="M32" s="7"/>
      <c r="N32" s="6"/>
      <c r="O32" s="6"/>
      <c r="P32" s="6"/>
      <c r="Q32" s="6"/>
      <c r="R32" s="6"/>
      <c r="S32" s="43"/>
      <c r="T32" s="51"/>
      <c r="U32" s="8"/>
      <c r="V32" s="75"/>
    </row>
    <row r="33" spans="1:22" x14ac:dyDescent="0.25">
      <c r="A33" s="7"/>
      <c r="B33" s="32"/>
      <c r="C33" s="7"/>
      <c r="D33" s="6"/>
      <c r="E33" s="6"/>
      <c r="F33" s="6"/>
      <c r="G33" s="6"/>
      <c r="H33" s="6"/>
      <c r="I33" s="6"/>
      <c r="J33" s="6"/>
      <c r="K33" s="31"/>
      <c r="L33" s="7"/>
      <c r="M33" s="7"/>
      <c r="N33" s="6"/>
      <c r="O33" s="6"/>
      <c r="P33" s="6"/>
      <c r="Q33" s="6"/>
      <c r="R33" s="6"/>
      <c r="S33" s="43"/>
      <c r="T33" s="51"/>
      <c r="U33" s="8"/>
      <c r="V33" s="75"/>
    </row>
    <row r="34" spans="1:22" x14ac:dyDescent="0.25">
      <c r="A34" s="53" t="s">
        <v>145</v>
      </c>
      <c r="B34" s="54"/>
      <c r="C34" s="55"/>
      <c r="D34" s="55">
        <f>F5</f>
        <v>2474.35</v>
      </c>
      <c r="E34" s="16"/>
      <c r="F34" s="16"/>
      <c r="G34" s="16"/>
      <c r="H34" s="16"/>
      <c r="I34" s="16"/>
      <c r="J34" s="16"/>
      <c r="K34" s="12"/>
      <c r="L34" s="53" t="s">
        <v>146</v>
      </c>
      <c r="M34" s="54"/>
      <c r="N34" s="22">
        <f>R5</f>
        <v>0</v>
      </c>
      <c r="O34" s="21"/>
      <c r="P34" s="6"/>
      <c r="Q34" s="6"/>
      <c r="R34" s="6"/>
      <c r="S34" s="43"/>
      <c r="T34" s="32"/>
      <c r="U34" s="8"/>
      <c r="V34" s="75"/>
    </row>
    <row r="35" spans="1:22" x14ac:dyDescent="0.25">
      <c r="A35" s="56" t="s">
        <v>17</v>
      </c>
      <c r="B35" s="57"/>
      <c r="C35" s="58"/>
      <c r="D35" s="153">
        <f>I31</f>
        <v>10734.430000000002</v>
      </c>
      <c r="E35" s="16"/>
      <c r="F35" s="16"/>
      <c r="G35" s="16"/>
      <c r="H35" s="16"/>
      <c r="I35" s="16"/>
      <c r="J35" s="16"/>
      <c r="K35" s="12"/>
      <c r="L35" s="56" t="s">
        <v>18</v>
      </c>
      <c r="M35" s="57"/>
      <c r="N35" s="59"/>
      <c r="O35" s="80"/>
      <c r="P35" s="6"/>
      <c r="Q35" s="6"/>
      <c r="R35" s="6"/>
      <c r="S35" s="6"/>
      <c r="T35" s="8"/>
      <c r="U35" s="9"/>
      <c r="V35" s="75"/>
    </row>
    <row r="36" spans="1:22" x14ac:dyDescent="0.25">
      <c r="A36" s="60" t="s">
        <v>19</v>
      </c>
      <c r="B36" s="60"/>
      <c r="C36" s="61"/>
      <c r="D36" s="154"/>
      <c r="E36" s="6"/>
      <c r="F36" s="6"/>
      <c r="G36" s="6"/>
      <c r="H36" s="6"/>
      <c r="I36" s="6"/>
      <c r="J36" s="6"/>
      <c r="K36" s="31"/>
      <c r="L36" s="60" t="s">
        <v>147</v>
      </c>
      <c r="M36" s="63"/>
      <c r="N36" s="120"/>
      <c r="O36" s="80"/>
      <c r="P36" s="6"/>
      <c r="Q36" s="6"/>
      <c r="R36" s="6"/>
      <c r="S36" s="6"/>
      <c r="T36" s="8"/>
      <c r="U36" s="9"/>
      <c r="V36" s="75"/>
    </row>
    <row r="37" spans="1:22" x14ac:dyDescent="0.25">
      <c r="A37" s="60"/>
      <c r="B37" s="64"/>
      <c r="C37" s="61"/>
      <c r="D37" s="154"/>
      <c r="E37" s="6"/>
      <c r="F37" s="6"/>
      <c r="G37" s="6"/>
      <c r="H37" s="6"/>
      <c r="I37" s="6"/>
      <c r="J37" s="6"/>
      <c r="K37" s="31"/>
      <c r="L37" s="60" t="s">
        <v>148</v>
      </c>
      <c r="M37" s="64"/>
      <c r="N37" s="61"/>
      <c r="O37" s="155"/>
      <c r="P37" s="6"/>
      <c r="Q37" s="6"/>
      <c r="R37" s="6"/>
      <c r="S37" s="6"/>
      <c r="T37" s="8"/>
      <c r="U37" s="9"/>
      <c r="V37" s="75"/>
    </row>
    <row r="38" spans="1:22" x14ac:dyDescent="0.25">
      <c r="A38" s="60"/>
      <c r="B38" s="64"/>
      <c r="C38" s="65"/>
      <c r="D38" s="154"/>
      <c r="E38" s="6"/>
      <c r="F38" s="6"/>
      <c r="G38" s="6"/>
      <c r="H38" s="6"/>
      <c r="I38" s="6"/>
      <c r="J38" s="6"/>
      <c r="K38" s="31"/>
      <c r="L38" s="60" t="s">
        <v>20</v>
      </c>
      <c r="M38" s="62"/>
      <c r="N38" s="65"/>
      <c r="O38" s="154"/>
      <c r="P38" s="6"/>
      <c r="Q38" s="7"/>
      <c r="R38" s="7"/>
      <c r="S38" s="7"/>
      <c r="T38" s="8"/>
      <c r="U38" s="9"/>
      <c r="V38" s="75"/>
    </row>
    <row r="39" spans="1:22" x14ac:dyDescent="0.25">
      <c r="A39" s="60"/>
      <c r="B39" s="66"/>
      <c r="C39" s="67"/>
      <c r="D39" s="154"/>
      <c r="E39" s="6"/>
      <c r="F39" s="6"/>
      <c r="G39" s="6"/>
      <c r="H39" s="6"/>
      <c r="I39" s="6"/>
      <c r="J39" s="6"/>
      <c r="K39" s="31"/>
      <c r="L39" s="60" t="s">
        <v>156</v>
      </c>
      <c r="M39" s="64"/>
      <c r="N39" s="61"/>
      <c r="O39" s="154">
        <v>535.54999999999995</v>
      </c>
      <c r="P39" s="6"/>
      <c r="Q39" s="7"/>
      <c r="R39" s="7"/>
      <c r="S39" s="7"/>
      <c r="T39" s="8"/>
      <c r="U39" s="9"/>
      <c r="V39" s="75"/>
    </row>
    <row r="40" spans="1:22" x14ac:dyDescent="0.25">
      <c r="A40" s="60"/>
      <c r="B40" s="66"/>
      <c r="C40" s="67"/>
      <c r="D40" s="154"/>
      <c r="E40" s="6"/>
      <c r="F40" s="6"/>
      <c r="G40" s="6"/>
      <c r="H40" s="6"/>
      <c r="I40" s="6"/>
      <c r="J40" s="6"/>
      <c r="K40" s="31"/>
      <c r="L40" s="60" t="s">
        <v>157</v>
      </c>
      <c r="M40" s="64"/>
      <c r="N40" s="65"/>
      <c r="O40" s="154">
        <v>723.2</v>
      </c>
      <c r="P40" s="6"/>
      <c r="Q40" s="7"/>
      <c r="R40" s="7"/>
      <c r="S40" s="7"/>
      <c r="T40" s="8"/>
      <c r="U40" s="9"/>
      <c r="V40" s="75"/>
    </row>
    <row r="41" spans="1:22" x14ac:dyDescent="0.25">
      <c r="A41" s="60"/>
      <c r="B41" s="66"/>
      <c r="C41" s="67"/>
      <c r="D41" s="154"/>
      <c r="E41" s="6"/>
      <c r="F41" s="6"/>
      <c r="G41" s="6"/>
      <c r="H41" s="6"/>
      <c r="I41" s="6"/>
      <c r="J41" s="6"/>
      <c r="K41" s="31"/>
      <c r="L41" s="60" t="s">
        <v>158</v>
      </c>
      <c r="M41" s="66"/>
      <c r="N41" s="67"/>
      <c r="O41" s="154">
        <v>287.95</v>
      </c>
      <c r="P41" s="6"/>
      <c r="Q41" s="7"/>
      <c r="R41" s="7"/>
      <c r="S41" s="7"/>
      <c r="T41" s="8"/>
      <c r="U41" s="9"/>
      <c r="V41" s="75"/>
    </row>
    <row r="42" spans="1:22" x14ac:dyDescent="0.25">
      <c r="A42" s="60"/>
      <c r="B42" s="66"/>
      <c r="C42" s="67"/>
      <c r="D42" s="154"/>
      <c r="E42" s="6"/>
      <c r="F42" s="6"/>
      <c r="G42" s="6"/>
      <c r="H42" s="6"/>
      <c r="I42" s="6"/>
      <c r="J42" s="6"/>
      <c r="K42" s="31"/>
      <c r="L42" s="60" t="s">
        <v>159</v>
      </c>
      <c r="M42" s="66"/>
      <c r="N42" s="67"/>
      <c r="O42" s="154">
        <v>421.35</v>
      </c>
      <c r="P42" s="6"/>
      <c r="Q42" s="7"/>
      <c r="R42" s="7"/>
      <c r="S42" s="7"/>
      <c r="T42" s="8"/>
      <c r="U42" s="9"/>
      <c r="V42" s="75"/>
    </row>
    <row r="43" spans="1:22" x14ac:dyDescent="0.25">
      <c r="A43" s="60"/>
      <c r="B43" s="66"/>
      <c r="C43" s="67"/>
      <c r="D43" s="84"/>
      <c r="E43" s="6"/>
      <c r="F43" s="6"/>
      <c r="G43" s="6"/>
      <c r="H43" s="6"/>
      <c r="I43" s="6"/>
      <c r="J43" s="6"/>
      <c r="K43" s="157"/>
      <c r="L43" s="60" t="s">
        <v>160</v>
      </c>
      <c r="M43" s="66"/>
      <c r="N43" s="67"/>
      <c r="O43" s="154">
        <v>286.75</v>
      </c>
      <c r="P43" s="6"/>
      <c r="Q43" s="7"/>
      <c r="R43" s="7"/>
      <c r="S43" s="7"/>
      <c r="T43" s="8"/>
      <c r="U43" s="9"/>
      <c r="V43" s="75"/>
    </row>
    <row r="44" spans="1:22" x14ac:dyDescent="0.25">
      <c r="A44" s="68"/>
      <c r="B44" s="66"/>
      <c r="C44" s="67"/>
      <c r="D44" s="86"/>
      <c r="E44" s="6"/>
      <c r="F44" s="6"/>
      <c r="G44" s="6"/>
      <c r="H44" s="6"/>
      <c r="I44" s="6"/>
      <c r="J44" s="6"/>
      <c r="K44" s="157"/>
      <c r="L44" s="60"/>
      <c r="M44" s="66"/>
      <c r="N44" s="67"/>
      <c r="O44" s="154"/>
      <c r="P44" s="6"/>
      <c r="Q44" s="7"/>
      <c r="R44" s="7"/>
      <c r="S44" s="7"/>
      <c r="T44" s="8"/>
      <c r="U44" s="9"/>
      <c r="V44" s="75"/>
    </row>
    <row r="45" spans="1:22" x14ac:dyDescent="0.25">
      <c r="A45" s="68"/>
      <c r="B45" s="66"/>
      <c r="C45" s="67"/>
      <c r="D45" s="86"/>
      <c r="E45" s="6"/>
      <c r="F45" s="6"/>
      <c r="G45" s="6"/>
      <c r="H45" s="6"/>
      <c r="I45" s="6"/>
      <c r="J45" s="6"/>
      <c r="K45" s="157"/>
      <c r="L45" s="60"/>
      <c r="M45" s="66"/>
      <c r="N45" s="67"/>
      <c r="O45" s="154"/>
      <c r="P45" s="6"/>
      <c r="Q45" s="7"/>
      <c r="R45" s="7"/>
      <c r="S45" s="7"/>
      <c r="T45" s="8"/>
      <c r="U45" s="9"/>
      <c r="V45" s="75"/>
    </row>
    <row r="46" spans="1:22" x14ac:dyDescent="0.25">
      <c r="A46" s="68"/>
      <c r="B46" s="64" t="s">
        <v>15</v>
      </c>
      <c r="C46" s="65"/>
      <c r="D46" s="86">
        <f>D34+D35+D37+D38+D39+D40+D41</f>
        <v>13208.780000000002</v>
      </c>
      <c r="E46" s="6"/>
      <c r="F46" s="6"/>
      <c r="G46" s="6"/>
      <c r="H46" s="6"/>
      <c r="I46" s="6"/>
      <c r="J46" s="6"/>
      <c r="K46" s="31"/>
      <c r="L46" s="60"/>
      <c r="M46" s="64" t="s">
        <v>15</v>
      </c>
      <c r="N46" s="65"/>
      <c r="O46" s="71">
        <f>O39+O40+O41+O42+O43</f>
        <v>2254.8000000000002</v>
      </c>
      <c r="P46" s="6"/>
      <c r="Q46" s="7"/>
      <c r="R46" s="7"/>
      <c r="S46" s="7"/>
      <c r="T46" s="8"/>
      <c r="U46" s="9"/>
      <c r="V46" s="75"/>
    </row>
    <row r="47" spans="1:22" x14ac:dyDescent="0.25">
      <c r="A47" s="75"/>
      <c r="B47" s="75"/>
      <c r="C47" s="75"/>
      <c r="D47" s="75"/>
      <c r="E47" s="75"/>
      <c r="F47" s="75"/>
      <c r="G47" s="168"/>
      <c r="H47" s="168"/>
      <c r="I47" s="168"/>
      <c r="J47" s="168"/>
      <c r="K47" s="31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</row>
    <row r="48" spans="1:22" x14ac:dyDescent="0.25">
      <c r="A48" s="75"/>
      <c r="B48" s="75"/>
      <c r="C48" s="75"/>
      <c r="D48" s="75"/>
      <c r="E48" s="75"/>
      <c r="F48" s="75"/>
      <c r="G48" s="167" t="s">
        <v>21</v>
      </c>
      <c r="H48" s="167"/>
      <c r="I48" s="169">
        <f>D46-O46</f>
        <v>10953.980000000003</v>
      </c>
      <c r="J48" s="168"/>
      <c r="K48" s="31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</row>
    <row r="49" spans="1:22" x14ac:dyDescent="0.25">
      <c r="A49" s="75"/>
      <c r="B49" s="75"/>
      <c r="C49" s="75"/>
      <c r="D49" s="75"/>
      <c r="E49" s="75"/>
      <c r="F49" s="75"/>
      <c r="G49" s="168"/>
      <c r="H49" s="168"/>
      <c r="I49" s="168"/>
      <c r="J49" s="168"/>
      <c r="K49" s="170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</row>
    <row r="50" spans="1:22" x14ac:dyDescent="0.25">
      <c r="K50" s="1"/>
    </row>
  </sheetData>
  <conditionalFormatting sqref="C1:C5 O6:P25 D6:D30 D31:F33">
    <cfRule type="cellIs" dxfId="233" priority="26" operator="equal">
      <formula>15698.2</formula>
    </cfRule>
    <cfRule type="cellIs" dxfId="232" priority="27" operator="equal">
      <formula>"kapalı"</formula>
    </cfRule>
  </conditionalFormatting>
  <conditionalFormatting sqref="D37">
    <cfRule type="cellIs" dxfId="231" priority="1" operator="equal">
      <formula>"K.KART"</formula>
    </cfRule>
  </conditionalFormatting>
  <conditionalFormatting sqref="D38:D41">
    <cfRule type="cellIs" dxfId="230" priority="2" operator="equal">
      <formula>15698.2</formula>
    </cfRule>
    <cfRule type="cellIs" dxfId="229" priority="3" operator="equal">
      <formula>"kapalı"</formula>
    </cfRule>
  </conditionalFormatting>
  <conditionalFormatting sqref="F6:F30 E34:F34 D35:F36 E37:F41 D42:F46">
    <cfRule type="cellIs" dxfId="228" priority="19" operator="equal">
      <formula>15698.2</formula>
    </cfRule>
    <cfRule type="cellIs" dxfId="227" priority="20" operator="equal">
      <formula>"kapalı"</formula>
    </cfRule>
  </conditionalFormatting>
  <conditionalFormatting sqref="N34">
    <cfRule type="cellIs" dxfId="226" priority="16" operator="equal">
      <formula>"K.KART"</formula>
    </cfRule>
  </conditionalFormatting>
  <conditionalFormatting sqref="N4:O4">
    <cfRule type="cellIs" dxfId="225" priority="21" operator="equal">
      <formula>15698.2</formula>
    </cfRule>
    <cfRule type="cellIs" dxfId="224" priority="22" operator="equal">
      <formula>"kapalı"</formula>
    </cfRule>
  </conditionalFormatting>
  <conditionalFormatting sqref="N1:P3 N5:P5 N26:P33 O34:P34 P35:P46">
    <cfRule type="cellIs" dxfId="223" priority="29" operator="equal">
      <formula>15698.2</formula>
    </cfRule>
  </conditionalFormatting>
  <conditionalFormatting sqref="N1:P3 N5:P5 N26:P33">
    <cfRule type="cellIs" dxfId="222" priority="24" operator="equal">
      <formula>"KAPALI"</formula>
    </cfRule>
    <cfRule type="cellIs" dxfId="221" priority="25" operator="equal">
      <formula>"açık"</formula>
    </cfRule>
  </conditionalFormatting>
  <conditionalFormatting sqref="O37">
    <cfRule type="cellIs" dxfId="220" priority="9" operator="equal">
      <formula>"K.KART"</formula>
    </cfRule>
  </conditionalFormatting>
  <conditionalFormatting sqref="O38">
    <cfRule type="cellIs" dxfId="219" priority="10" operator="equal">
      <formula>15698.2</formula>
    </cfRule>
    <cfRule type="cellIs" dxfId="218" priority="11" operator="equal">
      <formula>"kapalı"</formula>
    </cfRule>
  </conditionalFormatting>
  <conditionalFormatting sqref="O39">
    <cfRule type="cellIs" dxfId="217" priority="4" operator="equal">
      <formula>"K.KART"</formula>
    </cfRule>
  </conditionalFormatting>
  <conditionalFormatting sqref="O40:O45">
    <cfRule type="cellIs" dxfId="216" priority="5" operator="equal">
      <formula>15698.2</formula>
    </cfRule>
    <cfRule type="cellIs" dxfId="215" priority="6" operator="equal">
      <formula>"kapalı"</formula>
    </cfRule>
  </conditionalFormatting>
  <conditionalFormatting sqref="O34:P34 P35:P46">
    <cfRule type="cellIs" dxfId="214" priority="13" operator="equal">
      <formula>"KAPALI"</formula>
    </cfRule>
    <cfRule type="cellIs" dxfId="213" priority="14" operator="equal">
      <formula>"açık"</formula>
    </cfRule>
  </conditionalFormatting>
  <conditionalFormatting sqref="P4:U4">
    <cfRule type="cellIs" dxfId="212" priority="23" operator="equal">
      <formula>"K.KART"</formula>
    </cfRule>
  </conditionalFormatting>
  <conditionalFormatting sqref="Q5">
    <cfRule type="cellIs" dxfId="211" priority="15" operator="equal">
      <formula>"K.KART"</formula>
    </cfRule>
  </conditionalFormatting>
  <conditionalFormatting sqref="Q6:Q8">
    <cfRule type="cellIs" dxfId="210" priority="17" operator="equal">
      <formula>15698.2</formula>
    </cfRule>
    <cfRule type="cellIs" dxfId="209" priority="18" operator="equal">
      <formula>"kapalı"</formula>
    </cfRule>
  </conditionalFormatting>
  <conditionalFormatting sqref="Q1:R3 D1:H5">
    <cfRule type="cellIs" dxfId="208" priority="28" operator="equal">
      <formula>"K.KART"</formula>
    </cfRule>
  </conditionalFormatting>
  <conditionalFormatting sqref="R5:R8 G6:G27 E6:E30 Q9:R46 G29:H46">
    <cfRule type="cellIs" dxfId="207" priority="12" operator="equal">
      <formula>"K.KART"</formula>
    </cfRule>
  </conditionalFormatting>
  <pageMargins left="0.7" right="0.7" top="0.75" bottom="0.75" header="0.3" footer="0.3"/>
  <pageSetup paperSize="9" scale="56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C9355-CBFA-4FD5-B8D5-4658EAA4CEBD}">
  <dimension ref="A1:V45"/>
  <sheetViews>
    <sheetView topLeftCell="A28" workbookViewId="0">
      <selection activeCell="U12" sqref="U12"/>
    </sheetView>
  </sheetViews>
  <sheetFormatPr defaultRowHeight="15" x14ac:dyDescent="0.25"/>
  <cols>
    <col min="1" max="1" width="18.42578125" customWidth="1"/>
    <col min="2" max="2" width="13.5703125" customWidth="1"/>
    <col min="3" max="3" width="16.28515625" customWidth="1"/>
    <col min="6" max="6" width="13.85546875" customWidth="1"/>
    <col min="7" max="8" width="12.28515625" customWidth="1"/>
    <col min="9" max="9" width="10.5703125" bestFit="1" customWidth="1"/>
    <col min="10" max="10" width="5.42578125" customWidth="1"/>
    <col min="11" max="11" width="2" customWidth="1"/>
    <col min="12" max="12" width="18.140625" customWidth="1"/>
    <col min="13" max="13" width="16.5703125" customWidth="1"/>
    <col min="14" max="14" width="17.140625" style="188" customWidth="1"/>
    <col min="15" max="15" width="11.28515625" customWidth="1"/>
    <col min="18" max="18" width="13.5703125" customWidth="1"/>
    <col min="19" max="19" width="10.85546875" customWidth="1"/>
    <col min="20" max="20" width="11.42578125" customWidth="1"/>
    <col min="21" max="21" width="9.85546875" customWidth="1"/>
    <col min="22" max="22" width="5.85546875" customWidth="1"/>
  </cols>
  <sheetData>
    <row r="1" spans="1:22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3"/>
      <c r="L1" s="1"/>
      <c r="M1" s="1"/>
      <c r="N1" s="175"/>
      <c r="O1" s="2"/>
      <c r="P1" s="2"/>
      <c r="Q1" s="2"/>
      <c r="R1" s="2"/>
      <c r="S1" s="2"/>
      <c r="T1" s="4"/>
      <c r="U1" s="5"/>
    </row>
    <row r="2" spans="1:22" x14ac:dyDescent="0.25">
      <c r="A2" s="10" t="s">
        <v>0</v>
      </c>
      <c r="B2" s="10"/>
      <c r="C2" s="11"/>
      <c r="D2" s="11"/>
      <c r="E2" s="11"/>
      <c r="F2" s="11"/>
      <c r="G2" s="11"/>
      <c r="H2" s="11"/>
      <c r="I2" s="11"/>
      <c r="J2" s="11"/>
      <c r="K2" s="12"/>
      <c r="L2" s="10" t="s">
        <v>1</v>
      </c>
      <c r="M2" s="10"/>
      <c r="N2" s="176"/>
      <c r="O2" s="11"/>
      <c r="P2" s="11"/>
      <c r="Q2" s="11"/>
      <c r="R2" s="11"/>
      <c r="S2" s="11"/>
      <c r="T2" s="13"/>
      <c r="U2" s="14"/>
      <c r="V2" s="11"/>
    </row>
    <row r="3" spans="1:22" x14ac:dyDescent="0.25">
      <c r="A3" s="15" t="s">
        <v>151</v>
      </c>
      <c r="B3" s="15">
        <v>2025</v>
      </c>
      <c r="C3" s="16"/>
      <c r="D3" s="16"/>
      <c r="E3" s="16"/>
      <c r="F3" s="16"/>
      <c r="G3" s="16"/>
      <c r="H3" s="16"/>
      <c r="I3" s="16"/>
      <c r="J3" s="16"/>
      <c r="K3" s="12"/>
      <c r="L3" s="15" t="s">
        <v>151</v>
      </c>
      <c r="M3" s="15">
        <v>2025</v>
      </c>
      <c r="N3" s="177"/>
      <c r="O3" s="16"/>
      <c r="P3" s="16"/>
      <c r="Q3" s="16"/>
      <c r="R3" s="16"/>
      <c r="S3" s="16"/>
      <c r="T3" s="17"/>
      <c r="U3" s="18"/>
      <c r="V3" s="16"/>
    </row>
    <row r="4" spans="1:22" ht="24" x14ac:dyDescent="0.25">
      <c r="A4" s="90" t="s">
        <v>2</v>
      </c>
      <c r="B4" s="90" t="s">
        <v>3</v>
      </c>
      <c r="C4" s="91" t="s">
        <v>4</v>
      </c>
      <c r="D4" s="91" t="s">
        <v>5</v>
      </c>
      <c r="E4" s="91" t="s">
        <v>6</v>
      </c>
      <c r="F4" s="91" t="s">
        <v>7</v>
      </c>
      <c r="G4" s="91" t="s">
        <v>8</v>
      </c>
      <c r="H4" s="92" t="s">
        <v>9</v>
      </c>
      <c r="I4" s="91" t="s">
        <v>10</v>
      </c>
      <c r="J4" s="91" t="s">
        <v>45</v>
      </c>
      <c r="K4" s="12"/>
      <c r="L4" s="90" t="s">
        <v>2</v>
      </c>
      <c r="M4" s="90" t="s">
        <v>3</v>
      </c>
      <c r="N4" s="178" t="s">
        <v>4</v>
      </c>
      <c r="O4" s="91" t="s">
        <v>11</v>
      </c>
      <c r="P4" s="91" t="s">
        <v>5</v>
      </c>
      <c r="Q4" s="91" t="s">
        <v>6</v>
      </c>
      <c r="R4" s="91" t="s">
        <v>7</v>
      </c>
      <c r="S4" s="91" t="s">
        <v>8</v>
      </c>
      <c r="T4" s="92" t="s">
        <v>12</v>
      </c>
      <c r="U4" s="92" t="s">
        <v>13</v>
      </c>
      <c r="V4" s="91" t="s">
        <v>45</v>
      </c>
    </row>
    <row r="5" spans="1:22" x14ac:dyDescent="0.25">
      <c r="A5" s="20" t="s">
        <v>14</v>
      </c>
      <c r="B5" s="20"/>
      <c r="C5" s="21"/>
      <c r="D5" s="21"/>
      <c r="E5" s="21"/>
      <c r="F5" s="22">
        <v>10953.98</v>
      </c>
      <c r="G5" s="21"/>
      <c r="H5" s="23"/>
      <c r="I5" s="21"/>
      <c r="J5" s="21"/>
      <c r="K5" s="19"/>
      <c r="L5" s="24" t="s">
        <v>14</v>
      </c>
      <c r="M5" s="20"/>
      <c r="N5" s="179"/>
      <c r="O5" s="21"/>
      <c r="P5" s="21"/>
      <c r="Q5" s="21"/>
      <c r="R5" s="22"/>
      <c r="S5" s="21"/>
      <c r="T5" s="23"/>
      <c r="U5" s="25"/>
      <c r="V5" s="21"/>
    </row>
    <row r="6" spans="1:22" x14ac:dyDescent="0.25">
      <c r="A6" s="26" t="s">
        <v>152</v>
      </c>
      <c r="B6" s="27">
        <v>45814</v>
      </c>
      <c r="C6" s="26">
        <v>575774125</v>
      </c>
      <c r="D6" s="28" t="s">
        <v>24</v>
      </c>
      <c r="E6" s="28" t="s">
        <v>25</v>
      </c>
      <c r="F6" s="16">
        <v>13794.3</v>
      </c>
      <c r="G6" s="16">
        <v>12529.19</v>
      </c>
      <c r="H6" s="142">
        <v>1252.9000000000001</v>
      </c>
      <c r="I6" s="30">
        <f t="shared" ref="I6:I31" si="0">H6*J6</f>
        <v>626.45000000000005</v>
      </c>
      <c r="J6" s="117">
        <v>0.5</v>
      </c>
      <c r="K6" s="31"/>
      <c r="L6" s="7" t="s">
        <v>153</v>
      </c>
      <c r="M6" s="32">
        <v>45810</v>
      </c>
      <c r="N6" s="118" t="s">
        <v>154</v>
      </c>
      <c r="O6" s="6" t="s">
        <v>155</v>
      </c>
      <c r="P6" s="6" t="s">
        <v>24</v>
      </c>
      <c r="Q6" s="28" t="s">
        <v>25</v>
      </c>
      <c r="R6" s="6">
        <v>20308.14</v>
      </c>
      <c r="S6" s="6">
        <v>18510.91</v>
      </c>
      <c r="T6" s="29">
        <v>1851</v>
      </c>
      <c r="U6" s="30">
        <f t="shared" ref="U6:U31" si="1">T6*V6</f>
        <v>925.5</v>
      </c>
      <c r="V6" s="117">
        <v>0.5</v>
      </c>
    </row>
    <row r="7" spans="1:22" x14ac:dyDescent="0.25">
      <c r="A7" s="26" t="s">
        <v>135</v>
      </c>
      <c r="B7" s="27">
        <v>45812</v>
      </c>
      <c r="C7" s="26">
        <v>578053687</v>
      </c>
      <c r="D7" s="28" t="s">
        <v>32</v>
      </c>
      <c r="E7" s="28" t="s">
        <v>25</v>
      </c>
      <c r="F7" s="16">
        <v>171.66</v>
      </c>
      <c r="G7" s="16">
        <v>163.47999999999999</v>
      </c>
      <c r="H7" s="141">
        <v>24.6</v>
      </c>
      <c r="I7" s="30">
        <f t="shared" si="0"/>
        <v>12.3</v>
      </c>
      <c r="J7" s="117">
        <v>0.5</v>
      </c>
      <c r="K7" s="31"/>
      <c r="L7" s="7" t="s">
        <v>161</v>
      </c>
      <c r="M7" s="32">
        <v>45813</v>
      </c>
      <c r="N7" s="118" t="s">
        <v>162</v>
      </c>
      <c r="O7" s="6" t="s">
        <v>155</v>
      </c>
      <c r="P7" s="6" t="s">
        <v>24</v>
      </c>
      <c r="Q7" s="28" t="s">
        <v>25</v>
      </c>
      <c r="R7" s="6">
        <v>25495.51</v>
      </c>
      <c r="S7" s="6">
        <v>23017.439999999999</v>
      </c>
      <c r="T7" s="29">
        <v>2301.6999999999998</v>
      </c>
      <c r="U7" s="30">
        <f t="shared" si="1"/>
        <v>1150.8499999999999</v>
      </c>
      <c r="V7" s="117">
        <v>0.5</v>
      </c>
    </row>
    <row r="8" spans="1:22" x14ac:dyDescent="0.25">
      <c r="A8" s="26" t="s">
        <v>165</v>
      </c>
      <c r="B8" s="27">
        <v>45818</v>
      </c>
      <c r="C8" s="26">
        <v>578665088</v>
      </c>
      <c r="D8" s="28" t="s">
        <v>24</v>
      </c>
      <c r="E8" s="28" t="s">
        <v>25</v>
      </c>
      <c r="F8" s="16">
        <v>11158.04</v>
      </c>
      <c r="G8" s="16">
        <v>9962.5499999999993</v>
      </c>
      <c r="H8" s="141">
        <v>996.3</v>
      </c>
      <c r="I8" s="30">
        <f t="shared" si="0"/>
        <v>498.15</v>
      </c>
      <c r="J8" s="117">
        <v>0.5</v>
      </c>
      <c r="K8" s="31"/>
      <c r="L8" s="7" t="s">
        <v>163</v>
      </c>
      <c r="M8" s="32">
        <v>45813</v>
      </c>
      <c r="N8" s="118" t="s">
        <v>164</v>
      </c>
      <c r="O8" s="6" t="s">
        <v>155</v>
      </c>
      <c r="P8" s="6" t="s">
        <v>24</v>
      </c>
      <c r="Q8" s="28" t="s">
        <v>25</v>
      </c>
      <c r="R8" s="6">
        <v>18423.73</v>
      </c>
      <c r="S8" s="6">
        <v>16757.71</v>
      </c>
      <c r="T8" s="29">
        <v>1675.7</v>
      </c>
      <c r="U8" s="30">
        <f t="shared" si="1"/>
        <v>837.85</v>
      </c>
      <c r="V8" s="117">
        <v>0.5</v>
      </c>
    </row>
    <row r="9" spans="1:22" x14ac:dyDescent="0.25">
      <c r="A9" s="26" t="s">
        <v>165</v>
      </c>
      <c r="B9" s="27">
        <v>45827</v>
      </c>
      <c r="C9" s="26">
        <v>578439101</v>
      </c>
      <c r="D9" s="28" t="s">
        <v>29</v>
      </c>
      <c r="E9" s="28" t="s">
        <v>25</v>
      </c>
      <c r="F9" s="16">
        <v>11353.48</v>
      </c>
      <c r="G9" s="16">
        <v>10812.83</v>
      </c>
      <c r="H9" s="141">
        <v>1621.8</v>
      </c>
      <c r="I9" s="30">
        <f t="shared" ref="I9" si="2">H9*J9</f>
        <v>810.9</v>
      </c>
      <c r="J9" s="117">
        <v>0.5</v>
      </c>
      <c r="K9" s="31"/>
      <c r="L9" s="7" t="s">
        <v>169</v>
      </c>
      <c r="M9" s="32">
        <v>45826</v>
      </c>
      <c r="N9" s="118" t="s">
        <v>170</v>
      </c>
      <c r="O9" s="6" t="s">
        <v>155</v>
      </c>
      <c r="P9" s="6" t="s">
        <v>24</v>
      </c>
      <c r="Q9" s="28" t="s">
        <v>25</v>
      </c>
      <c r="R9" s="6">
        <v>7191.68</v>
      </c>
      <c r="S9" s="6">
        <v>6523.8</v>
      </c>
      <c r="T9" s="29">
        <v>652.4</v>
      </c>
      <c r="U9" s="30">
        <f t="shared" si="1"/>
        <v>326.2</v>
      </c>
      <c r="V9" s="117">
        <v>0.5</v>
      </c>
    </row>
    <row r="10" spans="1:22" x14ac:dyDescent="0.25">
      <c r="A10" s="26" t="s">
        <v>166</v>
      </c>
      <c r="B10" s="27">
        <v>45829</v>
      </c>
      <c r="C10" s="26">
        <v>578576235</v>
      </c>
      <c r="D10" s="28" t="s">
        <v>24</v>
      </c>
      <c r="E10" s="140" t="s">
        <v>25</v>
      </c>
      <c r="F10" s="16">
        <v>8132.05</v>
      </c>
      <c r="G10" s="16">
        <v>7260.77</v>
      </c>
      <c r="H10" s="141">
        <v>726.1</v>
      </c>
      <c r="I10" s="30">
        <f t="shared" si="0"/>
        <v>363.05</v>
      </c>
      <c r="J10" s="117">
        <v>0.5</v>
      </c>
      <c r="K10" s="31"/>
      <c r="L10" s="7" t="s">
        <v>172</v>
      </c>
      <c r="M10" s="32">
        <v>45835</v>
      </c>
      <c r="N10" s="118" t="s">
        <v>173</v>
      </c>
      <c r="O10" s="6" t="s">
        <v>43</v>
      </c>
      <c r="P10" s="6" t="s">
        <v>24</v>
      </c>
      <c r="Q10" s="28" t="s">
        <v>25</v>
      </c>
      <c r="R10" s="6">
        <v>11158.43</v>
      </c>
      <c r="S10" s="6">
        <v>9962</v>
      </c>
      <c r="T10" s="29">
        <v>996.2</v>
      </c>
      <c r="U10" s="30">
        <f>T10*V10</f>
        <v>498.1</v>
      </c>
      <c r="V10" s="117">
        <v>0.5</v>
      </c>
    </row>
    <row r="11" spans="1:22" x14ac:dyDescent="0.25">
      <c r="A11" s="26" t="s">
        <v>166</v>
      </c>
      <c r="B11" s="27">
        <v>45829</v>
      </c>
      <c r="C11" s="26">
        <v>578546494</v>
      </c>
      <c r="D11" s="28" t="s">
        <v>29</v>
      </c>
      <c r="E11" s="140" t="s">
        <v>25</v>
      </c>
      <c r="F11" s="16">
        <v>7931.12</v>
      </c>
      <c r="G11" s="16">
        <v>7553.46</v>
      </c>
      <c r="H11" s="142">
        <v>1133.0999999999999</v>
      </c>
      <c r="I11" s="30">
        <f t="shared" si="0"/>
        <v>566.54999999999995</v>
      </c>
      <c r="J11" s="117">
        <v>0.5</v>
      </c>
      <c r="K11" s="31"/>
      <c r="L11" s="7" t="s">
        <v>172</v>
      </c>
      <c r="M11" s="32">
        <v>45828</v>
      </c>
      <c r="N11" s="118">
        <v>21062225379</v>
      </c>
      <c r="O11" s="6" t="s">
        <v>43</v>
      </c>
      <c r="P11" s="6" t="s">
        <v>29</v>
      </c>
      <c r="Q11" s="28" t="s">
        <v>25</v>
      </c>
      <c r="R11" s="16">
        <v>16712.150000000001</v>
      </c>
      <c r="S11" s="16">
        <v>15916.33</v>
      </c>
      <c r="T11" s="165">
        <v>2387.4</v>
      </c>
      <c r="U11" s="30">
        <f t="shared" si="1"/>
        <v>1193.7</v>
      </c>
      <c r="V11" s="117">
        <v>0.5</v>
      </c>
    </row>
    <row r="12" spans="1:22" x14ac:dyDescent="0.25">
      <c r="A12" s="26" t="s">
        <v>135</v>
      </c>
      <c r="B12" s="27">
        <v>45813</v>
      </c>
      <c r="C12" s="26">
        <v>578880925</v>
      </c>
      <c r="D12" s="28" t="s">
        <v>32</v>
      </c>
      <c r="E12" s="28" t="s">
        <v>25</v>
      </c>
      <c r="F12" s="16">
        <v>8415.0300000000007</v>
      </c>
      <c r="G12" s="16">
        <v>8014.32</v>
      </c>
      <c r="H12" s="142">
        <v>1202.0999999999999</v>
      </c>
      <c r="I12" s="30">
        <f t="shared" si="0"/>
        <v>601.04999999999995</v>
      </c>
      <c r="J12" s="117">
        <v>0.5</v>
      </c>
      <c r="K12" s="31"/>
      <c r="L12" s="172" t="s">
        <v>174</v>
      </c>
      <c r="M12" s="173">
        <v>45834</v>
      </c>
      <c r="N12" s="180">
        <v>21062239800</v>
      </c>
      <c r="O12" s="174" t="s">
        <v>43</v>
      </c>
      <c r="P12" s="174" t="s">
        <v>24</v>
      </c>
      <c r="Q12" s="28" t="s">
        <v>25</v>
      </c>
      <c r="R12" s="174">
        <v>6821.44</v>
      </c>
      <c r="S12" s="174">
        <v>6090.56</v>
      </c>
      <c r="T12" s="174">
        <v>609</v>
      </c>
      <c r="U12" s="30">
        <f>T12*V12</f>
        <v>304.5</v>
      </c>
      <c r="V12" s="117">
        <v>0.5</v>
      </c>
    </row>
    <row r="13" spans="1:22" x14ac:dyDescent="0.25">
      <c r="A13" s="26" t="s">
        <v>167</v>
      </c>
      <c r="B13" s="27">
        <v>45819</v>
      </c>
      <c r="C13" s="26">
        <v>577444096</v>
      </c>
      <c r="D13" s="28" t="s">
        <v>24</v>
      </c>
      <c r="E13" s="28" t="s">
        <v>25</v>
      </c>
      <c r="F13" s="16">
        <v>16562.62</v>
      </c>
      <c r="G13" s="16">
        <v>14985.22</v>
      </c>
      <c r="H13" s="142">
        <v>1498.5</v>
      </c>
      <c r="I13" s="30">
        <f t="shared" si="0"/>
        <v>749.25</v>
      </c>
      <c r="J13" s="117">
        <v>0.5</v>
      </c>
      <c r="K13" s="31"/>
      <c r="L13" s="172" t="s">
        <v>174</v>
      </c>
      <c r="M13" s="173">
        <v>45835</v>
      </c>
      <c r="N13" s="180">
        <v>21062239682</v>
      </c>
      <c r="O13" s="174" t="s">
        <v>43</v>
      </c>
      <c r="P13" s="174" t="s">
        <v>29</v>
      </c>
      <c r="Q13" s="28" t="s">
        <v>25</v>
      </c>
      <c r="R13" s="174">
        <v>21225.45</v>
      </c>
      <c r="S13" s="174">
        <v>20214.71</v>
      </c>
      <c r="T13" s="174">
        <v>3032.1</v>
      </c>
      <c r="U13" s="30">
        <f t="shared" si="1"/>
        <v>1516.05</v>
      </c>
      <c r="V13" s="117">
        <v>0.5</v>
      </c>
    </row>
    <row r="14" spans="1:22" x14ac:dyDescent="0.25">
      <c r="A14" s="26" t="s">
        <v>135</v>
      </c>
      <c r="B14" s="27">
        <v>45822</v>
      </c>
      <c r="C14" s="26">
        <v>579940600</v>
      </c>
      <c r="D14" s="28" t="s">
        <v>32</v>
      </c>
      <c r="E14" s="28" t="s">
        <v>25</v>
      </c>
      <c r="F14" s="16">
        <v>2916.01</v>
      </c>
      <c r="G14" s="16">
        <v>2777.16</v>
      </c>
      <c r="H14" s="142">
        <v>416.55</v>
      </c>
      <c r="I14" s="30">
        <f t="shared" si="0"/>
        <v>208.27500000000001</v>
      </c>
      <c r="J14" s="117">
        <v>0.5</v>
      </c>
      <c r="K14" s="31"/>
      <c r="L14" s="7" t="s">
        <v>177</v>
      </c>
      <c r="M14" s="32">
        <v>45835</v>
      </c>
      <c r="N14" s="181" t="s">
        <v>178</v>
      </c>
      <c r="O14" s="6" t="s">
        <v>155</v>
      </c>
      <c r="P14" s="6" t="s">
        <v>24</v>
      </c>
      <c r="Q14" s="16" t="s">
        <v>25</v>
      </c>
      <c r="R14" s="16">
        <v>8727.7999999999993</v>
      </c>
      <c r="S14" s="16">
        <v>8016.35</v>
      </c>
      <c r="T14" s="17">
        <v>801.6</v>
      </c>
      <c r="U14" s="30">
        <f t="shared" si="1"/>
        <v>400.8</v>
      </c>
      <c r="V14" s="117">
        <v>0.5</v>
      </c>
    </row>
    <row r="15" spans="1:22" x14ac:dyDescent="0.25">
      <c r="A15" s="26" t="s">
        <v>135</v>
      </c>
      <c r="B15" s="27">
        <v>45825</v>
      </c>
      <c r="C15" s="26">
        <v>580554911</v>
      </c>
      <c r="D15" s="28" t="s">
        <v>32</v>
      </c>
      <c r="E15" s="28" t="s">
        <v>25</v>
      </c>
      <c r="F15" s="16">
        <v>1076.23</v>
      </c>
      <c r="G15" s="16">
        <v>1024.98</v>
      </c>
      <c r="H15" s="142">
        <v>153.75</v>
      </c>
      <c r="I15" s="30">
        <f t="shared" si="0"/>
        <v>76.875</v>
      </c>
      <c r="J15" s="117">
        <v>0.5</v>
      </c>
      <c r="K15" s="31"/>
      <c r="L15" s="32"/>
      <c r="M15" s="7"/>
      <c r="N15" s="118"/>
      <c r="O15" s="6"/>
      <c r="P15" s="6"/>
      <c r="Q15" s="6"/>
      <c r="R15" s="6"/>
      <c r="S15" s="6"/>
      <c r="T15" s="8"/>
      <c r="U15" s="30">
        <f t="shared" si="1"/>
        <v>0</v>
      </c>
      <c r="V15" s="117">
        <v>0.5</v>
      </c>
    </row>
    <row r="16" spans="1:22" x14ac:dyDescent="0.25">
      <c r="A16" s="26" t="s">
        <v>135</v>
      </c>
      <c r="B16" s="27">
        <v>45825</v>
      </c>
      <c r="C16" s="26">
        <v>580543224</v>
      </c>
      <c r="D16" s="28" t="s">
        <v>32</v>
      </c>
      <c r="E16" s="28" t="s">
        <v>25</v>
      </c>
      <c r="F16" s="16">
        <v>1018.99</v>
      </c>
      <c r="G16" s="16">
        <v>970.47</v>
      </c>
      <c r="H16" s="141">
        <v>145.5</v>
      </c>
      <c r="I16" s="30">
        <f t="shared" si="0"/>
        <v>72.75</v>
      </c>
      <c r="J16" s="117">
        <v>0.5</v>
      </c>
      <c r="K16" s="31"/>
      <c r="L16" s="7"/>
      <c r="M16" s="7"/>
      <c r="N16" s="118"/>
      <c r="O16" s="6"/>
      <c r="P16" s="6"/>
      <c r="Q16" s="6"/>
      <c r="R16" s="6"/>
      <c r="S16" s="6"/>
      <c r="T16" s="8"/>
      <c r="U16" s="30">
        <f t="shared" si="1"/>
        <v>0</v>
      </c>
      <c r="V16" s="117">
        <v>0.5</v>
      </c>
    </row>
    <row r="17" spans="1:22" x14ac:dyDescent="0.25">
      <c r="A17" s="26" t="s">
        <v>135</v>
      </c>
      <c r="B17" s="27">
        <v>45828</v>
      </c>
      <c r="C17" s="26">
        <v>581617459</v>
      </c>
      <c r="D17" s="28" t="s">
        <v>32</v>
      </c>
      <c r="E17" s="28" t="s">
        <v>25</v>
      </c>
      <c r="F17" s="16">
        <v>404.8</v>
      </c>
      <c r="G17" s="16">
        <v>385.52</v>
      </c>
      <c r="H17" s="141">
        <v>57.75</v>
      </c>
      <c r="I17" s="30">
        <f t="shared" si="0"/>
        <v>28.875</v>
      </c>
      <c r="J17" s="117">
        <v>0.5</v>
      </c>
      <c r="K17" s="31"/>
      <c r="L17" s="7"/>
      <c r="M17" s="7"/>
      <c r="N17" s="118"/>
      <c r="O17" s="6"/>
      <c r="P17" s="6"/>
      <c r="Q17" s="6"/>
      <c r="R17" s="6"/>
      <c r="S17" s="6"/>
      <c r="T17" s="8"/>
      <c r="U17" s="30">
        <f t="shared" si="1"/>
        <v>0</v>
      </c>
      <c r="V17" s="117">
        <v>0.5</v>
      </c>
    </row>
    <row r="18" spans="1:22" x14ac:dyDescent="0.25">
      <c r="A18" s="26" t="s">
        <v>171</v>
      </c>
      <c r="B18" s="27">
        <v>45830</v>
      </c>
      <c r="C18" s="26">
        <v>581325005</v>
      </c>
      <c r="D18" s="28" t="s">
        <v>24</v>
      </c>
      <c r="E18" s="28" t="s">
        <v>25</v>
      </c>
      <c r="F18" s="16">
        <v>14222.02</v>
      </c>
      <c r="G18" s="16">
        <v>12893.59</v>
      </c>
      <c r="H18" s="141">
        <v>1289.4000000000001</v>
      </c>
      <c r="I18" s="30">
        <f t="shared" si="0"/>
        <v>644.70000000000005</v>
      </c>
      <c r="J18" s="117">
        <v>0.5</v>
      </c>
      <c r="K18" s="31"/>
      <c r="L18" s="7"/>
      <c r="M18" s="7"/>
      <c r="N18" s="118"/>
      <c r="O18" s="6"/>
      <c r="P18" s="6"/>
      <c r="Q18" s="6"/>
      <c r="R18" s="6"/>
      <c r="S18" s="6"/>
      <c r="T18" s="8"/>
      <c r="U18" s="30">
        <f t="shared" si="1"/>
        <v>0</v>
      </c>
      <c r="V18" s="117">
        <v>0.5</v>
      </c>
    </row>
    <row r="19" spans="1:22" x14ac:dyDescent="0.25">
      <c r="A19" s="26" t="s">
        <v>171</v>
      </c>
      <c r="B19" s="27">
        <v>45828</v>
      </c>
      <c r="C19" s="26">
        <v>581572594</v>
      </c>
      <c r="D19" s="28" t="s">
        <v>175</v>
      </c>
      <c r="E19" s="28" t="s">
        <v>25</v>
      </c>
      <c r="F19" s="16">
        <v>630</v>
      </c>
      <c r="G19" s="16">
        <v>600</v>
      </c>
      <c r="H19" s="142">
        <v>60</v>
      </c>
      <c r="I19" s="30">
        <f t="shared" si="0"/>
        <v>30</v>
      </c>
      <c r="J19" s="117">
        <v>0.5</v>
      </c>
      <c r="K19" s="31"/>
      <c r="L19" s="7"/>
      <c r="M19" s="7"/>
      <c r="N19" s="118"/>
      <c r="O19" s="6"/>
      <c r="P19" s="6"/>
      <c r="Q19" s="6"/>
      <c r="R19" s="6"/>
      <c r="S19" s="6"/>
      <c r="T19" s="8"/>
      <c r="U19" s="30">
        <f t="shared" si="1"/>
        <v>0</v>
      </c>
      <c r="V19" s="117">
        <v>0.5</v>
      </c>
    </row>
    <row r="20" spans="1:22" x14ac:dyDescent="0.25">
      <c r="A20" s="26" t="s">
        <v>135</v>
      </c>
      <c r="B20" s="27">
        <v>45830</v>
      </c>
      <c r="C20" s="26">
        <v>582571952</v>
      </c>
      <c r="D20" s="28" t="s">
        <v>32</v>
      </c>
      <c r="E20" s="28" t="s">
        <v>25</v>
      </c>
      <c r="F20" s="16">
        <v>2102.33</v>
      </c>
      <c r="G20" s="16">
        <v>2002.21</v>
      </c>
      <c r="H20" s="142">
        <v>300.3</v>
      </c>
      <c r="I20" s="30">
        <f>H20*J20</f>
        <v>150.15</v>
      </c>
      <c r="J20" s="117">
        <v>0.5</v>
      </c>
      <c r="K20" s="31"/>
      <c r="L20" s="7"/>
      <c r="M20" s="32"/>
      <c r="N20" s="118"/>
      <c r="O20" s="6"/>
      <c r="P20" s="6"/>
      <c r="Q20" s="6"/>
      <c r="R20" s="6"/>
      <c r="S20" s="6"/>
      <c r="T20" s="8"/>
      <c r="U20" s="30">
        <f t="shared" si="1"/>
        <v>0</v>
      </c>
      <c r="V20" s="117">
        <v>0.5</v>
      </c>
    </row>
    <row r="21" spans="1:22" x14ac:dyDescent="0.25">
      <c r="A21" s="26" t="s">
        <v>135</v>
      </c>
      <c r="B21" s="27">
        <v>45831</v>
      </c>
      <c r="C21" s="26">
        <v>582559783</v>
      </c>
      <c r="D21" s="28" t="s">
        <v>32</v>
      </c>
      <c r="E21" s="28" t="s">
        <v>25</v>
      </c>
      <c r="F21" s="16">
        <v>2939.86</v>
      </c>
      <c r="G21" s="16">
        <v>2799.87</v>
      </c>
      <c r="H21" s="141">
        <v>420</v>
      </c>
      <c r="I21" s="30">
        <f t="shared" si="0"/>
        <v>210</v>
      </c>
      <c r="J21" s="117">
        <v>0.5</v>
      </c>
      <c r="K21" s="31"/>
      <c r="L21" s="7"/>
      <c r="M21" s="32"/>
      <c r="N21" s="118"/>
      <c r="O21" s="6"/>
      <c r="P21" s="6"/>
      <c r="Q21" s="6"/>
      <c r="R21" s="6"/>
      <c r="S21" s="6"/>
      <c r="T21" s="8"/>
      <c r="U21" s="30">
        <f t="shared" si="1"/>
        <v>0</v>
      </c>
      <c r="V21" s="117">
        <v>0.5</v>
      </c>
    </row>
    <row r="22" spans="1:22" x14ac:dyDescent="0.25">
      <c r="A22" s="26" t="s">
        <v>176</v>
      </c>
      <c r="B22" s="27">
        <v>45833</v>
      </c>
      <c r="C22" s="26">
        <v>581300941</v>
      </c>
      <c r="D22" s="28" t="s">
        <v>29</v>
      </c>
      <c r="E22" s="28" t="s">
        <v>25</v>
      </c>
      <c r="F22" s="16">
        <v>14532.77</v>
      </c>
      <c r="G22" s="16">
        <v>13840.73</v>
      </c>
      <c r="H22" s="141">
        <v>2076.15</v>
      </c>
      <c r="I22" s="30">
        <f t="shared" si="0"/>
        <v>1038.075</v>
      </c>
      <c r="J22" s="117">
        <v>0.5</v>
      </c>
      <c r="K22" s="31"/>
      <c r="L22" s="7"/>
      <c r="M22" s="32"/>
      <c r="N22" s="118"/>
      <c r="O22" s="6"/>
      <c r="P22" s="6"/>
      <c r="Q22" s="6"/>
      <c r="R22" s="6"/>
      <c r="S22" s="6"/>
      <c r="T22" s="8"/>
      <c r="U22" s="30">
        <f t="shared" si="1"/>
        <v>0</v>
      </c>
      <c r="V22" s="117">
        <v>0.5</v>
      </c>
    </row>
    <row r="23" spans="1:22" x14ac:dyDescent="0.25">
      <c r="A23" s="26" t="s">
        <v>176</v>
      </c>
      <c r="B23" s="27">
        <v>45837</v>
      </c>
      <c r="C23" s="26">
        <v>582795031</v>
      </c>
      <c r="D23" s="28" t="s">
        <v>24</v>
      </c>
      <c r="E23" s="28" t="s">
        <v>25</v>
      </c>
      <c r="F23" s="16">
        <v>6973.96</v>
      </c>
      <c r="G23" s="16">
        <v>6226.77</v>
      </c>
      <c r="H23" s="142">
        <v>622.70000000000005</v>
      </c>
      <c r="I23" s="30">
        <f t="shared" si="0"/>
        <v>311.35000000000002</v>
      </c>
      <c r="J23" s="117">
        <v>0.5</v>
      </c>
      <c r="K23" s="44"/>
      <c r="L23" s="7"/>
      <c r="M23" s="7"/>
      <c r="N23" s="118"/>
      <c r="O23" s="6"/>
      <c r="P23" s="6"/>
      <c r="Q23" s="6"/>
      <c r="R23" s="6"/>
      <c r="S23" s="6"/>
      <c r="T23" s="8"/>
      <c r="U23" s="30">
        <f t="shared" si="1"/>
        <v>0</v>
      </c>
      <c r="V23" s="117">
        <v>0.5</v>
      </c>
    </row>
    <row r="24" spans="1:22" x14ac:dyDescent="0.25">
      <c r="A24" s="26"/>
      <c r="B24" s="27"/>
      <c r="C24" s="26"/>
      <c r="D24" s="28"/>
      <c r="E24" s="28"/>
      <c r="F24" s="16"/>
      <c r="G24" s="16"/>
      <c r="H24" s="143"/>
      <c r="I24" s="30">
        <f t="shared" si="0"/>
        <v>0</v>
      </c>
      <c r="J24" s="117">
        <v>0.5</v>
      </c>
      <c r="K24" s="31"/>
      <c r="L24" s="7"/>
      <c r="M24" s="7"/>
      <c r="N24" s="118"/>
      <c r="O24" s="6"/>
      <c r="P24" s="6"/>
      <c r="Q24" s="6"/>
      <c r="R24" s="6"/>
      <c r="S24" s="6"/>
      <c r="T24" s="8"/>
      <c r="U24" s="30">
        <f t="shared" si="1"/>
        <v>0</v>
      </c>
      <c r="V24" s="117">
        <v>0.5</v>
      </c>
    </row>
    <row r="25" spans="1:22" x14ac:dyDescent="0.25">
      <c r="A25" s="26"/>
      <c r="B25" s="27"/>
      <c r="C25" s="26"/>
      <c r="D25" s="28"/>
      <c r="E25" s="28"/>
      <c r="F25" s="16"/>
      <c r="G25" s="16"/>
      <c r="H25" s="143"/>
      <c r="I25" s="30">
        <f t="shared" si="0"/>
        <v>0</v>
      </c>
      <c r="J25" s="117">
        <v>0.5</v>
      </c>
      <c r="K25" s="31"/>
      <c r="L25" s="7"/>
      <c r="M25" s="7"/>
      <c r="N25" s="118"/>
      <c r="O25" s="6"/>
      <c r="P25" s="6"/>
      <c r="Q25" s="6"/>
      <c r="R25" s="6"/>
      <c r="S25" s="6"/>
      <c r="T25" s="8"/>
      <c r="U25" s="30">
        <f t="shared" si="1"/>
        <v>0</v>
      </c>
      <c r="V25" s="117">
        <v>0.5</v>
      </c>
    </row>
    <row r="26" spans="1:22" x14ac:dyDescent="0.25">
      <c r="A26" s="26"/>
      <c r="B26" s="27"/>
      <c r="C26" s="26"/>
      <c r="D26" s="28"/>
      <c r="E26" s="28"/>
      <c r="F26" s="16"/>
      <c r="G26" s="144"/>
      <c r="H26" s="145"/>
      <c r="I26" s="30">
        <f t="shared" si="0"/>
        <v>0</v>
      </c>
      <c r="J26" s="117">
        <v>0.5</v>
      </c>
      <c r="K26" s="31"/>
      <c r="L26" s="7"/>
      <c r="M26" s="7"/>
      <c r="N26" s="118"/>
      <c r="O26" s="6"/>
      <c r="P26" s="6"/>
      <c r="Q26" s="6"/>
      <c r="R26" s="6"/>
      <c r="S26" s="6"/>
      <c r="T26" s="8"/>
      <c r="U26" s="30">
        <f t="shared" si="1"/>
        <v>0</v>
      </c>
      <c r="V26" s="117">
        <v>0.5</v>
      </c>
    </row>
    <row r="27" spans="1:22" x14ac:dyDescent="0.25">
      <c r="A27" s="26"/>
      <c r="B27" s="27"/>
      <c r="C27" s="26"/>
      <c r="D27" s="28"/>
      <c r="E27" s="28"/>
      <c r="F27" s="146"/>
      <c r="G27" s="147"/>
      <c r="H27" s="148"/>
      <c r="I27" s="30">
        <f t="shared" si="0"/>
        <v>0</v>
      </c>
      <c r="J27" s="117">
        <v>0.5</v>
      </c>
      <c r="K27" s="31"/>
      <c r="L27" s="7"/>
      <c r="M27" s="7"/>
      <c r="N27" s="118"/>
      <c r="O27" s="6"/>
      <c r="P27" s="6"/>
      <c r="Q27" s="6"/>
      <c r="R27" s="6"/>
      <c r="S27" s="6"/>
      <c r="T27" s="8"/>
      <c r="U27" s="30">
        <f t="shared" si="1"/>
        <v>0</v>
      </c>
      <c r="V27" s="117">
        <v>0.5</v>
      </c>
    </row>
    <row r="28" spans="1:22" x14ac:dyDescent="0.25">
      <c r="A28" s="26"/>
      <c r="B28" s="27"/>
      <c r="C28" s="26"/>
      <c r="D28" s="28"/>
      <c r="E28" s="28"/>
      <c r="F28" s="146"/>
      <c r="G28" s="147"/>
      <c r="H28" s="149"/>
      <c r="I28" s="30">
        <f t="shared" si="0"/>
        <v>0</v>
      </c>
      <c r="J28" s="117">
        <v>0.5</v>
      </c>
      <c r="K28" s="31"/>
      <c r="L28" s="7"/>
      <c r="M28" s="7"/>
      <c r="N28" s="118"/>
      <c r="O28" s="6"/>
      <c r="P28" s="6"/>
      <c r="Q28" s="6"/>
      <c r="R28" s="6"/>
      <c r="S28" s="6"/>
      <c r="T28" s="8"/>
      <c r="U28" s="30">
        <f t="shared" si="1"/>
        <v>0</v>
      </c>
      <c r="V28" s="117">
        <v>0.5</v>
      </c>
    </row>
    <row r="29" spans="1:22" x14ac:dyDescent="0.25">
      <c r="A29" s="26"/>
      <c r="B29" s="27"/>
      <c r="C29" s="26"/>
      <c r="D29" s="28"/>
      <c r="E29" s="28"/>
      <c r="F29" s="146"/>
      <c r="G29" s="150"/>
      <c r="H29" s="151"/>
      <c r="I29" s="30">
        <f t="shared" si="0"/>
        <v>0</v>
      </c>
      <c r="J29" s="117">
        <v>0.5</v>
      </c>
      <c r="K29" s="31"/>
      <c r="L29" s="7"/>
      <c r="M29" s="7"/>
      <c r="N29" s="118"/>
      <c r="O29" s="6"/>
      <c r="P29" s="6"/>
      <c r="Q29" s="6"/>
      <c r="R29" s="6"/>
      <c r="S29" s="6"/>
      <c r="T29" s="8"/>
      <c r="U29" s="30">
        <f t="shared" si="1"/>
        <v>0</v>
      </c>
      <c r="V29" s="117">
        <v>0.5</v>
      </c>
    </row>
    <row r="30" spans="1:22" x14ac:dyDescent="0.25">
      <c r="A30" s="7"/>
      <c r="B30" s="152"/>
      <c r="C30" s="15"/>
      <c r="D30" s="16"/>
      <c r="E30" s="28"/>
      <c r="F30" s="146"/>
      <c r="G30" s="147"/>
      <c r="H30" s="17"/>
      <c r="I30" s="30">
        <f t="shared" si="0"/>
        <v>0</v>
      </c>
      <c r="J30" s="117">
        <v>0.5</v>
      </c>
      <c r="K30" s="31"/>
      <c r="L30" s="7"/>
      <c r="M30" s="7"/>
      <c r="N30" s="118"/>
      <c r="O30" s="6"/>
      <c r="P30" s="6"/>
      <c r="Q30" s="6"/>
      <c r="R30" s="6"/>
      <c r="S30" s="6"/>
      <c r="T30" s="8"/>
      <c r="U30" s="30">
        <f t="shared" si="1"/>
        <v>0</v>
      </c>
      <c r="V30" s="117">
        <v>0.5</v>
      </c>
    </row>
    <row r="31" spans="1:22" x14ac:dyDescent="0.25">
      <c r="A31" s="15"/>
      <c r="B31" s="152"/>
      <c r="C31" s="15"/>
      <c r="D31" s="16"/>
      <c r="E31" s="28"/>
      <c r="F31" s="146"/>
      <c r="G31" s="146"/>
      <c r="H31" s="17"/>
      <c r="I31" s="30">
        <f t="shared" si="0"/>
        <v>0</v>
      </c>
      <c r="J31" s="117">
        <v>0.5</v>
      </c>
      <c r="K31" s="31"/>
      <c r="L31" s="7"/>
      <c r="M31" s="7"/>
      <c r="N31" s="118"/>
      <c r="O31" s="6"/>
      <c r="P31" s="6"/>
      <c r="Q31" s="6"/>
      <c r="R31" s="6"/>
      <c r="S31" s="6"/>
      <c r="T31" s="8"/>
      <c r="U31" s="30">
        <f t="shared" si="1"/>
        <v>0</v>
      </c>
      <c r="V31" s="117">
        <v>0.5</v>
      </c>
    </row>
    <row r="32" spans="1:22" x14ac:dyDescent="0.25">
      <c r="A32" s="7"/>
      <c r="B32" s="32"/>
      <c r="C32" s="7"/>
      <c r="D32" s="6"/>
      <c r="E32" s="16"/>
      <c r="F32" s="52"/>
      <c r="G32" s="16" t="s">
        <v>15</v>
      </c>
      <c r="H32" s="16"/>
      <c r="I32" s="22">
        <f>SUM(I6:I31)</f>
        <v>6998.75</v>
      </c>
      <c r="J32" s="22"/>
      <c r="K32" s="31"/>
      <c r="L32" s="7"/>
      <c r="M32" s="7"/>
      <c r="N32" s="118"/>
      <c r="O32" s="6"/>
      <c r="P32" s="6"/>
      <c r="Q32" s="6"/>
      <c r="R32" s="6"/>
      <c r="S32" s="6" t="s">
        <v>15</v>
      </c>
      <c r="T32" s="8"/>
      <c r="U32" s="116">
        <f>SUM(U6:U31)</f>
        <v>7153.55</v>
      </c>
      <c r="V32" s="171"/>
    </row>
    <row r="33" spans="1:22" x14ac:dyDescent="0.25">
      <c r="A33" s="7"/>
      <c r="B33" s="32"/>
      <c r="C33" s="7"/>
      <c r="D33" s="6"/>
      <c r="E33" s="6"/>
      <c r="F33" s="6"/>
      <c r="G33" s="6"/>
      <c r="H33" s="6"/>
      <c r="I33" s="6"/>
      <c r="J33" s="6"/>
      <c r="K33" s="31"/>
      <c r="L33" s="7"/>
      <c r="M33" s="7"/>
      <c r="N33" s="118"/>
      <c r="O33" s="6"/>
      <c r="P33" s="6"/>
      <c r="Q33" s="6"/>
      <c r="R33" s="6"/>
      <c r="S33" s="43"/>
      <c r="T33" s="51"/>
      <c r="U33" s="8"/>
      <c r="V33" s="75"/>
    </row>
    <row r="34" spans="1:22" x14ac:dyDescent="0.25">
      <c r="A34" s="7"/>
      <c r="B34" s="32"/>
      <c r="C34" s="7"/>
      <c r="D34" s="6"/>
      <c r="E34" s="6"/>
      <c r="F34" s="6"/>
      <c r="G34" s="6"/>
      <c r="H34" s="6"/>
      <c r="I34" s="6"/>
      <c r="J34" s="6"/>
      <c r="K34" s="31"/>
      <c r="L34" s="7"/>
      <c r="M34" s="7"/>
      <c r="N34" s="118"/>
      <c r="O34" s="6"/>
      <c r="P34" s="6"/>
      <c r="Q34" s="6"/>
      <c r="R34" s="6"/>
      <c r="S34" s="43"/>
      <c r="T34" s="51"/>
      <c r="U34" s="8"/>
      <c r="V34" s="75"/>
    </row>
    <row r="35" spans="1:22" x14ac:dyDescent="0.25">
      <c r="A35" s="53" t="s">
        <v>145</v>
      </c>
      <c r="B35" s="54"/>
      <c r="C35" s="55"/>
      <c r="D35" s="55">
        <f>F5</f>
        <v>10953.98</v>
      </c>
      <c r="E35" s="16"/>
      <c r="F35" s="16"/>
      <c r="G35" s="16"/>
      <c r="H35" s="16"/>
      <c r="I35" s="16"/>
      <c r="J35" s="16"/>
      <c r="K35" s="12"/>
      <c r="L35" s="53" t="s">
        <v>146</v>
      </c>
      <c r="M35" s="54"/>
      <c r="N35" s="182"/>
      <c r="O35" s="21" t="s">
        <v>183</v>
      </c>
      <c r="P35" s="6"/>
      <c r="Q35" s="6"/>
      <c r="R35" s="6"/>
      <c r="S35" s="43"/>
      <c r="T35" s="32"/>
      <c r="U35" s="8"/>
      <c r="V35" s="75"/>
    </row>
    <row r="36" spans="1:22" x14ac:dyDescent="0.25">
      <c r="A36" s="56" t="s">
        <v>17</v>
      </c>
      <c r="B36" s="57"/>
      <c r="C36" s="58"/>
      <c r="D36" s="153">
        <f>I32</f>
        <v>6998.75</v>
      </c>
      <c r="E36" s="16"/>
      <c r="F36" s="16"/>
      <c r="G36" s="16"/>
      <c r="H36" s="16"/>
      <c r="I36" s="16"/>
      <c r="J36" s="16"/>
      <c r="K36" s="12"/>
      <c r="L36" s="56" t="s">
        <v>18</v>
      </c>
      <c r="M36" s="57"/>
      <c r="N36" s="183"/>
      <c r="O36" s="80">
        <f>U32</f>
        <v>7153.55</v>
      </c>
      <c r="P36" s="6"/>
      <c r="Q36" s="6"/>
      <c r="R36" s="6"/>
      <c r="S36" s="6"/>
      <c r="T36" s="8"/>
      <c r="U36" s="9"/>
      <c r="V36" s="75"/>
    </row>
    <row r="37" spans="1:22" x14ac:dyDescent="0.25">
      <c r="A37" s="60" t="s">
        <v>19</v>
      </c>
      <c r="B37" s="60"/>
      <c r="C37" s="61"/>
      <c r="D37" s="154"/>
      <c r="E37" s="6"/>
      <c r="F37" s="6"/>
      <c r="G37" s="6"/>
      <c r="H37" s="6"/>
      <c r="I37" s="6"/>
      <c r="J37" s="6"/>
      <c r="K37" s="31"/>
      <c r="L37" s="60" t="s">
        <v>20</v>
      </c>
      <c r="M37" s="62"/>
      <c r="N37" s="184"/>
      <c r="O37" s="80"/>
      <c r="P37" s="6"/>
      <c r="Q37" s="6"/>
      <c r="R37" s="6"/>
      <c r="S37" s="6"/>
      <c r="T37" s="8"/>
      <c r="U37" s="9"/>
      <c r="V37" s="75"/>
    </row>
    <row r="38" spans="1:22" x14ac:dyDescent="0.25">
      <c r="A38" s="60" t="s">
        <v>179</v>
      </c>
      <c r="B38" s="62"/>
      <c r="C38" s="184"/>
      <c r="D38" s="80">
        <v>766.95</v>
      </c>
      <c r="E38" s="6"/>
      <c r="F38" s="6"/>
      <c r="G38" s="6"/>
      <c r="H38" s="6"/>
      <c r="I38" s="6"/>
      <c r="J38" s="6"/>
      <c r="K38" s="31"/>
      <c r="L38" s="60" t="s">
        <v>116</v>
      </c>
      <c r="M38" s="60"/>
      <c r="N38" s="61"/>
      <c r="O38" s="154">
        <v>858</v>
      </c>
      <c r="P38" s="6"/>
      <c r="Q38" s="6"/>
      <c r="R38" s="6"/>
      <c r="S38" s="6"/>
      <c r="T38" s="8"/>
      <c r="U38" s="9"/>
      <c r="V38" s="75"/>
    </row>
    <row r="39" spans="1:22" x14ac:dyDescent="0.25">
      <c r="A39" s="60"/>
      <c r="B39" s="63"/>
      <c r="C39" s="61"/>
      <c r="D39" s="155"/>
      <c r="E39" s="6"/>
      <c r="F39" s="6"/>
      <c r="G39" s="6"/>
      <c r="H39" s="6"/>
      <c r="I39" s="6"/>
      <c r="J39" s="6"/>
      <c r="K39" s="31"/>
      <c r="L39" s="60" t="s">
        <v>182</v>
      </c>
      <c r="M39" s="63"/>
      <c r="N39" s="61"/>
      <c r="O39" s="155">
        <v>282</v>
      </c>
      <c r="P39" s="6"/>
      <c r="Q39" s="6"/>
      <c r="R39" s="6"/>
      <c r="S39" s="6"/>
      <c r="T39" s="8"/>
      <c r="U39" s="9"/>
      <c r="V39" s="75"/>
    </row>
    <row r="40" spans="1:22" x14ac:dyDescent="0.25">
      <c r="A40" s="60"/>
      <c r="B40" s="64"/>
      <c r="C40" s="65"/>
      <c r="D40" s="154"/>
      <c r="E40" s="6"/>
      <c r="F40" s="6"/>
      <c r="G40" s="6"/>
      <c r="H40" s="6"/>
      <c r="I40" s="6"/>
      <c r="J40" s="6"/>
      <c r="K40" s="31"/>
      <c r="L40" s="60"/>
      <c r="M40" s="64"/>
      <c r="N40" s="185"/>
      <c r="O40" s="154"/>
      <c r="P40" s="6"/>
      <c r="Q40" s="7"/>
      <c r="R40" s="7"/>
      <c r="S40" s="7"/>
      <c r="T40" s="8"/>
      <c r="U40" s="9"/>
      <c r="V40" s="75"/>
    </row>
    <row r="41" spans="1:22" x14ac:dyDescent="0.25">
      <c r="A41" s="60"/>
      <c r="B41" s="66"/>
      <c r="C41" s="67"/>
      <c r="D41" s="84"/>
      <c r="E41" s="6"/>
      <c r="F41" s="6"/>
      <c r="G41" s="6"/>
      <c r="H41" s="6"/>
      <c r="I41" s="6"/>
      <c r="J41" s="6"/>
      <c r="K41" s="157"/>
      <c r="L41" s="86"/>
      <c r="M41" s="86"/>
      <c r="N41" s="186"/>
      <c r="O41" s="70"/>
      <c r="P41" s="6"/>
      <c r="Q41" s="7"/>
      <c r="R41" s="7"/>
      <c r="S41" s="7"/>
      <c r="T41" s="8"/>
      <c r="U41" s="9"/>
      <c r="V41" s="75"/>
    </row>
    <row r="42" spans="1:22" x14ac:dyDescent="0.25">
      <c r="A42" s="68"/>
      <c r="B42" s="64" t="s">
        <v>15</v>
      </c>
      <c r="C42" s="65"/>
      <c r="D42" s="86">
        <f>D35+D36+D38+D39</f>
        <v>18719.68</v>
      </c>
      <c r="E42" s="6"/>
      <c r="F42" s="192"/>
      <c r="G42" s="166"/>
      <c r="H42" s="166"/>
      <c r="I42" s="166"/>
      <c r="J42" s="6"/>
      <c r="K42" s="31"/>
      <c r="L42" s="60"/>
      <c r="M42" s="64" t="s">
        <v>15</v>
      </c>
      <c r="N42" s="185"/>
      <c r="O42" s="71">
        <f>O36+O38+O39+O40</f>
        <v>8293.5499999999993</v>
      </c>
      <c r="P42" s="6"/>
      <c r="Q42" s="7"/>
      <c r="R42" s="6"/>
      <c r="S42" s="6"/>
      <c r="T42" s="6"/>
      <c r="U42" s="9"/>
      <c r="V42" s="75"/>
    </row>
    <row r="43" spans="1:22" x14ac:dyDescent="0.25">
      <c r="A43" s="75"/>
      <c r="B43" s="75"/>
      <c r="C43" s="75"/>
      <c r="D43" s="75"/>
      <c r="E43" s="75"/>
      <c r="F43" s="193" t="s">
        <v>184</v>
      </c>
      <c r="G43" s="194"/>
      <c r="H43" s="169">
        <f>D42-O42</f>
        <v>10426.130000000001</v>
      </c>
      <c r="I43" s="169"/>
      <c r="J43" s="75"/>
      <c r="K43" s="31"/>
      <c r="L43" s="75"/>
      <c r="M43" s="75"/>
      <c r="N43" s="187"/>
      <c r="O43" s="75"/>
      <c r="P43" s="75"/>
      <c r="Q43" s="75"/>
      <c r="R43" s="81"/>
      <c r="S43" s="75"/>
      <c r="T43" s="190"/>
      <c r="U43" s="75"/>
      <c r="V43" s="75"/>
    </row>
    <row r="44" spans="1:22" x14ac:dyDescent="0.25">
      <c r="A44" s="43"/>
      <c r="B44" s="51"/>
      <c r="C44" s="191"/>
      <c r="D44" s="190"/>
      <c r="E44" s="75"/>
      <c r="F44" s="168"/>
      <c r="G44" s="168"/>
      <c r="H44" s="168"/>
      <c r="I44" s="168"/>
      <c r="J44" s="75"/>
      <c r="K44" s="31"/>
      <c r="L44" s="75"/>
      <c r="M44" s="75"/>
      <c r="N44" s="187"/>
      <c r="O44" s="75"/>
      <c r="P44" s="75"/>
      <c r="Q44" s="75"/>
      <c r="R44" s="75"/>
      <c r="S44" s="75"/>
      <c r="T44" s="75"/>
      <c r="U44" s="75"/>
      <c r="V44" s="75"/>
    </row>
    <row r="45" spans="1:22" x14ac:dyDescent="0.25">
      <c r="A45" s="75"/>
      <c r="B45" s="75"/>
      <c r="C45" s="75"/>
      <c r="D45" s="75"/>
      <c r="E45" s="75"/>
      <c r="F45" s="168"/>
      <c r="G45" s="168"/>
      <c r="H45" s="168"/>
      <c r="I45" s="168"/>
      <c r="J45" s="75"/>
      <c r="K45" s="31"/>
      <c r="L45" s="75"/>
      <c r="M45" s="75"/>
      <c r="N45" s="187"/>
      <c r="O45" s="75"/>
      <c r="P45" s="75"/>
      <c r="Q45" s="75"/>
      <c r="R45" s="75"/>
      <c r="S45" s="75"/>
      <c r="T45" s="75"/>
      <c r="U45" s="75"/>
      <c r="V45" s="75"/>
    </row>
  </sheetData>
  <conditionalFormatting sqref="C1:C5 D6:D31 D32:F34">
    <cfRule type="cellIs" dxfId="206" priority="36" operator="equal">
      <formula>"kapalı"</formula>
    </cfRule>
    <cfRule type="cellIs" dxfId="205" priority="35" operator="equal">
      <formula>15698.2</formula>
    </cfRule>
  </conditionalFormatting>
  <conditionalFormatting sqref="F6:F31 E35:F35 D36:F37 E38:F39 D40:F42">
    <cfRule type="cellIs" dxfId="204" priority="29" operator="equal">
      <formula>"kapalı"</formula>
    </cfRule>
    <cfRule type="cellIs" dxfId="203" priority="28" operator="equal">
      <formula>15698.2</formula>
    </cfRule>
  </conditionalFormatting>
  <conditionalFormatting sqref="F43">
    <cfRule type="cellIs" dxfId="202" priority="2" operator="equal">
      <formula>15698.2</formula>
    </cfRule>
    <cfRule type="cellIs" dxfId="201" priority="3" operator="equal">
      <formula>"kapalı"</formula>
    </cfRule>
  </conditionalFormatting>
  <conditionalFormatting sqref="G6:G28 E6:E31 G30:H42 D39 Q42:S42">
    <cfRule type="cellIs" dxfId="200" priority="21" operator="equal">
      <formula>"K.KART"</formula>
    </cfRule>
  </conditionalFormatting>
  <conditionalFormatting sqref="G43">
    <cfRule type="cellIs" dxfId="199" priority="1" operator="equal">
      <formula>"K.KART"</formula>
    </cfRule>
  </conditionalFormatting>
  <conditionalFormatting sqref="L41:N41">
    <cfRule type="cellIs" dxfId="198" priority="16" operator="equal">
      <formula>15698.2</formula>
    </cfRule>
    <cfRule type="cellIs" dxfId="197" priority="17" operator="equal">
      <formula>"kapalı"</formula>
    </cfRule>
  </conditionalFormatting>
  <conditionalFormatting sqref="N35">
    <cfRule type="cellIs" dxfId="196" priority="25" operator="equal">
      <formula>"K.KART"</formula>
    </cfRule>
  </conditionalFormatting>
  <conditionalFormatting sqref="N4:O4">
    <cfRule type="cellIs" dxfId="195" priority="31" operator="equal">
      <formula>"kapalı"</formula>
    </cfRule>
    <cfRule type="cellIs" dxfId="194" priority="30" operator="equal">
      <formula>15698.2</formula>
    </cfRule>
  </conditionalFormatting>
  <conditionalFormatting sqref="N1:P3 N5:P5 N27:P34 O35:P35 P36:P42">
    <cfRule type="cellIs" dxfId="193" priority="38" operator="equal">
      <formula>15698.2</formula>
    </cfRule>
  </conditionalFormatting>
  <conditionalFormatting sqref="N1:P3 N5:P5 N27:P34">
    <cfRule type="cellIs" dxfId="192" priority="33" operator="equal">
      <formula>"KAPALI"</formula>
    </cfRule>
    <cfRule type="cellIs" dxfId="191" priority="34" operator="equal">
      <formula>"açık"</formula>
    </cfRule>
  </conditionalFormatting>
  <conditionalFormatting sqref="N12:P12">
    <cfRule type="cellIs" dxfId="190" priority="14" operator="equal">
      <formula>"açık"</formula>
    </cfRule>
    <cfRule type="cellIs" dxfId="189" priority="13" operator="equal">
      <formula>"KAPALI"</formula>
    </cfRule>
  </conditionalFormatting>
  <conditionalFormatting sqref="O38">
    <cfRule type="cellIs" dxfId="188" priority="5" operator="equal">
      <formula>15698.2</formula>
    </cfRule>
    <cfRule type="cellIs" dxfId="187" priority="6" operator="equal">
      <formula>"kapalı"</formula>
    </cfRule>
  </conditionalFormatting>
  <conditionalFormatting sqref="O39">
    <cfRule type="cellIs" dxfId="186" priority="4" operator="equal">
      <formula>"K.KART"</formula>
    </cfRule>
  </conditionalFormatting>
  <conditionalFormatting sqref="O40">
    <cfRule type="cellIs" dxfId="185" priority="20" operator="equal">
      <formula>"kapalı"</formula>
    </cfRule>
    <cfRule type="cellIs" dxfId="184" priority="19" operator="equal">
      <formula>15698.2</formula>
    </cfRule>
  </conditionalFormatting>
  <conditionalFormatting sqref="O6:P26 N12">
    <cfRule type="cellIs" dxfId="183" priority="12" operator="equal">
      <formula>15698.2</formula>
    </cfRule>
  </conditionalFormatting>
  <conditionalFormatting sqref="O6:P26">
    <cfRule type="cellIs" dxfId="182" priority="10" operator="equal">
      <formula>"kapalı"</formula>
    </cfRule>
  </conditionalFormatting>
  <conditionalFormatting sqref="O35:P35 P36:P42">
    <cfRule type="cellIs" dxfId="181" priority="22" operator="equal">
      <formula>"KAPALI"</formula>
    </cfRule>
    <cfRule type="cellIs" dxfId="180" priority="23" operator="equal">
      <formula>"açık"</formula>
    </cfRule>
  </conditionalFormatting>
  <conditionalFormatting sqref="P4:U4">
    <cfRule type="cellIs" dxfId="179" priority="32" operator="equal">
      <formula>"K.KART"</formula>
    </cfRule>
  </conditionalFormatting>
  <conditionalFormatting sqref="Q6:Q13">
    <cfRule type="cellIs" dxfId="178" priority="11" operator="equal">
      <formula>"K.KART"</formula>
    </cfRule>
  </conditionalFormatting>
  <conditionalFormatting sqref="Q13">
    <cfRule type="cellIs" dxfId="177" priority="9" operator="equal">
      <formula>"kapalı"</formula>
    </cfRule>
    <cfRule type="cellIs" dxfId="176" priority="8" operator="equal">
      <formula>15698.2</formula>
    </cfRule>
  </conditionalFormatting>
  <conditionalFormatting sqref="Q1:R3 D1:H5">
    <cfRule type="cellIs" dxfId="175" priority="37" operator="equal">
      <formula>"K.KART"</formula>
    </cfRule>
  </conditionalFormatting>
  <conditionalFormatting sqref="Q5:R11 Q14:R41">
    <cfRule type="cellIs" dxfId="174" priority="15" operator="equal">
      <formula>"K.KART"</formula>
    </cfRule>
  </conditionalFormatting>
  <conditionalFormatting sqref="R12:S13">
    <cfRule type="cellIs" dxfId="173" priority="7" operator="equal">
      <formula>"K.KART"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9969-1B1A-40EE-8853-737EF4F18EE1}">
  <dimension ref="A1:V48"/>
  <sheetViews>
    <sheetView topLeftCell="A4" workbookViewId="0">
      <selection activeCell="E15" sqref="E15"/>
    </sheetView>
  </sheetViews>
  <sheetFormatPr defaultRowHeight="15" x14ac:dyDescent="0.25"/>
  <cols>
    <col min="1" max="1" width="22.42578125" customWidth="1"/>
    <col min="2" max="2" width="11.28515625" customWidth="1"/>
    <col min="3" max="3" width="12.7109375" customWidth="1"/>
    <col min="4" max="4" width="10.140625" customWidth="1"/>
    <col min="5" max="5" width="10.5703125" customWidth="1"/>
    <col min="6" max="6" width="13.42578125" customWidth="1"/>
    <col min="7" max="7" width="11.28515625" customWidth="1"/>
    <col min="8" max="8" width="11" customWidth="1"/>
    <col min="9" max="9" width="11.5703125" customWidth="1"/>
    <col min="10" max="10" width="5.85546875" customWidth="1"/>
    <col min="11" max="11" width="1.85546875" customWidth="1"/>
    <col min="12" max="12" width="17.85546875" customWidth="1"/>
    <col min="13" max="13" width="11.28515625" customWidth="1"/>
    <col min="14" max="15" width="12" customWidth="1"/>
    <col min="16" max="16" width="11" customWidth="1"/>
    <col min="17" max="17" width="10.28515625" customWidth="1"/>
    <col min="18" max="18" width="14" customWidth="1"/>
    <col min="19" max="19" width="12" customWidth="1"/>
    <col min="20" max="20" width="11.42578125" customWidth="1"/>
    <col min="21" max="21" width="13.28515625" customWidth="1"/>
    <col min="22" max="22" width="6.140625" customWidth="1"/>
  </cols>
  <sheetData>
    <row r="1" spans="1:22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3"/>
      <c r="L1" s="1"/>
      <c r="M1" s="1"/>
      <c r="N1" s="175"/>
      <c r="O1" s="2"/>
      <c r="P1" s="2"/>
      <c r="Q1" s="2"/>
      <c r="R1" s="2"/>
      <c r="S1" s="2"/>
      <c r="T1" s="4"/>
      <c r="U1" s="5"/>
    </row>
    <row r="2" spans="1:22" x14ac:dyDescent="0.25">
      <c r="A2" s="10" t="s">
        <v>0</v>
      </c>
      <c r="B2" s="10"/>
      <c r="C2" s="11"/>
      <c r="D2" s="11"/>
      <c r="E2" s="11"/>
      <c r="F2" s="11"/>
      <c r="G2" s="11"/>
      <c r="H2" s="11"/>
      <c r="I2" s="11"/>
      <c r="J2" s="11"/>
      <c r="K2" s="12"/>
      <c r="L2" s="10" t="s">
        <v>1</v>
      </c>
      <c r="M2" s="10"/>
      <c r="N2" s="176"/>
      <c r="O2" s="11"/>
      <c r="P2" s="11"/>
      <c r="Q2" s="11"/>
      <c r="R2" s="11"/>
      <c r="S2" s="11"/>
      <c r="T2" s="13"/>
      <c r="U2" s="14"/>
      <c r="V2" s="11"/>
    </row>
    <row r="3" spans="1:22" x14ac:dyDescent="0.25">
      <c r="A3" s="15" t="s">
        <v>180</v>
      </c>
      <c r="B3" s="15">
        <v>2025</v>
      </c>
      <c r="C3" s="16"/>
      <c r="D3" s="16"/>
      <c r="E3" s="16"/>
      <c r="F3" s="16"/>
      <c r="G3" s="16"/>
      <c r="H3" s="16"/>
      <c r="I3" s="16"/>
      <c r="J3" s="16"/>
      <c r="K3" s="12"/>
      <c r="L3" s="15" t="s">
        <v>180</v>
      </c>
      <c r="M3" s="15">
        <v>2025</v>
      </c>
      <c r="N3" s="177"/>
      <c r="O3" s="16"/>
      <c r="P3" s="16"/>
      <c r="Q3" s="16"/>
      <c r="R3" s="16"/>
      <c r="S3" s="16"/>
      <c r="T3" s="17"/>
      <c r="U3" s="18"/>
      <c r="V3" s="16"/>
    </row>
    <row r="4" spans="1:22" ht="24" x14ac:dyDescent="0.25">
      <c r="A4" s="90" t="s">
        <v>2</v>
      </c>
      <c r="B4" s="90" t="s">
        <v>3</v>
      </c>
      <c r="C4" s="91" t="s">
        <v>4</v>
      </c>
      <c r="D4" s="91" t="s">
        <v>5</v>
      </c>
      <c r="E4" s="91" t="s">
        <v>6</v>
      </c>
      <c r="F4" s="91" t="s">
        <v>7</v>
      </c>
      <c r="G4" s="91" t="s">
        <v>8</v>
      </c>
      <c r="H4" s="92" t="s">
        <v>9</v>
      </c>
      <c r="I4" s="91" t="s">
        <v>10</v>
      </c>
      <c r="J4" s="91" t="s">
        <v>45</v>
      </c>
      <c r="K4" s="12"/>
      <c r="L4" s="90" t="s">
        <v>2</v>
      </c>
      <c r="M4" s="90" t="s">
        <v>3</v>
      </c>
      <c r="N4" s="178" t="s">
        <v>4</v>
      </c>
      <c r="O4" s="91" t="s">
        <v>11</v>
      </c>
      <c r="P4" s="91" t="s">
        <v>5</v>
      </c>
      <c r="Q4" s="91" t="s">
        <v>6</v>
      </c>
      <c r="R4" s="91" t="s">
        <v>7</v>
      </c>
      <c r="S4" s="91" t="s">
        <v>8</v>
      </c>
      <c r="T4" s="92" t="s">
        <v>12</v>
      </c>
      <c r="U4" s="92" t="s">
        <v>13</v>
      </c>
      <c r="V4" s="91" t="s">
        <v>45</v>
      </c>
    </row>
    <row r="5" spans="1:22" x14ac:dyDescent="0.25">
      <c r="A5" s="195" t="s">
        <v>14</v>
      </c>
      <c r="B5" s="195"/>
      <c r="C5" s="22"/>
      <c r="D5" s="22"/>
      <c r="E5" s="22"/>
      <c r="F5" s="22"/>
      <c r="G5" s="22"/>
      <c r="H5" s="55"/>
      <c r="I5" s="22">
        <v>10426.129999999999</v>
      </c>
      <c r="J5" s="21"/>
      <c r="K5" s="19"/>
      <c r="L5" s="24" t="s">
        <v>14</v>
      </c>
      <c r="M5" s="20"/>
      <c r="N5" s="179"/>
      <c r="O5" s="21"/>
      <c r="P5" s="21"/>
      <c r="Q5" s="21"/>
      <c r="R5" s="22"/>
      <c r="S5" s="21"/>
      <c r="T5" s="23"/>
      <c r="U5" s="25"/>
      <c r="V5" s="21"/>
    </row>
    <row r="6" spans="1:22" x14ac:dyDescent="0.25">
      <c r="A6" s="26" t="s">
        <v>181</v>
      </c>
      <c r="B6" s="27">
        <v>45844</v>
      </c>
      <c r="C6" s="26">
        <v>584333711</v>
      </c>
      <c r="D6" s="28" t="s">
        <v>123</v>
      </c>
      <c r="E6" s="189" t="s">
        <v>25</v>
      </c>
      <c r="F6" s="16">
        <v>47770.79</v>
      </c>
      <c r="G6" s="16">
        <v>45446.17</v>
      </c>
      <c r="H6" s="142">
        <v>6816.9</v>
      </c>
      <c r="I6" s="30">
        <f t="shared" ref="I6:I31" si="0">H6*J6</f>
        <v>3408.45</v>
      </c>
      <c r="J6" s="117">
        <v>0.5</v>
      </c>
      <c r="K6" s="31"/>
      <c r="L6" s="7" t="s">
        <v>187</v>
      </c>
      <c r="M6" s="32">
        <v>45855</v>
      </c>
      <c r="N6" s="118" t="s">
        <v>188</v>
      </c>
      <c r="O6" s="6" t="s">
        <v>50</v>
      </c>
      <c r="P6" s="6" t="s">
        <v>189</v>
      </c>
      <c r="Q6" s="28" t="s">
        <v>25</v>
      </c>
      <c r="R6" s="6">
        <v>1579</v>
      </c>
      <c r="S6" s="6">
        <v>1579</v>
      </c>
      <c r="T6" s="29">
        <v>158</v>
      </c>
      <c r="U6" s="30">
        <f t="shared" ref="U6:U31" si="1">T6*V6</f>
        <v>79</v>
      </c>
      <c r="V6" s="117">
        <v>0.5</v>
      </c>
    </row>
    <row r="7" spans="1:22" x14ac:dyDescent="0.25">
      <c r="A7" s="26" t="s">
        <v>31</v>
      </c>
      <c r="B7" s="27">
        <v>45841</v>
      </c>
      <c r="C7" s="26">
        <v>585837714</v>
      </c>
      <c r="D7" s="28" t="s">
        <v>32</v>
      </c>
      <c r="E7" s="28" t="s">
        <v>25</v>
      </c>
      <c r="F7" s="16">
        <v>895.95</v>
      </c>
      <c r="G7" s="16">
        <v>853.28</v>
      </c>
      <c r="H7" s="141">
        <v>127.95</v>
      </c>
      <c r="I7" s="30">
        <f t="shared" si="0"/>
        <v>63.975000000000001</v>
      </c>
      <c r="J7" s="117">
        <v>0.5</v>
      </c>
      <c r="K7" s="31"/>
      <c r="L7" s="7" t="s">
        <v>196</v>
      </c>
      <c r="M7" s="32">
        <v>45842</v>
      </c>
      <c r="N7" s="118">
        <v>62305295</v>
      </c>
      <c r="O7" s="6" t="s">
        <v>197</v>
      </c>
      <c r="P7" s="6" t="s">
        <v>29</v>
      </c>
      <c r="Q7" s="28" t="s">
        <v>25</v>
      </c>
      <c r="R7" s="6">
        <v>65624.460000000006</v>
      </c>
      <c r="S7" s="6">
        <v>62499.48</v>
      </c>
      <c r="T7" s="29">
        <v>9376</v>
      </c>
      <c r="U7" s="30">
        <f t="shared" si="1"/>
        <v>4688</v>
      </c>
      <c r="V7" s="117">
        <v>0.5</v>
      </c>
    </row>
    <row r="8" spans="1:22" x14ac:dyDescent="0.25">
      <c r="A8" s="26" t="s">
        <v>185</v>
      </c>
      <c r="B8" s="27">
        <v>45850</v>
      </c>
      <c r="C8" s="26">
        <v>586042118</v>
      </c>
      <c r="D8" s="28" t="s">
        <v>66</v>
      </c>
      <c r="E8" s="28" t="s">
        <v>25</v>
      </c>
      <c r="F8" s="16">
        <v>6531.29</v>
      </c>
      <c r="G8" s="16">
        <v>6216.24</v>
      </c>
      <c r="H8" s="141">
        <v>932.4</v>
      </c>
      <c r="I8" s="30">
        <f t="shared" si="0"/>
        <v>466.2</v>
      </c>
      <c r="J8" s="117">
        <v>0.5</v>
      </c>
      <c r="K8" s="31"/>
      <c r="L8" s="7"/>
      <c r="M8" s="32"/>
      <c r="N8" s="118"/>
      <c r="O8" s="6"/>
      <c r="P8" s="6"/>
      <c r="Q8" s="28"/>
      <c r="R8" s="6"/>
      <c r="S8" s="6"/>
      <c r="T8" s="29"/>
      <c r="U8" s="30">
        <f t="shared" si="1"/>
        <v>0</v>
      </c>
      <c r="V8" s="117">
        <v>0.5</v>
      </c>
    </row>
    <row r="9" spans="1:22" x14ac:dyDescent="0.25">
      <c r="A9" s="26" t="s">
        <v>186</v>
      </c>
      <c r="B9" s="27">
        <v>45846</v>
      </c>
      <c r="C9" s="26">
        <v>586075407</v>
      </c>
      <c r="D9" s="28" t="s">
        <v>29</v>
      </c>
      <c r="E9" s="28" t="s">
        <v>25</v>
      </c>
      <c r="F9" s="16">
        <v>11636.45</v>
      </c>
      <c r="G9" s="16">
        <v>11082.31</v>
      </c>
      <c r="H9" s="141">
        <v>1662.37</v>
      </c>
      <c r="I9" s="30">
        <f t="shared" si="0"/>
        <v>831.18499999999995</v>
      </c>
      <c r="J9" s="117">
        <v>0.5</v>
      </c>
      <c r="K9" s="31"/>
      <c r="L9" s="7"/>
      <c r="M9" s="32"/>
      <c r="N9" s="118"/>
      <c r="O9" s="6"/>
      <c r="P9" s="6"/>
      <c r="Q9" s="28"/>
      <c r="R9" s="6"/>
      <c r="S9" s="6"/>
      <c r="T9" s="29"/>
      <c r="U9" s="30">
        <f t="shared" si="1"/>
        <v>0</v>
      </c>
      <c r="V9" s="117">
        <v>0.5</v>
      </c>
    </row>
    <row r="10" spans="1:22" x14ac:dyDescent="0.25">
      <c r="A10" s="26" t="s">
        <v>31</v>
      </c>
      <c r="B10" s="27">
        <v>45848</v>
      </c>
      <c r="C10" s="26">
        <v>587440983</v>
      </c>
      <c r="D10" s="28" t="s">
        <v>32</v>
      </c>
      <c r="E10" s="28" t="s">
        <v>25</v>
      </c>
      <c r="F10" s="16">
        <v>396.42</v>
      </c>
      <c r="G10" s="16">
        <v>377.55</v>
      </c>
      <c r="H10" s="141">
        <v>56.55</v>
      </c>
      <c r="I10" s="30">
        <f t="shared" si="0"/>
        <v>28.274999999999999</v>
      </c>
      <c r="J10" s="117">
        <v>0.5</v>
      </c>
      <c r="K10" s="31"/>
      <c r="L10" s="7"/>
      <c r="M10" s="32"/>
      <c r="N10" s="118"/>
      <c r="O10" s="6"/>
      <c r="P10" s="6"/>
      <c r="Q10" s="28"/>
      <c r="R10" s="6"/>
      <c r="S10" s="6"/>
      <c r="T10" s="29"/>
      <c r="U10" s="30">
        <f t="shared" si="1"/>
        <v>0</v>
      </c>
      <c r="V10" s="117">
        <v>0.5</v>
      </c>
    </row>
    <row r="11" spans="1:22" x14ac:dyDescent="0.25">
      <c r="A11" s="26" t="s">
        <v>190</v>
      </c>
      <c r="B11" s="27">
        <v>45859</v>
      </c>
      <c r="C11" s="26">
        <v>589187941</v>
      </c>
      <c r="D11" s="28" t="s">
        <v>24</v>
      </c>
      <c r="E11" s="28" t="s">
        <v>25</v>
      </c>
      <c r="F11" s="16">
        <v>19205.22</v>
      </c>
      <c r="G11" s="16">
        <v>17443.91</v>
      </c>
      <c r="H11" s="142">
        <v>1744.3</v>
      </c>
      <c r="I11" s="30">
        <f t="shared" si="0"/>
        <v>872.15</v>
      </c>
      <c r="J11" s="117">
        <v>0.5</v>
      </c>
      <c r="K11" s="31"/>
      <c r="L11" s="7"/>
      <c r="M11" s="32"/>
      <c r="N11" s="118"/>
      <c r="O11" s="6"/>
      <c r="P11" s="6"/>
      <c r="Q11" s="28"/>
      <c r="R11" s="16"/>
      <c r="S11" s="16"/>
      <c r="T11" s="165"/>
      <c r="U11" s="30">
        <f t="shared" si="1"/>
        <v>0</v>
      </c>
      <c r="V11" s="117">
        <v>0.5</v>
      </c>
    </row>
    <row r="12" spans="1:22" x14ac:dyDescent="0.25">
      <c r="A12" s="26" t="s">
        <v>31</v>
      </c>
      <c r="B12" s="27">
        <v>45855</v>
      </c>
      <c r="C12" s="26">
        <v>589230939</v>
      </c>
      <c r="D12" s="28" t="s">
        <v>32</v>
      </c>
      <c r="E12" s="28" t="s">
        <v>25</v>
      </c>
      <c r="F12" s="16">
        <v>5082.96</v>
      </c>
      <c r="G12" s="16">
        <v>4840.92</v>
      </c>
      <c r="H12" s="200">
        <v>726</v>
      </c>
      <c r="I12" s="30">
        <f t="shared" si="0"/>
        <v>363</v>
      </c>
      <c r="J12" s="117">
        <v>0.5</v>
      </c>
      <c r="K12" s="31"/>
      <c r="L12" s="172"/>
      <c r="M12" s="173"/>
      <c r="N12" s="180"/>
      <c r="O12" s="174"/>
      <c r="P12" s="174"/>
      <c r="Q12" s="28"/>
      <c r="R12" s="174"/>
      <c r="S12" s="174"/>
      <c r="T12" s="174"/>
      <c r="U12" s="30">
        <f t="shared" si="1"/>
        <v>0</v>
      </c>
      <c r="V12" s="117">
        <v>0.5</v>
      </c>
    </row>
    <row r="13" spans="1:22" x14ac:dyDescent="0.25">
      <c r="A13" s="26" t="s">
        <v>31</v>
      </c>
      <c r="B13" s="27">
        <v>45856</v>
      </c>
      <c r="C13" s="26">
        <v>589257207</v>
      </c>
      <c r="D13" s="28" t="s">
        <v>32</v>
      </c>
      <c r="E13" s="28" t="s">
        <v>25</v>
      </c>
      <c r="F13" s="16">
        <v>5061.8100000000004</v>
      </c>
      <c r="G13" s="16">
        <v>4820.7700000000004</v>
      </c>
      <c r="H13" s="200">
        <v>723</v>
      </c>
      <c r="I13" s="30">
        <f t="shared" si="0"/>
        <v>361.5</v>
      </c>
      <c r="J13" s="117">
        <v>0.5</v>
      </c>
      <c r="K13" s="31"/>
      <c r="L13" s="172"/>
      <c r="M13" s="173"/>
      <c r="N13" s="180"/>
      <c r="O13" s="174"/>
      <c r="P13" s="174"/>
      <c r="Q13" s="28"/>
      <c r="R13" s="174"/>
      <c r="S13" s="174"/>
      <c r="T13" s="174"/>
      <c r="U13" s="30">
        <f t="shared" si="1"/>
        <v>0</v>
      </c>
      <c r="V13" s="117">
        <v>0.5</v>
      </c>
    </row>
    <row r="14" spans="1:22" x14ac:dyDescent="0.25">
      <c r="A14" s="26" t="s">
        <v>191</v>
      </c>
      <c r="B14" s="27">
        <v>45869</v>
      </c>
      <c r="C14" s="26">
        <v>590528946</v>
      </c>
      <c r="D14" s="28" t="s">
        <v>29</v>
      </c>
      <c r="E14" s="28" t="s">
        <v>25</v>
      </c>
      <c r="F14" s="16">
        <v>24305.37</v>
      </c>
      <c r="G14" s="16">
        <v>23147.95</v>
      </c>
      <c r="H14" s="142">
        <v>3472.05</v>
      </c>
      <c r="I14" s="30">
        <f t="shared" si="0"/>
        <v>1736.0250000000001</v>
      </c>
      <c r="J14" s="117">
        <v>0.5</v>
      </c>
      <c r="K14" s="31"/>
      <c r="L14" s="7"/>
      <c r="M14" s="32"/>
      <c r="N14" s="181"/>
      <c r="O14" s="6"/>
      <c r="P14" s="6"/>
      <c r="Q14" s="16"/>
      <c r="R14" s="16"/>
      <c r="S14" s="16"/>
      <c r="T14" s="17"/>
      <c r="U14" s="30">
        <f t="shared" si="1"/>
        <v>0</v>
      </c>
      <c r="V14" s="117">
        <v>0.5</v>
      </c>
    </row>
    <row r="15" spans="1:22" x14ac:dyDescent="0.25">
      <c r="A15" s="26" t="s">
        <v>191</v>
      </c>
      <c r="B15" s="27">
        <v>45869</v>
      </c>
      <c r="C15" s="26">
        <v>591833668</v>
      </c>
      <c r="D15" s="28" t="s">
        <v>24</v>
      </c>
      <c r="E15" s="164" t="s">
        <v>107</v>
      </c>
      <c r="F15" s="16">
        <v>12163.09</v>
      </c>
      <c r="G15" s="16">
        <v>10859.89</v>
      </c>
      <c r="H15" s="142">
        <v>1085.9000000000001</v>
      </c>
      <c r="I15" s="30">
        <f t="shared" si="0"/>
        <v>542.95000000000005</v>
      </c>
      <c r="J15" s="117">
        <v>0.5</v>
      </c>
      <c r="K15" s="31"/>
      <c r="L15" s="32"/>
      <c r="M15" s="7"/>
      <c r="N15" s="118"/>
      <c r="O15" s="6"/>
      <c r="P15" s="6"/>
      <c r="Q15" s="6"/>
      <c r="R15" s="6"/>
      <c r="S15" s="6"/>
      <c r="T15" s="8"/>
      <c r="U15" s="30">
        <f t="shared" si="1"/>
        <v>0</v>
      </c>
      <c r="V15" s="117">
        <v>0.5</v>
      </c>
    </row>
    <row r="16" spans="1:22" x14ac:dyDescent="0.25">
      <c r="A16" s="26" t="s">
        <v>193</v>
      </c>
      <c r="B16" s="27">
        <v>45841</v>
      </c>
      <c r="C16" s="26">
        <v>500920126</v>
      </c>
      <c r="D16" s="28" t="s">
        <v>29</v>
      </c>
      <c r="E16" s="28" t="s">
        <v>25</v>
      </c>
      <c r="F16" s="16">
        <v>1743.9</v>
      </c>
      <c r="G16" s="16">
        <v>1660.86</v>
      </c>
      <c r="H16" s="141">
        <v>249.13</v>
      </c>
      <c r="I16" s="30">
        <f t="shared" si="0"/>
        <v>124.565</v>
      </c>
      <c r="J16" s="117">
        <v>0.5</v>
      </c>
      <c r="K16" s="31"/>
      <c r="L16" s="7"/>
      <c r="M16" s="7"/>
      <c r="N16" s="118"/>
      <c r="O16" s="6"/>
      <c r="P16" s="6"/>
      <c r="Q16" s="6"/>
      <c r="R16" s="6"/>
      <c r="S16" s="6"/>
      <c r="T16" s="8"/>
      <c r="U16" s="30">
        <f t="shared" si="1"/>
        <v>0</v>
      </c>
      <c r="V16" s="117">
        <v>0.5</v>
      </c>
    </row>
    <row r="17" spans="1:22" x14ac:dyDescent="0.25">
      <c r="A17" s="26"/>
      <c r="B17" s="27"/>
      <c r="C17" s="26"/>
      <c r="D17" s="28"/>
      <c r="E17" s="28"/>
      <c r="F17" s="16"/>
      <c r="G17" s="16"/>
      <c r="H17" s="141"/>
      <c r="I17" s="30">
        <f t="shared" si="0"/>
        <v>0</v>
      </c>
      <c r="J17" s="117">
        <v>0.5</v>
      </c>
      <c r="K17" s="31"/>
      <c r="L17" s="7"/>
      <c r="M17" s="7"/>
      <c r="N17" s="118"/>
      <c r="O17" s="6"/>
      <c r="P17" s="6"/>
      <c r="Q17" s="6"/>
      <c r="R17" s="6"/>
      <c r="S17" s="6"/>
      <c r="T17" s="8"/>
      <c r="U17" s="30">
        <f t="shared" si="1"/>
        <v>0</v>
      </c>
      <c r="V17" s="117">
        <v>0.5</v>
      </c>
    </row>
    <row r="18" spans="1:22" x14ac:dyDescent="0.25">
      <c r="A18" s="26"/>
      <c r="B18" s="27"/>
      <c r="C18" s="26"/>
      <c r="D18" s="28"/>
      <c r="E18" s="28"/>
      <c r="F18" s="16"/>
      <c r="G18" s="16"/>
      <c r="H18" s="141"/>
      <c r="I18" s="30">
        <f t="shared" si="0"/>
        <v>0</v>
      </c>
      <c r="J18" s="117">
        <v>0.5</v>
      </c>
      <c r="K18" s="31"/>
      <c r="L18" s="7"/>
      <c r="M18" s="7"/>
      <c r="N18" s="118"/>
      <c r="O18" s="6"/>
      <c r="P18" s="6"/>
      <c r="Q18" s="6"/>
      <c r="R18" s="6"/>
      <c r="S18" s="6"/>
      <c r="T18" s="8"/>
      <c r="U18" s="30">
        <f t="shared" si="1"/>
        <v>0</v>
      </c>
      <c r="V18" s="117">
        <v>0.5</v>
      </c>
    </row>
    <row r="19" spans="1:22" x14ac:dyDescent="0.25">
      <c r="A19" s="26"/>
      <c r="B19" s="27"/>
      <c r="C19" s="26"/>
      <c r="D19" s="28"/>
      <c r="E19" s="28"/>
      <c r="F19" s="16"/>
      <c r="G19" s="16"/>
      <c r="H19" s="142"/>
      <c r="I19" s="30">
        <f t="shared" si="0"/>
        <v>0</v>
      </c>
      <c r="J19" s="117">
        <v>0.5</v>
      </c>
      <c r="K19" s="31"/>
      <c r="L19" s="7"/>
      <c r="M19" s="7"/>
      <c r="N19" s="118"/>
      <c r="O19" s="6"/>
      <c r="P19" s="6"/>
      <c r="Q19" s="6"/>
      <c r="R19" s="6"/>
      <c r="S19" s="6"/>
      <c r="T19" s="8"/>
      <c r="U19" s="30">
        <f t="shared" si="1"/>
        <v>0</v>
      </c>
      <c r="V19" s="117">
        <v>0.5</v>
      </c>
    </row>
    <row r="20" spans="1:22" x14ac:dyDescent="0.25">
      <c r="A20" s="26"/>
      <c r="B20" s="27"/>
      <c r="C20" s="26"/>
      <c r="D20" s="28"/>
      <c r="E20" s="28"/>
      <c r="F20" s="16"/>
      <c r="G20" s="16"/>
      <c r="H20" s="142"/>
      <c r="I20" s="30">
        <f>H20*J20</f>
        <v>0</v>
      </c>
      <c r="J20" s="117">
        <v>0.5</v>
      </c>
      <c r="K20" s="31"/>
      <c r="L20" s="7"/>
      <c r="M20" s="32"/>
      <c r="N20" s="118"/>
      <c r="O20" s="6"/>
      <c r="P20" s="6"/>
      <c r="Q20" s="6"/>
      <c r="R20" s="6"/>
      <c r="S20" s="6"/>
      <c r="T20" s="8"/>
      <c r="U20" s="30">
        <f t="shared" si="1"/>
        <v>0</v>
      </c>
      <c r="V20" s="117">
        <v>0.5</v>
      </c>
    </row>
    <row r="21" spans="1:22" x14ac:dyDescent="0.25">
      <c r="A21" s="26"/>
      <c r="B21" s="27"/>
      <c r="C21" s="26"/>
      <c r="D21" s="28"/>
      <c r="E21" s="28"/>
      <c r="F21" s="16"/>
      <c r="G21" s="16"/>
      <c r="H21" s="141"/>
      <c r="I21" s="30">
        <f t="shared" si="0"/>
        <v>0</v>
      </c>
      <c r="J21" s="117">
        <v>0.5</v>
      </c>
      <c r="K21" s="31"/>
      <c r="L21" s="201"/>
      <c r="M21" s="198"/>
      <c r="N21" s="202"/>
      <c r="O21" s="36"/>
      <c r="P21" s="6"/>
      <c r="Q21" s="6"/>
      <c r="R21" s="6"/>
      <c r="S21" s="6"/>
      <c r="T21" s="8"/>
      <c r="U21" s="30">
        <f t="shared" si="1"/>
        <v>0</v>
      </c>
      <c r="V21" s="117">
        <v>0.5</v>
      </c>
    </row>
    <row r="22" spans="1:22" x14ac:dyDescent="0.25">
      <c r="A22" s="26"/>
      <c r="B22" s="27"/>
      <c r="C22" s="26"/>
      <c r="D22" s="28"/>
      <c r="E22" s="28"/>
      <c r="F22" s="16"/>
      <c r="G22" s="16"/>
      <c r="H22" s="141"/>
      <c r="I22" s="30">
        <f t="shared" si="0"/>
        <v>0</v>
      </c>
      <c r="J22" s="117">
        <v>0.5</v>
      </c>
      <c r="K22" s="31"/>
      <c r="L22" s="7"/>
      <c r="M22" s="32"/>
      <c r="N22" s="118"/>
      <c r="O22" s="6"/>
      <c r="P22" s="6"/>
      <c r="Q22" s="6"/>
      <c r="R22" s="6"/>
      <c r="S22" s="6"/>
      <c r="T22" s="8"/>
      <c r="U22" s="30">
        <f t="shared" si="1"/>
        <v>0</v>
      </c>
      <c r="V22" s="117">
        <v>0.5</v>
      </c>
    </row>
    <row r="23" spans="1:22" x14ac:dyDescent="0.25">
      <c r="A23" s="26"/>
      <c r="B23" s="27"/>
      <c r="C23" s="26"/>
      <c r="D23" s="28"/>
      <c r="E23" s="28"/>
      <c r="F23" s="16"/>
      <c r="G23" s="16"/>
      <c r="H23" s="142"/>
      <c r="I23" s="30">
        <f t="shared" si="0"/>
        <v>0</v>
      </c>
      <c r="J23" s="117">
        <v>0.5</v>
      </c>
      <c r="K23" s="44"/>
      <c r="L23" s="7"/>
      <c r="M23" s="7"/>
      <c r="N23" s="118"/>
      <c r="O23" s="6"/>
      <c r="P23" s="6"/>
      <c r="Q23" s="6"/>
      <c r="R23" s="6"/>
      <c r="S23" s="6"/>
      <c r="T23" s="8"/>
      <c r="U23" s="30">
        <f t="shared" si="1"/>
        <v>0</v>
      </c>
      <c r="V23" s="117">
        <v>0.5</v>
      </c>
    </row>
    <row r="24" spans="1:22" x14ac:dyDescent="0.25">
      <c r="A24" s="26"/>
      <c r="B24" s="27"/>
      <c r="C24" s="26"/>
      <c r="D24" s="28"/>
      <c r="E24" s="28"/>
      <c r="F24" s="16"/>
      <c r="G24" s="16"/>
      <c r="H24" s="143"/>
      <c r="I24" s="30">
        <f t="shared" si="0"/>
        <v>0</v>
      </c>
      <c r="J24" s="117">
        <v>0.5</v>
      </c>
      <c r="K24" s="31"/>
      <c r="L24" s="7"/>
      <c r="M24" s="7"/>
      <c r="N24" s="118"/>
      <c r="O24" s="6"/>
      <c r="P24" s="6"/>
      <c r="Q24" s="6"/>
      <c r="R24" s="6"/>
      <c r="S24" s="6"/>
      <c r="T24" s="8"/>
      <c r="U24" s="30">
        <f t="shared" si="1"/>
        <v>0</v>
      </c>
      <c r="V24" s="117">
        <v>0.5</v>
      </c>
    </row>
    <row r="25" spans="1:22" x14ac:dyDescent="0.25">
      <c r="A25" s="26"/>
      <c r="B25" s="27"/>
      <c r="C25" s="26"/>
      <c r="D25" s="28"/>
      <c r="E25" s="28"/>
      <c r="F25" s="16"/>
      <c r="G25" s="16"/>
      <c r="H25" s="143"/>
      <c r="I25" s="30">
        <f t="shared" si="0"/>
        <v>0</v>
      </c>
      <c r="J25" s="117">
        <v>0.5</v>
      </c>
      <c r="K25" s="31"/>
      <c r="L25" s="7"/>
      <c r="M25" s="7"/>
      <c r="N25" s="118"/>
      <c r="O25" s="6"/>
      <c r="P25" s="6"/>
      <c r="Q25" s="6"/>
      <c r="R25" s="6"/>
      <c r="S25" s="6"/>
      <c r="T25" s="8"/>
      <c r="U25" s="30">
        <f t="shared" si="1"/>
        <v>0</v>
      </c>
      <c r="V25" s="117">
        <v>0.5</v>
      </c>
    </row>
    <row r="26" spans="1:22" x14ac:dyDescent="0.25">
      <c r="A26" s="26"/>
      <c r="B26" s="27"/>
      <c r="C26" s="26"/>
      <c r="D26" s="28"/>
      <c r="E26" s="28"/>
      <c r="F26" s="16"/>
      <c r="G26" s="144"/>
      <c r="H26" s="145"/>
      <c r="I26" s="30">
        <f t="shared" si="0"/>
        <v>0</v>
      </c>
      <c r="J26" s="117">
        <v>0.5</v>
      </c>
      <c r="K26" s="31"/>
      <c r="L26" s="7"/>
      <c r="M26" s="7"/>
      <c r="N26" s="118"/>
      <c r="O26" s="6"/>
      <c r="P26" s="6"/>
      <c r="Q26" s="6"/>
      <c r="R26" s="6"/>
      <c r="S26" s="6"/>
      <c r="T26" s="8"/>
      <c r="U26" s="30">
        <f t="shared" si="1"/>
        <v>0</v>
      </c>
      <c r="V26" s="117">
        <v>0.5</v>
      </c>
    </row>
    <row r="27" spans="1:22" x14ac:dyDescent="0.25">
      <c r="A27" s="26"/>
      <c r="B27" s="27"/>
      <c r="C27" s="26"/>
      <c r="D27" s="28"/>
      <c r="E27" s="28"/>
      <c r="F27" s="146"/>
      <c r="G27" s="147"/>
      <c r="H27" s="148"/>
      <c r="I27" s="30">
        <f t="shared" si="0"/>
        <v>0</v>
      </c>
      <c r="J27" s="117">
        <v>0.5</v>
      </c>
      <c r="K27" s="31"/>
      <c r="L27" s="7"/>
      <c r="M27" s="7"/>
      <c r="N27" s="118"/>
      <c r="O27" s="197"/>
      <c r="P27" s="198"/>
      <c r="Q27" s="199"/>
      <c r="R27" s="6"/>
      <c r="S27" s="6"/>
      <c r="T27" s="8"/>
      <c r="U27" s="30">
        <f t="shared" si="1"/>
        <v>0</v>
      </c>
      <c r="V27" s="117">
        <v>0.5</v>
      </c>
    </row>
    <row r="28" spans="1:22" x14ac:dyDescent="0.25">
      <c r="A28" s="26"/>
      <c r="B28" s="27"/>
      <c r="C28" s="26"/>
      <c r="D28" s="28"/>
      <c r="E28" s="28"/>
      <c r="F28" s="146"/>
      <c r="G28" s="147"/>
      <c r="H28" s="149"/>
      <c r="I28" s="30">
        <f t="shared" si="0"/>
        <v>0</v>
      </c>
      <c r="J28" s="117">
        <v>0.5</v>
      </c>
      <c r="K28" s="31"/>
      <c r="L28" s="7"/>
      <c r="M28" s="7"/>
      <c r="N28" s="118"/>
      <c r="O28" s="6"/>
      <c r="P28" s="6"/>
      <c r="Q28" s="6"/>
      <c r="R28" s="6"/>
      <c r="S28" s="6"/>
      <c r="T28" s="8"/>
      <c r="U28" s="30">
        <f t="shared" si="1"/>
        <v>0</v>
      </c>
      <c r="V28" s="117">
        <v>0.5</v>
      </c>
    </row>
    <row r="29" spans="1:22" x14ac:dyDescent="0.25">
      <c r="A29" s="26"/>
      <c r="B29" s="27"/>
      <c r="C29" s="26"/>
      <c r="D29" s="28"/>
      <c r="E29" s="28"/>
      <c r="F29" s="146"/>
      <c r="G29" s="150"/>
      <c r="H29" s="151"/>
      <c r="I29" s="30">
        <f t="shared" si="0"/>
        <v>0</v>
      </c>
      <c r="J29" s="117">
        <v>0.5</v>
      </c>
      <c r="K29" s="31"/>
      <c r="L29" s="7"/>
      <c r="M29" s="7"/>
      <c r="N29" s="118"/>
      <c r="O29" s="6"/>
      <c r="P29" s="6"/>
      <c r="Q29" s="6"/>
      <c r="R29" s="6"/>
      <c r="S29" s="6"/>
      <c r="T29" s="8"/>
      <c r="U29" s="30">
        <f t="shared" si="1"/>
        <v>0</v>
      </c>
      <c r="V29" s="117">
        <v>0.5</v>
      </c>
    </row>
    <row r="30" spans="1:22" x14ac:dyDescent="0.25">
      <c r="A30" s="7"/>
      <c r="B30" s="152"/>
      <c r="C30" s="15"/>
      <c r="D30" s="16"/>
      <c r="E30" s="28"/>
      <c r="F30" s="146"/>
      <c r="G30" s="147"/>
      <c r="H30" s="17"/>
      <c r="I30" s="30">
        <f t="shared" si="0"/>
        <v>0</v>
      </c>
      <c r="J30" s="117">
        <v>0.5</v>
      </c>
      <c r="K30" s="31"/>
      <c r="L30" s="7"/>
      <c r="M30" s="7"/>
      <c r="N30" s="118"/>
      <c r="O30" s="6"/>
      <c r="P30" s="6"/>
      <c r="Q30" s="6"/>
      <c r="R30" s="6"/>
      <c r="S30" s="6"/>
      <c r="T30" s="8"/>
      <c r="U30" s="30">
        <f t="shared" si="1"/>
        <v>0</v>
      </c>
      <c r="V30" s="117">
        <v>0.5</v>
      </c>
    </row>
    <row r="31" spans="1:22" x14ac:dyDescent="0.25">
      <c r="A31" s="15"/>
      <c r="B31" s="152"/>
      <c r="C31" s="15"/>
      <c r="D31" s="16"/>
      <c r="E31" s="28"/>
      <c r="F31" s="146"/>
      <c r="G31" s="146"/>
      <c r="H31" s="17"/>
      <c r="I31" s="30">
        <f t="shared" si="0"/>
        <v>0</v>
      </c>
      <c r="J31" s="117">
        <v>0.5</v>
      </c>
      <c r="K31" s="31"/>
      <c r="L31" s="7"/>
      <c r="M31" s="7"/>
      <c r="N31" s="118"/>
      <c r="O31" s="6"/>
      <c r="P31" s="6"/>
      <c r="Q31" s="6"/>
      <c r="R31" s="6"/>
      <c r="S31" s="6"/>
      <c r="T31" s="8"/>
      <c r="U31" s="30">
        <f t="shared" si="1"/>
        <v>0</v>
      </c>
      <c r="V31" s="117">
        <v>0.5</v>
      </c>
    </row>
    <row r="32" spans="1:22" x14ac:dyDescent="0.25">
      <c r="A32" s="7"/>
      <c r="B32" s="32"/>
      <c r="C32" s="7"/>
      <c r="D32" s="6"/>
      <c r="E32" s="16"/>
      <c r="F32" s="52"/>
      <c r="G32" s="16" t="s">
        <v>15</v>
      </c>
      <c r="H32" s="16"/>
      <c r="I32" s="22">
        <f>SUM(I6:I31)</f>
        <v>8798.2749999999996</v>
      </c>
      <c r="J32" s="22"/>
      <c r="K32" s="31"/>
      <c r="L32" s="7"/>
      <c r="M32" s="7"/>
      <c r="N32" s="118"/>
      <c r="O32" s="6"/>
      <c r="P32" s="6"/>
      <c r="Q32" s="6"/>
      <c r="R32" s="6"/>
      <c r="S32" s="6" t="s">
        <v>15</v>
      </c>
      <c r="T32" s="8"/>
      <c r="U32" s="116">
        <f>SUM(U6:U31)</f>
        <v>4767</v>
      </c>
      <c r="V32" s="171"/>
    </row>
    <row r="33" spans="1:22" x14ac:dyDescent="0.25">
      <c r="A33" s="7"/>
      <c r="B33" s="32"/>
      <c r="C33" s="7"/>
      <c r="D33" s="6"/>
      <c r="E33" s="6"/>
      <c r="F33" s="6"/>
      <c r="G33" s="6"/>
      <c r="H33" s="6"/>
      <c r="I33" s="6"/>
      <c r="J33" s="6"/>
      <c r="K33" s="31"/>
      <c r="L33" s="7"/>
      <c r="M33" s="7"/>
      <c r="N33" s="118"/>
      <c r="O33" s="6"/>
      <c r="P33" s="6"/>
      <c r="Q33" s="6"/>
      <c r="R33" s="6"/>
      <c r="S33" s="43"/>
      <c r="T33" s="51"/>
      <c r="U33" s="8"/>
      <c r="V33" s="75"/>
    </row>
    <row r="34" spans="1:22" x14ac:dyDescent="0.25">
      <c r="A34" s="7"/>
      <c r="B34" s="32"/>
      <c r="C34" s="7"/>
      <c r="D34" s="6"/>
      <c r="E34" s="6"/>
      <c r="F34" s="6"/>
      <c r="G34" s="6"/>
      <c r="H34" s="6"/>
      <c r="I34" s="6"/>
      <c r="J34" s="6"/>
      <c r="K34" s="31"/>
      <c r="L34" s="7"/>
      <c r="M34" s="7"/>
      <c r="N34" s="118"/>
      <c r="O34" s="6"/>
      <c r="P34" s="6"/>
      <c r="Q34" s="6"/>
      <c r="R34" s="6"/>
      <c r="S34" s="43"/>
      <c r="T34" s="51"/>
      <c r="U34" s="8"/>
      <c r="V34" s="75"/>
    </row>
    <row r="35" spans="1:22" x14ac:dyDescent="0.25">
      <c r="A35" s="53" t="s">
        <v>145</v>
      </c>
      <c r="B35" s="54"/>
      <c r="C35" s="55"/>
      <c r="D35" s="55">
        <f>I5</f>
        <v>10426.129999999999</v>
      </c>
      <c r="E35" s="16"/>
      <c r="F35" s="16"/>
      <c r="G35" s="16"/>
      <c r="H35" s="16"/>
      <c r="I35" s="16"/>
      <c r="J35" s="16"/>
      <c r="K35" s="12"/>
      <c r="L35" s="53" t="s">
        <v>146</v>
      </c>
      <c r="M35" s="54"/>
      <c r="N35" s="182"/>
      <c r="O35" s="21">
        <f>U5</f>
        <v>0</v>
      </c>
      <c r="P35" s="6"/>
      <c r="Q35" s="6"/>
      <c r="R35" s="6"/>
      <c r="S35" s="43"/>
      <c r="T35" s="32"/>
      <c r="U35" s="8"/>
      <c r="V35" s="75"/>
    </row>
    <row r="36" spans="1:22" x14ac:dyDescent="0.25">
      <c r="A36" s="56" t="s">
        <v>17</v>
      </c>
      <c r="B36" s="57"/>
      <c r="C36" s="58"/>
      <c r="D36" s="153">
        <f>I32</f>
        <v>8798.2749999999996</v>
      </c>
      <c r="E36" s="16"/>
      <c r="F36" s="16"/>
      <c r="G36" s="16"/>
      <c r="H36" s="16"/>
      <c r="I36" s="16"/>
      <c r="J36" s="16"/>
      <c r="K36" s="12"/>
      <c r="L36" s="56" t="s">
        <v>18</v>
      </c>
      <c r="M36" s="57"/>
      <c r="N36" s="183"/>
      <c r="O36" s="80">
        <f>U32</f>
        <v>4767</v>
      </c>
      <c r="P36" s="6"/>
      <c r="Q36" s="6"/>
      <c r="R36" s="6"/>
      <c r="S36" s="6"/>
      <c r="T36" s="8"/>
      <c r="U36" s="9"/>
      <c r="V36" s="75"/>
    </row>
    <row r="37" spans="1:22" x14ac:dyDescent="0.25">
      <c r="A37" s="60" t="s">
        <v>19</v>
      </c>
      <c r="B37" s="60"/>
      <c r="C37" s="61"/>
      <c r="D37" s="154"/>
      <c r="E37" s="6"/>
      <c r="F37" s="6"/>
      <c r="G37" s="6"/>
      <c r="H37" s="6"/>
      <c r="I37" s="6"/>
      <c r="J37" s="6"/>
      <c r="K37" s="31"/>
      <c r="L37" s="60" t="s">
        <v>20</v>
      </c>
      <c r="M37" s="62"/>
      <c r="N37" s="184"/>
      <c r="O37" s="80"/>
      <c r="P37" s="6"/>
      <c r="Q37" s="6"/>
      <c r="R37" s="6"/>
      <c r="S37" s="6"/>
      <c r="T37" s="8"/>
      <c r="U37" s="9"/>
      <c r="V37" s="75"/>
    </row>
    <row r="38" spans="1:22" x14ac:dyDescent="0.25">
      <c r="A38" s="60"/>
      <c r="B38" s="60"/>
      <c r="C38" s="61"/>
      <c r="D38" s="154"/>
      <c r="E38" s="6"/>
      <c r="F38" s="6"/>
      <c r="G38" s="6"/>
      <c r="H38" s="6"/>
      <c r="I38" s="6"/>
      <c r="J38" s="6"/>
      <c r="K38" s="31"/>
      <c r="L38" s="60" t="s">
        <v>128</v>
      </c>
      <c r="M38" s="62"/>
      <c r="N38" s="184"/>
      <c r="O38" s="80">
        <f>F15</f>
        <v>12163.09</v>
      </c>
      <c r="P38" s="6"/>
      <c r="Q38" s="6"/>
      <c r="R38" s="6"/>
      <c r="S38" s="6"/>
      <c r="T38" s="8"/>
      <c r="U38" s="9"/>
      <c r="V38" s="75"/>
    </row>
    <row r="39" spans="1:22" x14ac:dyDescent="0.25">
      <c r="A39" s="60"/>
      <c r="B39" s="60"/>
      <c r="C39" s="61"/>
      <c r="D39" s="154"/>
      <c r="E39" s="6"/>
      <c r="F39" s="6"/>
      <c r="G39" s="6"/>
      <c r="H39" s="6"/>
      <c r="I39" s="6"/>
      <c r="J39" s="6"/>
      <c r="K39" s="31"/>
      <c r="L39" s="60" t="s">
        <v>194</v>
      </c>
      <c r="M39" s="62"/>
      <c r="N39" s="184"/>
      <c r="O39" s="80">
        <v>436</v>
      </c>
      <c r="P39" s="6"/>
      <c r="Q39" s="6"/>
      <c r="R39" s="6"/>
      <c r="S39" s="6"/>
      <c r="T39" s="8"/>
      <c r="U39" s="9"/>
      <c r="V39" s="75"/>
    </row>
    <row r="40" spans="1:22" x14ac:dyDescent="0.25">
      <c r="A40" s="60"/>
      <c r="B40" s="63"/>
      <c r="C40" s="61"/>
      <c r="D40" s="155"/>
      <c r="E40" s="6"/>
      <c r="F40" s="6"/>
      <c r="G40" s="6"/>
      <c r="H40" s="6"/>
      <c r="I40" s="6"/>
      <c r="J40" s="6"/>
      <c r="K40" s="31"/>
      <c r="L40" s="60" t="s">
        <v>195</v>
      </c>
      <c r="M40" s="63"/>
      <c r="N40" s="184"/>
      <c r="O40" s="155">
        <v>666.5</v>
      </c>
      <c r="P40" s="6"/>
      <c r="Q40" s="6"/>
      <c r="R40" s="6"/>
      <c r="S40" s="6"/>
      <c r="T40" s="8"/>
      <c r="U40" s="9"/>
      <c r="V40" s="75"/>
    </row>
    <row r="41" spans="1:22" x14ac:dyDescent="0.25">
      <c r="A41" s="60"/>
      <c r="B41" s="64"/>
      <c r="C41" s="65"/>
      <c r="D41" s="154"/>
      <c r="E41" s="6"/>
      <c r="F41" s="6"/>
      <c r="G41" s="6"/>
      <c r="H41" s="6"/>
      <c r="I41" s="6"/>
      <c r="J41" s="6"/>
      <c r="K41" s="31"/>
      <c r="L41" s="60" t="s">
        <v>101</v>
      </c>
      <c r="M41" s="64"/>
      <c r="N41" s="185"/>
      <c r="O41" s="154">
        <v>838</v>
      </c>
      <c r="P41" s="6"/>
      <c r="Q41" s="7"/>
      <c r="R41" s="7"/>
      <c r="S41" s="7"/>
      <c r="T41" s="8"/>
      <c r="U41" s="9"/>
      <c r="V41" s="75"/>
    </row>
    <row r="42" spans="1:22" x14ac:dyDescent="0.25">
      <c r="A42" s="60"/>
      <c r="B42" s="66"/>
      <c r="C42" s="67"/>
      <c r="D42" s="84"/>
      <c r="E42" s="6"/>
      <c r="F42" s="6"/>
      <c r="G42" s="6"/>
      <c r="H42" s="6"/>
      <c r="I42" s="6"/>
      <c r="J42" s="6"/>
      <c r="K42" s="157"/>
      <c r="L42" s="60" t="s">
        <v>101</v>
      </c>
      <c r="M42" s="86"/>
      <c r="N42" s="186"/>
      <c r="O42" s="154">
        <v>325.5</v>
      </c>
      <c r="P42" s="6"/>
      <c r="Q42" s="7"/>
      <c r="R42" s="7"/>
      <c r="S42" s="7"/>
      <c r="T42" s="8"/>
      <c r="U42" s="9"/>
      <c r="V42" s="75"/>
    </row>
    <row r="43" spans="1:22" x14ac:dyDescent="0.25">
      <c r="A43" s="68"/>
      <c r="B43" s="66"/>
      <c r="C43" s="67"/>
      <c r="D43" s="86"/>
      <c r="E43" s="6"/>
      <c r="F43" s="6"/>
      <c r="G43" s="6"/>
      <c r="H43" s="6"/>
      <c r="I43" s="6"/>
      <c r="J43" s="6"/>
      <c r="K43" s="157"/>
      <c r="L43" s="60" t="s">
        <v>72</v>
      </c>
      <c r="M43" s="86"/>
      <c r="N43" s="186"/>
      <c r="O43" s="154">
        <v>696</v>
      </c>
      <c r="P43" s="6"/>
      <c r="Q43" s="7"/>
      <c r="R43" s="7"/>
      <c r="S43" s="7"/>
      <c r="T43" s="8"/>
      <c r="U43" s="9"/>
      <c r="V43" s="75"/>
    </row>
    <row r="44" spans="1:22" x14ac:dyDescent="0.25">
      <c r="A44" s="68"/>
      <c r="B44" s="66"/>
      <c r="C44" s="67"/>
      <c r="D44" s="86"/>
      <c r="E44" s="6"/>
      <c r="F44" s="6"/>
      <c r="G44" s="6"/>
      <c r="H44" s="6"/>
      <c r="I44" s="6"/>
      <c r="J44" s="6"/>
      <c r="K44" s="157"/>
      <c r="L44" s="60"/>
      <c r="M44" s="86"/>
      <c r="N44" s="186"/>
      <c r="O44" s="154"/>
      <c r="P44" s="6"/>
      <c r="Q44" s="7"/>
      <c r="R44" s="7"/>
      <c r="S44" s="7"/>
      <c r="T44" s="8"/>
      <c r="U44" s="9"/>
      <c r="V44" s="75"/>
    </row>
    <row r="45" spans="1:22" x14ac:dyDescent="0.25">
      <c r="A45" s="68"/>
      <c r="B45" s="64" t="s">
        <v>15</v>
      </c>
      <c r="C45" s="65"/>
      <c r="D45" s="86">
        <f>D35+D36</f>
        <v>19224.404999999999</v>
      </c>
      <c r="E45" s="6"/>
      <c r="F45" s="6"/>
      <c r="G45" s="166"/>
      <c r="H45" s="166"/>
      <c r="I45" s="166"/>
      <c r="J45" s="6"/>
      <c r="K45" s="31"/>
      <c r="L45" s="60"/>
      <c r="M45" s="64" t="s">
        <v>15</v>
      </c>
      <c r="N45" s="185"/>
      <c r="O45" s="71">
        <f>O36+O35+O37+O38+O39+O40+O41+O42+O43</f>
        <v>19892.09</v>
      </c>
      <c r="P45" s="6"/>
      <c r="Q45" s="7"/>
      <c r="R45" s="166"/>
      <c r="S45" s="166"/>
      <c r="T45" s="166"/>
      <c r="U45" s="9"/>
      <c r="V45" s="75"/>
    </row>
    <row r="46" spans="1:22" x14ac:dyDescent="0.25">
      <c r="A46" s="75"/>
      <c r="B46" s="75"/>
      <c r="C46" s="75"/>
      <c r="D46" s="75"/>
      <c r="E46" s="75"/>
      <c r="F46" s="75"/>
      <c r="G46" s="167" t="s">
        <v>62</v>
      </c>
      <c r="H46" s="168"/>
      <c r="I46" s="169">
        <f>O45-D45</f>
        <v>667.68500000000131</v>
      </c>
      <c r="J46" s="75"/>
      <c r="K46" s="31"/>
      <c r="L46" s="75"/>
      <c r="M46" s="75"/>
      <c r="N46" s="187"/>
      <c r="O46" s="75"/>
      <c r="P46" s="75"/>
      <c r="Q46" s="75"/>
      <c r="R46" s="167"/>
      <c r="S46" s="168"/>
      <c r="T46" s="169"/>
      <c r="U46" s="75"/>
      <c r="V46" s="75"/>
    </row>
    <row r="47" spans="1:22" x14ac:dyDescent="0.25">
      <c r="A47" s="75"/>
      <c r="B47" s="75"/>
      <c r="C47" s="75"/>
      <c r="D47" s="75"/>
      <c r="E47" s="75"/>
      <c r="F47" s="75"/>
      <c r="G47" s="168"/>
      <c r="H47" s="168"/>
      <c r="I47" s="168"/>
      <c r="J47" s="75"/>
      <c r="K47" s="31"/>
      <c r="L47" s="75"/>
      <c r="M47" s="75"/>
      <c r="N47" s="187"/>
      <c r="O47" s="75"/>
      <c r="P47" s="75"/>
      <c r="Q47" s="75"/>
      <c r="R47" s="168"/>
      <c r="S47" s="168"/>
      <c r="T47" s="168"/>
      <c r="U47" s="75"/>
      <c r="V47" s="75"/>
    </row>
    <row r="48" spans="1:22" x14ac:dyDescent="0.25">
      <c r="A48" s="75"/>
      <c r="B48" s="75"/>
      <c r="C48" s="75"/>
      <c r="D48" s="75"/>
      <c r="E48" s="75"/>
      <c r="F48" s="75"/>
      <c r="G48" s="168"/>
      <c r="H48" s="168"/>
      <c r="I48" s="168"/>
      <c r="J48" s="75"/>
      <c r="K48" s="31"/>
      <c r="L48" s="75"/>
      <c r="M48" s="75"/>
      <c r="N48" s="187"/>
      <c r="O48" s="75"/>
      <c r="P48" s="75"/>
      <c r="Q48" s="75"/>
      <c r="R48" s="168"/>
      <c r="S48" s="168"/>
      <c r="T48" s="168"/>
      <c r="U48" s="75"/>
      <c r="V48" s="75"/>
    </row>
  </sheetData>
  <conditionalFormatting sqref="C1:C5 D6:D31 D32:F34">
    <cfRule type="cellIs" dxfId="172" priority="27" operator="equal">
      <formula>15698.2</formula>
    </cfRule>
    <cfRule type="cellIs" dxfId="171" priority="28" operator="equal">
      <formula>"kapalı"</formula>
    </cfRule>
  </conditionalFormatting>
  <conditionalFormatting sqref="F6:F31 E35:F35 D36:F39 E40:F40 D41:F45">
    <cfRule type="cellIs" dxfId="170" priority="20" operator="equal">
      <formula>15698.2</formula>
    </cfRule>
    <cfRule type="cellIs" dxfId="169" priority="21" operator="equal">
      <formula>"kapalı"</formula>
    </cfRule>
  </conditionalFormatting>
  <conditionalFormatting sqref="G6:G28 E6:E31 G30:H45 D40 Q45:S45">
    <cfRule type="cellIs" dxfId="168" priority="16" operator="equal">
      <formula>"K.KART"</formula>
    </cfRule>
  </conditionalFormatting>
  <conditionalFormatting sqref="M42:N44">
    <cfRule type="cellIs" dxfId="167" priority="11" operator="equal">
      <formula>15698.2</formula>
    </cfRule>
    <cfRule type="cellIs" dxfId="166" priority="12" operator="equal">
      <formula>"kapalı"</formula>
    </cfRule>
  </conditionalFormatting>
  <conditionalFormatting sqref="N35">
    <cfRule type="cellIs" dxfId="165" priority="19" operator="equal">
      <formula>"K.KART"</formula>
    </cfRule>
  </conditionalFormatting>
  <conditionalFormatting sqref="N4:O4">
    <cfRule type="cellIs" dxfId="164" priority="22" operator="equal">
      <formula>15698.2</formula>
    </cfRule>
    <cfRule type="cellIs" dxfId="163" priority="23" operator="equal">
      <formula>"kapalı"</formula>
    </cfRule>
  </conditionalFormatting>
  <conditionalFormatting sqref="N1:P3 N5:P5 N27 N28:P34 O35:P35 P36:P45">
    <cfRule type="cellIs" dxfId="162" priority="30" operator="equal">
      <formula>15698.2</formula>
    </cfRule>
  </conditionalFormatting>
  <conditionalFormatting sqref="N1:P3 N5:P5 N27 N28:P34">
    <cfRule type="cellIs" dxfId="161" priority="25" operator="equal">
      <formula>"KAPALI"</formula>
    </cfRule>
    <cfRule type="cellIs" dxfId="160" priority="26" operator="equal">
      <formula>"açık"</formula>
    </cfRule>
  </conditionalFormatting>
  <conditionalFormatting sqref="N12:P12">
    <cfRule type="cellIs" dxfId="159" priority="8" operator="equal">
      <formula>"KAPALI"</formula>
    </cfRule>
    <cfRule type="cellIs" dxfId="158" priority="9" operator="equal">
      <formula>"açık"</formula>
    </cfRule>
  </conditionalFormatting>
  <conditionalFormatting sqref="O40">
    <cfRule type="cellIs" dxfId="157" priority="13" operator="equal">
      <formula>"K.KART"</formula>
    </cfRule>
  </conditionalFormatting>
  <conditionalFormatting sqref="O41:O44">
    <cfRule type="cellIs" dxfId="156" priority="14" operator="equal">
      <formula>15698.2</formula>
    </cfRule>
    <cfRule type="cellIs" dxfId="155" priority="15" operator="equal">
      <formula>"kapalı"</formula>
    </cfRule>
  </conditionalFormatting>
  <conditionalFormatting sqref="O6:P26 N12">
    <cfRule type="cellIs" dxfId="154" priority="7" operator="equal">
      <formula>15698.2</formula>
    </cfRule>
  </conditionalFormatting>
  <conditionalFormatting sqref="O6:P26">
    <cfRule type="cellIs" dxfId="153" priority="5" operator="equal">
      <formula>"kapalı"</formula>
    </cfRule>
  </conditionalFormatting>
  <conditionalFormatting sqref="O35:P35 P36:P45">
    <cfRule type="cellIs" dxfId="152" priority="17" operator="equal">
      <formula>"KAPALI"</formula>
    </cfRule>
    <cfRule type="cellIs" dxfId="151" priority="18" operator="equal">
      <formula>"açık"</formula>
    </cfRule>
  </conditionalFormatting>
  <conditionalFormatting sqref="P4:U4">
    <cfRule type="cellIs" dxfId="150" priority="24" operator="equal">
      <formula>"K.KART"</formula>
    </cfRule>
  </conditionalFormatting>
  <conditionalFormatting sqref="Q6:Q13">
    <cfRule type="cellIs" dxfId="149" priority="6" operator="equal">
      <formula>"K.KART"</formula>
    </cfRule>
  </conditionalFormatting>
  <conditionalFormatting sqref="Q13">
    <cfRule type="cellIs" dxfId="148" priority="3" operator="equal">
      <formula>15698.2</formula>
    </cfRule>
    <cfRule type="cellIs" dxfId="147" priority="4" operator="equal">
      <formula>"kapalı"</formula>
    </cfRule>
  </conditionalFormatting>
  <conditionalFormatting sqref="Q1:R3 D1:H5">
    <cfRule type="cellIs" dxfId="146" priority="29" operator="equal">
      <formula>"K.KART"</formula>
    </cfRule>
  </conditionalFormatting>
  <conditionalFormatting sqref="Q5:R6 Q9:R11 Q14:R26 R27 Q28:R44">
    <cfRule type="cellIs" dxfId="145" priority="10" operator="equal">
      <formula>"K.KART"</formula>
    </cfRule>
  </conditionalFormatting>
  <conditionalFormatting sqref="R12:S13">
    <cfRule type="cellIs" dxfId="144" priority="2" operator="equal">
      <formula>"K.KART"</formula>
    </cfRule>
  </conditionalFormatting>
  <conditionalFormatting sqref="S7">
    <cfRule type="cellIs" dxfId="143" priority="1" operator="equal">
      <formula>"K.KART"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671E5-572C-4DF5-B4AB-4E0A9E1CFA27}">
  <dimension ref="A1:V49"/>
  <sheetViews>
    <sheetView topLeftCell="A31" workbookViewId="0">
      <selection activeCell="L40" sqref="L40"/>
    </sheetView>
  </sheetViews>
  <sheetFormatPr defaultRowHeight="15" x14ac:dyDescent="0.25"/>
  <cols>
    <col min="1" max="1" width="19.5703125" customWidth="1"/>
    <col min="2" max="2" width="12.42578125" customWidth="1"/>
    <col min="3" max="3" width="13" customWidth="1"/>
    <col min="4" max="4" width="10.5703125" customWidth="1"/>
    <col min="5" max="5" width="9.5703125" customWidth="1"/>
    <col min="6" max="6" width="12.42578125" customWidth="1"/>
    <col min="7" max="7" width="12" customWidth="1"/>
    <col min="8" max="8" width="11.140625" customWidth="1"/>
    <col min="9" max="9" width="12.140625" customWidth="1"/>
    <col min="10" max="10" width="6" customWidth="1"/>
    <col min="11" max="11" width="2.140625" customWidth="1"/>
    <col min="12" max="12" width="18" customWidth="1"/>
    <col min="13" max="13" width="10.28515625" customWidth="1"/>
    <col min="14" max="14" width="15.42578125" customWidth="1"/>
    <col min="15" max="15" width="10.5703125" customWidth="1"/>
    <col min="17" max="17" width="9.5703125" customWidth="1"/>
    <col min="18" max="18" width="12" customWidth="1"/>
    <col min="19" max="19" width="11.5703125" customWidth="1"/>
    <col min="20" max="20" width="11.28515625" customWidth="1"/>
    <col min="21" max="21" width="10.28515625" customWidth="1"/>
    <col min="22" max="22" width="5.140625" customWidth="1"/>
  </cols>
  <sheetData>
    <row r="1" spans="1:22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3"/>
      <c r="L1" s="1"/>
      <c r="M1" s="1"/>
      <c r="N1" s="175"/>
      <c r="O1" s="2"/>
      <c r="P1" s="2"/>
      <c r="Q1" s="2"/>
      <c r="R1" s="2"/>
      <c r="S1" s="2"/>
      <c r="T1" s="4"/>
      <c r="U1" s="5"/>
    </row>
    <row r="2" spans="1:22" x14ac:dyDescent="0.25">
      <c r="A2" s="10" t="s">
        <v>0</v>
      </c>
      <c r="B2" s="10"/>
      <c r="C2" s="11"/>
      <c r="D2" s="11"/>
      <c r="E2" s="11"/>
      <c r="F2" s="11"/>
      <c r="G2" s="11"/>
      <c r="H2" s="11"/>
      <c r="I2" s="11"/>
      <c r="J2" s="11"/>
      <c r="K2" s="12"/>
      <c r="L2" s="10" t="s">
        <v>1</v>
      </c>
      <c r="M2" s="10"/>
      <c r="N2" s="176"/>
      <c r="O2" s="11"/>
      <c r="P2" s="11"/>
      <c r="Q2" s="11"/>
      <c r="R2" s="11"/>
      <c r="S2" s="11"/>
      <c r="T2" s="13"/>
      <c r="U2" s="14"/>
      <c r="V2" s="11"/>
    </row>
    <row r="3" spans="1:22" x14ac:dyDescent="0.25">
      <c r="A3" s="15" t="s">
        <v>192</v>
      </c>
      <c r="B3" s="15">
        <v>2025</v>
      </c>
      <c r="C3" s="16"/>
      <c r="D3" s="16"/>
      <c r="E3" s="16"/>
      <c r="F3" s="16"/>
      <c r="G3" s="16"/>
      <c r="H3" s="16"/>
      <c r="I3" s="16"/>
      <c r="J3" s="16"/>
      <c r="K3" s="12"/>
      <c r="L3" s="15" t="s">
        <v>192</v>
      </c>
      <c r="M3" s="15">
        <v>2025</v>
      </c>
      <c r="N3" s="177"/>
      <c r="O3" s="16"/>
      <c r="P3" s="16"/>
      <c r="Q3" s="16"/>
      <c r="R3" s="16"/>
      <c r="S3" s="16"/>
      <c r="T3" s="17"/>
      <c r="U3" s="18"/>
      <c r="V3" s="16"/>
    </row>
    <row r="4" spans="1:22" ht="36" x14ac:dyDescent="0.25">
      <c r="A4" s="90" t="s">
        <v>2</v>
      </c>
      <c r="B4" s="90" t="s">
        <v>3</v>
      </c>
      <c r="C4" s="91" t="s">
        <v>4</v>
      </c>
      <c r="D4" s="91" t="s">
        <v>5</v>
      </c>
      <c r="E4" s="91" t="s">
        <v>6</v>
      </c>
      <c r="F4" s="91" t="s">
        <v>7</v>
      </c>
      <c r="G4" s="91" t="s">
        <v>8</v>
      </c>
      <c r="H4" s="92" t="s">
        <v>9</v>
      </c>
      <c r="I4" s="91" t="s">
        <v>10</v>
      </c>
      <c r="J4" s="91" t="s">
        <v>45</v>
      </c>
      <c r="K4" s="12"/>
      <c r="L4" s="90" t="s">
        <v>2</v>
      </c>
      <c r="M4" s="90" t="s">
        <v>3</v>
      </c>
      <c r="N4" s="178" t="s">
        <v>4</v>
      </c>
      <c r="O4" s="91" t="s">
        <v>11</v>
      </c>
      <c r="P4" s="91" t="s">
        <v>5</v>
      </c>
      <c r="Q4" s="91" t="s">
        <v>6</v>
      </c>
      <c r="R4" s="91" t="s">
        <v>7</v>
      </c>
      <c r="S4" s="91" t="s">
        <v>8</v>
      </c>
      <c r="T4" s="92" t="s">
        <v>12</v>
      </c>
      <c r="U4" s="92" t="s">
        <v>13</v>
      </c>
      <c r="V4" s="91" t="s">
        <v>45</v>
      </c>
    </row>
    <row r="5" spans="1:22" x14ac:dyDescent="0.25">
      <c r="A5" s="195" t="s">
        <v>14</v>
      </c>
      <c r="B5" s="195"/>
      <c r="C5" s="22"/>
      <c r="D5" s="22"/>
      <c r="E5" s="22"/>
      <c r="F5" s="22"/>
      <c r="G5" s="22"/>
      <c r="H5" s="55"/>
      <c r="I5" s="22"/>
      <c r="J5" s="21"/>
      <c r="K5" s="19"/>
      <c r="L5" s="24" t="s">
        <v>14</v>
      </c>
      <c r="M5" s="20"/>
      <c r="N5" s="179"/>
      <c r="O5" s="21"/>
      <c r="P5" s="21"/>
      <c r="Q5" s="21"/>
      <c r="R5" s="22"/>
      <c r="S5" s="21"/>
      <c r="T5" s="23"/>
      <c r="U5" s="25">
        <v>667.69</v>
      </c>
      <c r="V5" s="21"/>
    </row>
    <row r="6" spans="1:22" x14ac:dyDescent="0.25">
      <c r="A6" s="26" t="s">
        <v>135</v>
      </c>
      <c r="B6" s="27">
        <v>45870</v>
      </c>
      <c r="C6" s="26">
        <v>592107380</v>
      </c>
      <c r="D6" s="28" t="s">
        <v>32</v>
      </c>
      <c r="E6" s="189" t="s">
        <v>25</v>
      </c>
      <c r="F6" s="16">
        <v>157.5</v>
      </c>
      <c r="G6" s="16">
        <v>150</v>
      </c>
      <c r="H6" s="206">
        <v>22.5</v>
      </c>
      <c r="I6" s="30">
        <f t="shared" ref="I6:I31" si="0">H6*J6</f>
        <v>11.25</v>
      </c>
      <c r="J6" s="117">
        <v>0.5</v>
      </c>
      <c r="K6" s="31"/>
      <c r="L6" s="7" t="s">
        <v>202</v>
      </c>
      <c r="M6" s="32">
        <v>45880</v>
      </c>
      <c r="N6" s="118">
        <v>100000409617134</v>
      </c>
      <c r="O6" s="6" t="s">
        <v>155</v>
      </c>
      <c r="P6" s="6" t="s">
        <v>24</v>
      </c>
      <c r="Q6" s="28" t="s">
        <v>25</v>
      </c>
      <c r="R6" s="6">
        <v>5495.56</v>
      </c>
      <c r="S6" s="6">
        <v>4976.01</v>
      </c>
      <c r="T6" s="29">
        <v>497.6</v>
      </c>
      <c r="U6" s="30">
        <f t="shared" ref="U6:U31" si="1">T6*V6</f>
        <v>248.8</v>
      </c>
      <c r="V6" s="117">
        <v>0.5</v>
      </c>
    </row>
    <row r="7" spans="1:22" x14ac:dyDescent="0.25">
      <c r="A7" s="26" t="s">
        <v>135</v>
      </c>
      <c r="B7" s="27">
        <v>45870</v>
      </c>
      <c r="C7" s="26">
        <v>592102757</v>
      </c>
      <c r="D7" s="28" t="s">
        <v>32</v>
      </c>
      <c r="E7" s="28" t="s">
        <v>25</v>
      </c>
      <c r="F7" s="16">
        <v>1333.42</v>
      </c>
      <c r="G7" s="16">
        <v>1269.93</v>
      </c>
      <c r="H7" s="206">
        <v>190.35</v>
      </c>
      <c r="I7" s="30">
        <f t="shared" si="0"/>
        <v>95.174999999999997</v>
      </c>
      <c r="J7" s="117">
        <v>0.5</v>
      </c>
      <c r="K7" s="31"/>
      <c r="L7" s="7" t="s">
        <v>202</v>
      </c>
      <c r="M7" s="32">
        <v>45880</v>
      </c>
      <c r="N7" s="118">
        <v>887038</v>
      </c>
      <c r="O7" s="6" t="s">
        <v>155</v>
      </c>
      <c r="P7" s="6" t="s">
        <v>144</v>
      </c>
      <c r="Q7" s="28" t="s">
        <v>25</v>
      </c>
      <c r="R7" s="6">
        <v>100</v>
      </c>
      <c r="S7" s="6">
        <v>100</v>
      </c>
      <c r="T7" s="29">
        <v>10</v>
      </c>
      <c r="U7" s="30">
        <f t="shared" si="1"/>
        <v>5</v>
      </c>
      <c r="V7" s="117">
        <v>0.5</v>
      </c>
    </row>
    <row r="8" spans="1:22" x14ac:dyDescent="0.25">
      <c r="A8" s="26" t="s">
        <v>135</v>
      </c>
      <c r="B8" s="27">
        <v>45876</v>
      </c>
      <c r="C8" s="26">
        <v>593946964</v>
      </c>
      <c r="D8" s="28" t="s">
        <v>32</v>
      </c>
      <c r="E8" s="28" t="s">
        <v>25</v>
      </c>
      <c r="F8" s="16">
        <v>5118.3999999999996</v>
      </c>
      <c r="G8" s="16">
        <v>4874.67</v>
      </c>
      <c r="H8" s="206">
        <v>731.1</v>
      </c>
      <c r="I8" s="30">
        <f t="shared" si="0"/>
        <v>365.55</v>
      </c>
      <c r="J8" s="117">
        <v>0.5</v>
      </c>
      <c r="K8" s="31"/>
      <c r="L8" s="7" t="s">
        <v>203</v>
      </c>
      <c r="M8" s="32">
        <v>45885</v>
      </c>
      <c r="N8" s="118">
        <v>100000412997699</v>
      </c>
      <c r="O8" s="6" t="s">
        <v>155</v>
      </c>
      <c r="P8" s="6" t="s">
        <v>24</v>
      </c>
      <c r="Q8" s="28" t="s">
        <v>25</v>
      </c>
      <c r="R8" s="6">
        <v>3567.25</v>
      </c>
      <c r="S8" s="6">
        <v>3205.95</v>
      </c>
      <c r="T8" s="29">
        <v>320.5</v>
      </c>
      <c r="U8" s="30">
        <f t="shared" si="1"/>
        <v>160.25</v>
      </c>
      <c r="V8" s="117">
        <v>0.5</v>
      </c>
    </row>
    <row r="9" spans="1:22" x14ac:dyDescent="0.25">
      <c r="A9" s="26" t="s">
        <v>135</v>
      </c>
      <c r="B9" s="27">
        <v>45876</v>
      </c>
      <c r="C9" s="26">
        <v>593938516</v>
      </c>
      <c r="D9" s="28" t="s">
        <v>32</v>
      </c>
      <c r="E9" s="28" t="s">
        <v>25</v>
      </c>
      <c r="F9" s="16">
        <v>1543.86</v>
      </c>
      <c r="G9" s="16">
        <v>1470.34</v>
      </c>
      <c r="H9" s="206">
        <v>220.5</v>
      </c>
      <c r="I9" s="30">
        <f t="shared" si="0"/>
        <v>110.25</v>
      </c>
      <c r="J9" s="117">
        <v>0.5</v>
      </c>
      <c r="K9" s="31"/>
      <c r="L9" s="7" t="s">
        <v>203</v>
      </c>
      <c r="M9" s="32">
        <v>45885</v>
      </c>
      <c r="N9" s="118">
        <v>936117</v>
      </c>
      <c r="O9" s="6" t="s">
        <v>155</v>
      </c>
      <c r="P9" s="6" t="s">
        <v>144</v>
      </c>
      <c r="Q9" s="28" t="s">
        <v>25</v>
      </c>
      <c r="R9" s="6">
        <v>100</v>
      </c>
      <c r="S9" s="6">
        <v>100</v>
      </c>
      <c r="T9" s="29">
        <v>10</v>
      </c>
      <c r="U9" s="30">
        <f t="shared" si="1"/>
        <v>5</v>
      </c>
      <c r="V9" s="117">
        <v>0.5</v>
      </c>
    </row>
    <row r="10" spans="1:22" x14ac:dyDescent="0.25">
      <c r="A10" s="26" t="s">
        <v>135</v>
      </c>
      <c r="B10" s="27">
        <v>45873</v>
      </c>
      <c r="C10" s="26">
        <v>592692528</v>
      </c>
      <c r="D10" s="28" t="s">
        <v>32</v>
      </c>
      <c r="E10" s="28" t="s">
        <v>25</v>
      </c>
      <c r="F10" s="16">
        <v>702.85</v>
      </c>
      <c r="G10" s="16">
        <v>669.38</v>
      </c>
      <c r="H10" s="206">
        <v>100.35</v>
      </c>
      <c r="I10" s="30">
        <f t="shared" si="0"/>
        <v>50.174999999999997</v>
      </c>
      <c r="J10" s="117">
        <v>0.5</v>
      </c>
      <c r="K10" s="31"/>
      <c r="L10" s="7" t="s">
        <v>210</v>
      </c>
      <c r="M10" s="32">
        <v>45898</v>
      </c>
      <c r="N10" s="118">
        <v>4202500085551</v>
      </c>
      <c r="O10" s="6" t="s">
        <v>50</v>
      </c>
      <c r="P10" s="6" t="s">
        <v>29</v>
      </c>
      <c r="Q10" s="28" t="s">
        <v>25</v>
      </c>
      <c r="R10" s="6">
        <v>20457.59</v>
      </c>
      <c r="S10" s="6">
        <v>19483.419999999998</v>
      </c>
      <c r="T10" s="29">
        <v>2826</v>
      </c>
      <c r="U10" s="30">
        <f t="shared" si="1"/>
        <v>1413</v>
      </c>
      <c r="V10" s="117">
        <v>0.5</v>
      </c>
    </row>
    <row r="11" spans="1:22" x14ac:dyDescent="0.25">
      <c r="A11" s="26" t="s">
        <v>193</v>
      </c>
      <c r="B11" s="27">
        <v>45874</v>
      </c>
      <c r="C11" s="26">
        <v>592833088</v>
      </c>
      <c r="D11" s="28" t="s">
        <v>29</v>
      </c>
      <c r="E11" s="196" t="s">
        <v>25</v>
      </c>
      <c r="F11" s="16">
        <v>36412.239999999998</v>
      </c>
      <c r="G11" s="16">
        <v>34678.31</v>
      </c>
      <c r="H11" s="206">
        <v>5201.75</v>
      </c>
      <c r="I11" s="30">
        <f t="shared" si="0"/>
        <v>2600.875</v>
      </c>
      <c r="J11" s="117">
        <v>0.5</v>
      </c>
      <c r="K11" s="31"/>
      <c r="L11" s="7"/>
      <c r="M11" s="32"/>
      <c r="N11" s="118"/>
      <c r="O11" s="6"/>
      <c r="P11" s="6"/>
      <c r="Q11" s="28"/>
      <c r="R11" s="16"/>
      <c r="S11" s="16"/>
      <c r="T11" s="165"/>
      <c r="U11" s="30">
        <f t="shared" si="1"/>
        <v>0</v>
      </c>
      <c r="V11" s="117">
        <v>0.5</v>
      </c>
    </row>
    <row r="12" spans="1:22" x14ac:dyDescent="0.25">
      <c r="A12" s="26" t="s">
        <v>135</v>
      </c>
      <c r="B12" s="27">
        <v>45887</v>
      </c>
      <c r="C12" s="26">
        <v>596697325</v>
      </c>
      <c r="D12" s="28" t="s">
        <v>32</v>
      </c>
      <c r="E12" s="26" t="s">
        <v>25</v>
      </c>
      <c r="F12" s="16">
        <v>1541.99</v>
      </c>
      <c r="G12" s="16">
        <v>1468.56</v>
      </c>
      <c r="H12" s="206">
        <v>220.2</v>
      </c>
      <c r="I12" s="30">
        <f t="shared" si="0"/>
        <v>110.1</v>
      </c>
      <c r="J12" s="117">
        <v>0.5</v>
      </c>
      <c r="K12" s="31"/>
      <c r="L12" s="172"/>
      <c r="M12" s="173"/>
      <c r="N12" s="180"/>
      <c r="O12" s="174"/>
      <c r="P12" s="174"/>
      <c r="Q12" s="28"/>
      <c r="R12" s="174"/>
      <c r="S12" s="174"/>
      <c r="T12" s="174"/>
      <c r="U12" s="30">
        <f t="shared" si="1"/>
        <v>0</v>
      </c>
      <c r="V12" s="117">
        <v>0.5</v>
      </c>
    </row>
    <row r="13" spans="1:22" x14ac:dyDescent="0.25">
      <c r="A13" s="26" t="s">
        <v>135</v>
      </c>
      <c r="B13" s="27">
        <v>45887</v>
      </c>
      <c r="C13" s="26">
        <v>596432997</v>
      </c>
      <c r="D13" s="28" t="s">
        <v>32</v>
      </c>
      <c r="E13" s="28" t="s">
        <v>25</v>
      </c>
      <c r="F13" s="16">
        <v>157.5</v>
      </c>
      <c r="G13" s="16">
        <v>150</v>
      </c>
      <c r="H13" s="206">
        <v>22.5</v>
      </c>
      <c r="I13" s="30">
        <f t="shared" si="0"/>
        <v>11.25</v>
      </c>
      <c r="J13" s="117">
        <v>0.5</v>
      </c>
      <c r="K13" s="31"/>
      <c r="L13" s="172"/>
      <c r="M13" s="173"/>
      <c r="N13" s="180"/>
      <c r="O13" s="174"/>
      <c r="P13" s="174"/>
      <c r="Q13" s="28"/>
      <c r="R13" s="174"/>
      <c r="S13" s="174"/>
      <c r="T13" s="174"/>
      <c r="U13" s="30">
        <f t="shared" si="1"/>
        <v>0</v>
      </c>
      <c r="V13" s="117">
        <v>0.5</v>
      </c>
    </row>
    <row r="14" spans="1:22" x14ac:dyDescent="0.25">
      <c r="A14" s="26" t="s">
        <v>135</v>
      </c>
      <c r="B14" s="27">
        <v>45887</v>
      </c>
      <c r="C14" s="26">
        <v>596428000</v>
      </c>
      <c r="D14" s="28" t="s">
        <v>32</v>
      </c>
      <c r="E14" s="28" t="s">
        <v>25</v>
      </c>
      <c r="F14" s="16">
        <v>6013.71</v>
      </c>
      <c r="G14" s="16">
        <v>5727.35</v>
      </c>
      <c r="H14" s="206">
        <v>860</v>
      </c>
      <c r="I14" s="30">
        <f t="shared" si="0"/>
        <v>430</v>
      </c>
      <c r="J14" s="117">
        <v>0.5</v>
      </c>
      <c r="K14" s="31"/>
      <c r="L14" s="7"/>
      <c r="M14" s="32"/>
      <c r="N14" s="181"/>
      <c r="O14" s="6"/>
      <c r="P14" s="6"/>
      <c r="Q14" s="16"/>
      <c r="R14" s="16"/>
      <c r="S14" s="16"/>
      <c r="T14" s="17"/>
      <c r="U14" s="30">
        <f t="shared" si="1"/>
        <v>0</v>
      </c>
      <c r="V14" s="117">
        <v>0.5</v>
      </c>
    </row>
    <row r="15" spans="1:22" x14ac:dyDescent="0.25">
      <c r="A15" s="26" t="s">
        <v>198</v>
      </c>
      <c r="B15" s="27">
        <v>45881</v>
      </c>
      <c r="C15" s="26">
        <v>595157584</v>
      </c>
      <c r="D15" s="28" t="s">
        <v>66</v>
      </c>
      <c r="E15" s="196" t="s">
        <v>25</v>
      </c>
      <c r="F15" s="16">
        <v>7459.91</v>
      </c>
      <c r="G15" s="16">
        <v>7077.95</v>
      </c>
      <c r="H15" s="206">
        <v>1061.5540000000001</v>
      </c>
      <c r="I15" s="30">
        <f t="shared" si="0"/>
        <v>530.77700000000004</v>
      </c>
      <c r="J15" s="117">
        <v>0.5</v>
      </c>
      <c r="K15" s="31"/>
      <c r="L15" s="32"/>
      <c r="M15" s="7"/>
      <c r="N15" s="118"/>
      <c r="O15" s="6"/>
      <c r="P15" s="6"/>
      <c r="Q15" s="6"/>
      <c r="R15" s="6"/>
      <c r="S15" s="6"/>
      <c r="T15" s="8"/>
      <c r="U15" s="30">
        <f t="shared" si="1"/>
        <v>0</v>
      </c>
      <c r="V15" s="117">
        <v>0.5</v>
      </c>
    </row>
    <row r="16" spans="1:22" x14ac:dyDescent="0.25">
      <c r="A16" s="26" t="s">
        <v>199</v>
      </c>
      <c r="B16" s="27">
        <v>45677</v>
      </c>
      <c r="C16" s="26">
        <v>597295211</v>
      </c>
      <c r="D16" s="28" t="s">
        <v>24</v>
      </c>
      <c r="E16" s="28" t="s">
        <v>25</v>
      </c>
      <c r="F16" s="16">
        <v>14280.77</v>
      </c>
      <c r="G16" s="16">
        <v>12946.84</v>
      </c>
      <c r="H16" s="206">
        <v>1294.68</v>
      </c>
      <c r="I16" s="30">
        <f t="shared" si="0"/>
        <v>647.34</v>
      </c>
      <c r="J16" s="117">
        <v>0.5</v>
      </c>
      <c r="K16" s="31"/>
      <c r="L16" s="7"/>
      <c r="M16" s="7"/>
      <c r="N16" s="118"/>
      <c r="O16" s="6"/>
      <c r="P16" s="6"/>
      <c r="Q16" s="6"/>
      <c r="R16" s="6"/>
      <c r="S16" s="6"/>
      <c r="T16" s="8"/>
      <c r="U16" s="30">
        <f t="shared" si="1"/>
        <v>0</v>
      </c>
      <c r="V16" s="117">
        <v>0.5</v>
      </c>
    </row>
    <row r="17" spans="1:22" x14ac:dyDescent="0.25">
      <c r="A17" s="26" t="s">
        <v>199</v>
      </c>
      <c r="B17" s="27">
        <v>45677</v>
      </c>
      <c r="C17" s="26">
        <v>597295211</v>
      </c>
      <c r="D17" s="28" t="s">
        <v>144</v>
      </c>
      <c r="E17" s="28" t="s">
        <v>25</v>
      </c>
      <c r="F17" s="16">
        <v>100</v>
      </c>
      <c r="G17" s="16">
        <v>100</v>
      </c>
      <c r="H17" s="206">
        <v>10</v>
      </c>
      <c r="I17" s="30">
        <f t="shared" si="0"/>
        <v>5</v>
      </c>
      <c r="J17" s="117">
        <v>0.5</v>
      </c>
      <c r="K17" s="31"/>
      <c r="L17" s="7"/>
      <c r="M17" s="7"/>
      <c r="N17" s="118"/>
      <c r="O17" s="6"/>
      <c r="P17" s="6"/>
      <c r="Q17" s="6"/>
      <c r="R17" s="6"/>
      <c r="S17" s="6"/>
      <c r="T17" s="8"/>
      <c r="U17" s="30">
        <f t="shared" si="1"/>
        <v>0</v>
      </c>
      <c r="V17" s="117">
        <v>0.5</v>
      </c>
    </row>
    <row r="18" spans="1:22" x14ac:dyDescent="0.25">
      <c r="A18" s="26" t="s">
        <v>200</v>
      </c>
      <c r="B18" s="27">
        <v>45885</v>
      </c>
      <c r="C18" s="26">
        <v>596206119</v>
      </c>
      <c r="D18" s="28" t="s">
        <v>24</v>
      </c>
      <c r="E18" s="28" t="s">
        <v>25</v>
      </c>
      <c r="F18" s="16">
        <v>19028.89</v>
      </c>
      <c r="G18" s="16">
        <v>17313.7</v>
      </c>
      <c r="H18" s="206">
        <v>1731.37</v>
      </c>
      <c r="I18" s="30">
        <f t="shared" si="0"/>
        <v>865.68499999999995</v>
      </c>
      <c r="J18" s="117">
        <v>0.5</v>
      </c>
      <c r="K18" s="31"/>
      <c r="L18" s="7"/>
      <c r="M18" s="7"/>
      <c r="N18" s="118"/>
      <c r="O18" s="6"/>
      <c r="P18" s="6"/>
      <c r="Q18" s="6"/>
      <c r="R18" s="6"/>
      <c r="S18" s="6"/>
      <c r="T18" s="8"/>
      <c r="U18" s="30">
        <f t="shared" si="1"/>
        <v>0</v>
      </c>
      <c r="V18" s="117">
        <v>0.5</v>
      </c>
    </row>
    <row r="19" spans="1:22" x14ac:dyDescent="0.25">
      <c r="A19" s="26" t="s">
        <v>201</v>
      </c>
      <c r="B19" s="27">
        <v>45888</v>
      </c>
      <c r="C19" s="26">
        <v>596796720</v>
      </c>
      <c r="D19" s="28" t="s">
        <v>24</v>
      </c>
      <c r="E19" s="28" t="s">
        <v>25</v>
      </c>
      <c r="F19" s="16">
        <v>18342.64</v>
      </c>
      <c r="G19" s="16">
        <v>16595.72</v>
      </c>
      <c r="H19" s="206">
        <v>1659.58</v>
      </c>
      <c r="I19" s="30">
        <f t="shared" si="0"/>
        <v>829.79</v>
      </c>
      <c r="J19" s="117">
        <v>0.5</v>
      </c>
      <c r="K19" s="31"/>
      <c r="L19" s="7"/>
      <c r="M19" s="7"/>
      <c r="N19" s="118"/>
      <c r="O19" s="6"/>
      <c r="P19" s="6"/>
      <c r="Q19" s="6"/>
      <c r="R19" s="6"/>
      <c r="S19" s="6"/>
      <c r="T19" s="8"/>
      <c r="U19" s="30">
        <f t="shared" si="1"/>
        <v>0</v>
      </c>
      <c r="V19" s="117">
        <v>0.5</v>
      </c>
    </row>
    <row r="20" spans="1:22" x14ac:dyDescent="0.25">
      <c r="A20" s="26" t="s">
        <v>201</v>
      </c>
      <c r="B20" s="27">
        <v>45888</v>
      </c>
      <c r="C20" s="26">
        <v>596796720</v>
      </c>
      <c r="D20" s="28" t="s">
        <v>144</v>
      </c>
      <c r="E20" s="28" t="s">
        <v>25</v>
      </c>
      <c r="F20" s="16">
        <v>100</v>
      </c>
      <c r="G20" s="16">
        <v>100</v>
      </c>
      <c r="H20" s="206">
        <v>10</v>
      </c>
      <c r="I20" s="30">
        <f>H20*J20</f>
        <v>5</v>
      </c>
      <c r="J20" s="117">
        <v>0.5</v>
      </c>
      <c r="K20" s="31"/>
      <c r="L20" s="7"/>
      <c r="M20" s="32"/>
      <c r="N20" s="118"/>
      <c r="O20" s="6"/>
      <c r="P20" s="6"/>
      <c r="Q20" s="6"/>
      <c r="R20" s="6"/>
      <c r="S20" s="6"/>
      <c r="T20" s="8"/>
      <c r="U20" s="30">
        <f t="shared" si="1"/>
        <v>0</v>
      </c>
      <c r="V20" s="117">
        <v>0.5</v>
      </c>
    </row>
    <row r="21" spans="1:22" x14ac:dyDescent="0.25">
      <c r="A21" s="26" t="s">
        <v>204</v>
      </c>
      <c r="B21" s="27">
        <v>45894</v>
      </c>
      <c r="C21" s="26">
        <v>598394375</v>
      </c>
      <c r="D21" s="28" t="s">
        <v>24</v>
      </c>
      <c r="E21" s="28" t="s">
        <v>25</v>
      </c>
      <c r="F21" s="16">
        <v>20273.650000000001</v>
      </c>
      <c r="G21" s="16">
        <v>18379.939999999999</v>
      </c>
      <c r="H21" s="206">
        <v>1837.99</v>
      </c>
      <c r="I21" s="30">
        <f t="shared" si="0"/>
        <v>918.995</v>
      </c>
      <c r="J21" s="117">
        <v>0.5</v>
      </c>
      <c r="K21" s="31"/>
      <c r="L21" s="7"/>
      <c r="M21" s="32"/>
      <c r="N21" s="118"/>
      <c r="O21" s="6"/>
      <c r="P21" s="6"/>
      <c r="Q21" s="6"/>
      <c r="R21" s="6"/>
      <c r="S21" s="6"/>
      <c r="T21" s="8"/>
      <c r="U21" s="30">
        <f t="shared" si="1"/>
        <v>0</v>
      </c>
      <c r="V21" s="117">
        <v>0.5</v>
      </c>
    </row>
    <row r="22" spans="1:22" x14ac:dyDescent="0.25">
      <c r="A22" s="26" t="s">
        <v>135</v>
      </c>
      <c r="B22" s="27">
        <v>45891</v>
      </c>
      <c r="C22" s="26">
        <v>597738190</v>
      </c>
      <c r="D22" s="28" t="s">
        <v>32</v>
      </c>
      <c r="E22" s="28" t="s">
        <v>25</v>
      </c>
      <c r="F22" s="16">
        <v>7141.81</v>
      </c>
      <c r="G22" s="16">
        <v>6801.72</v>
      </c>
      <c r="H22" s="206">
        <v>1020.15</v>
      </c>
      <c r="I22" s="30">
        <f t="shared" si="0"/>
        <v>510.07499999999999</v>
      </c>
      <c r="J22" s="117">
        <v>0.5</v>
      </c>
      <c r="K22" s="31"/>
      <c r="L22" s="7"/>
      <c r="M22" s="32"/>
      <c r="N22" s="118"/>
      <c r="O22" s="6"/>
      <c r="P22" s="6"/>
      <c r="Q22" s="6"/>
      <c r="R22" s="6"/>
      <c r="S22" s="6"/>
      <c r="T22" s="8"/>
      <c r="U22" s="30">
        <f t="shared" si="1"/>
        <v>0</v>
      </c>
      <c r="V22" s="117">
        <v>0.5</v>
      </c>
    </row>
    <row r="23" spans="1:22" x14ac:dyDescent="0.25">
      <c r="A23" s="26" t="s">
        <v>205</v>
      </c>
      <c r="B23" s="27">
        <v>45892</v>
      </c>
      <c r="C23" s="26">
        <v>597892304</v>
      </c>
      <c r="D23" s="28" t="s">
        <v>24</v>
      </c>
      <c r="E23" s="28" t="s">
        <v>25</v>
      </c>
      <c r="F23" s="16">
        <v>18122.490000000002</v>
      </c>
      <c r="G23" s="16">
        <v>16360.58</v>
      </c>
      <c r="H23" s="206">
        <v>1636.07</v>
      </c>
      <c r="I23" s="30">
        <f t="shared" si="0"/>
        <v>818.03499999999997</v>
      </c>
      <c r="J23" s="117">
        <v>0.5</v>
      </c>
      <c r="K23" s="44"/>
      <c r="L23" s="7"/>
      <c r="M23" s="7"/>
      <c r="N23" s="118"/>
      <c r="O23" s="6"/>
      <c r="P23" s="6"/>
      <c r="Q23" s="6"/>
      <c r="R23" s="6"/>
      <c r="S23" s="6"/>
      <c r="T23" s="8"/>
      <c r="U23" s="30">
        <f t="shared" si="1"/>
        <v>0</v>
      </c>
      <c r="V23" s="117">
        <v>0.5</v>
      </c>
    </row>
    <row r="24" spans="1:22" x14ac:dyDescent="0.25">
      <c r="A24" s="26" t="s">
        <v>206</v>
      </c>
      <c r="B24" s="27">
        <v>45896</v>
      </c>
      <c r="C24" s="26">
        <v>597633805</v>
      </c>
      <c r="D24" s="28" t="s">
        <v>29</v>
      </c>
      <c r="E24" s="28" t="s">
        <v>25</v>
      </c>
      <c r="F24" s="16">
        <v>17623.09</v>
      </c>
      <c r="G24" s="16">
        <v>16783.88</v>
      </c>
      <c r="H24" s="207">
        <v>2517.59</v>
      </c>
      <c r="I24" s="30">
        <f t="shared" si="0"/>
        <v>1258.7950000000001</v>
      </c>
      <c r="J24" s="117">
        <v>0.5</v>
      </c>
      <c r="K24" s="31"/>
      <c r="L24" s="7"/>
      <c r="M24" s="7"/>
      <c r="N24" s="118"/>
      <c r="O24" s="6"/>
      <c r="P24" s="6"/>
      <c r="Q24" s="6"/>
      <c r="R24" s="6"/>
      <c r="S24" s="6"/>
      <c r="T24" s="8"/>
      <c r="U24" s="30">
        <f t="shared" si="1"/>
        <v>0</v>
      </c>
      <c r="V24" s="117">
        <v>0.5</v>
      </c>
    </row>
    <row r="25" spans="1:22" x14ac:dyDescent="0.25">
      <c r="A25" s="26" t="s">
        <v>206</v>
      </c>
      <c r="B25" s="27">
        <v>45896</v>
      </c>
      <c r="C25" s="26">
        <v>597896483</v>
      </c>
      <c r="D25" s="28" t="s">
        <v>24</v>
      </c>
      <c r="E25" s="28" t="s">
        <v>25</v>
      </c>
      <c r="F25" s="16">
        <v>13718.13</v>
      </c>
      <c r="G25" s="16" t="s">
        <v>207</v>
      </c>
      <c r="H25" s="207">
        <v>1224.83</v>
      </c>
      <c r="I25" s="30">
        <f t="shared" si="0"/>
        <v>612.41499999999996</v>
      </c>
      <c r="J25" s="117">
        <v>0.5</v>
      </c>
      <c r="K25" s="31"/>
      <c r="L25" s="7"/>
      <c r="M25" s="7"/>
      <c r="N25" s="118"/>
      <c r="O25" s="6"/>
      <c r="P25" s="6"/>
      <c r="Q25" s="6"/>
      <c r="R25" s="6"/>
      <c r="S25" s="6"/>
      <c r="T25" s="8"/>
      <c r="U25" s="30">
        <f t="shared" si="1"/>
        <v>0</v>
      </c>
      <c r="V25" s="117">
        <v>0.5</v>
      </c>
    </row>
    <row r="26" spans="1:22" x14ac:dyDescent="0.25">
      <c r="A26" s="26" t="s">
        <v>208</v>
      </c>
      <c r="B26" s="27">
        <v>45895</v>
      </c>
      <c r="C26" s="26">
        <v>598740351</v>
      </c>
      <c r="D26" s="28" t="s">
        <v>24</v>
      </c>
      <c r="E26" s="28" t="s">
        <v>25</v>
      </c>
      <c r="F26" s="16">
        <v>10396.89</v>
      </c>
      <c r="G26" s="144">
        <v>9386.08</v>
      </c>
      <c r="H26" s="208">
        <v>938.62</v>
      </c>
      <c r="I26" s="30">
        <f t="shared" si="0"/>
        <v>469.31</v>
      </c>
      <c r="J26" s="117">
        <v>0.5</v>
      </c>
      <c r="K26" s="31"/>
      <c r="L26" s="7"/>
      <c r="M26" s="7"/>
      <c r="N26" s="118"/>
      <c r="O26" s="6"/>
      <c r="P26" s="6"/>
      <c r="Q26" s="6"/>
      <c r="R26" s="6"/>
      <c r="S26" s="6"/>
      <c r="T26" s="8"/>
      <c r="U26" s="30">
        <f t="shared" si="1"/>
        <v>0</v>
      </c>
      <c r="V26" s="117">
        <v>0.5</v>
      </c>
    </row>
    <row r="27" spans="1:22" x14ac:dyDescent="0.25">
      <c r="A27" s="26" t="s">
        <v>208</v>
      </c>
      <c r="B27" s="27">
        <v>45898</v>
      </c>
      <c r="C27" s="26">
        <v>597951097</v>
      </c>
      <c r="D27" s="28" t="s">
        <v>29</v>
      </c>
      <c r="E27" s="28" t="s">
        <v>25</v>
      </c>
      <c r="F27" s="146">
        <v>23889.93</v>
      </c>
      <c r="G27" s="147">
        <v>22752.3</v>
      </c>
      <c r="H27" s="209">
        <v>3412.85</v>
      </c>
      <c r="I27" s="30">
        <f t="shared" si="0"/>
        <v>1706.425</v>
      </c>
      <c r="J27" s="117">
        <v>0.5</v>
      </c>
      <c r="K27" s="31"/>
      <c r="L27" s="7"/>
      <c r="M27" s="7"/>
      <c r="N27" s="118"/>
      <c r="O27" s="6"/>
      <c r="P27" s="6"/>
      <c r="Q27" s="6"/>
      <c r="R27" s="6"/>
      <c r="S27" s="6"/>
      <c r="T27" s="8"/>
      <c r="U27" s="30">
        <f t="shared" si="1"/>
        <v>0</v>
      </c>
      <c r="V27" s="117">
        <v>0.5</v>
      </c>
    </row>
    <row r="28" spans="1:22" x14ac:dyDescent="0.25">
      <c r="A28" s="26" t="s">
        <v>135</v>
      </c>
      <c r="B28" s="27">
        <v>45897</v>
      </c>
      <c r="C28" s="26">
        <v>599185606</v>
      </c>
      <c r="D28" s="28" t="s">
        <v>32</v>
      </c>
      <c r="E28" s="28" t="s">
        <v>25</v>
      </c>
      <c r="F28" s="146">
        <v>3544.75</v>
      </c>
      <c r="G28" s="147">
        <v>3375.95</v>
      </c>
      <c r="H28" s="210">
        <v>506.25</v>
      </c>
      <c r="I28" s="30">
        <f t="shared" si="0"/>
        <v>253.125</v>
      </c>
      <c r="J28" s="117">
        <v>0.5</v>
      </c>
      <c r="K28" s="31"/>
      <c r="L28" s="7"/>
      <c r="M28" s="7"/>
      <c r="N28" s="118"/>
      <c r="O28" s="6"/>
      <c r="P28" s="6"/>
      <c r="Q28" s="6"/>
      <c r="R28" s="6"/>
      <c r="S28" s="6"/>
      <c r="T28" s="8"/>
      <c r="U28" s="30">
        <f t="shared" si="1"/>
        <v>0</v>
      </c>
      <c r="V28" s="117">
        <v>0.5</v>
      </c>
    </row>
    <row r="29" spans="1:22" x14ac:dyDescent="0.25">
      <c r="A29" s="26" t="s">
        <v>209</v>
      </c>
      <c r="B29" s="27">
        <v>45899</v>
      </c>
      <c r="C29" s="26">
        <v>599456684</v>
      </c>
      <c r="D29" s="28" t="s">
        <v>24</v>
      </c>
      <c r="E29" s="28" t="s">
        <v>25</v>
      </c>
      <c r="F29" s="146">
        <v>14157.57</v>
      </c>
      <c r="G29" s="150">
        <v>12809.24</v>
      </c>
      <c r="H29" s="211">
        <v>1280.92</v>
      </c>
      <c r="I29" s="30">
        <f t="shared" si="0"/>
        <v>640.46</v>
      </c>
      <c r="J29" s="117">
        <v>0.5</v>
      </c>
      <c r="K29" s="31"/>
      <c r="L29" s="7"/>
      <c r="M29" s="7"/>
      <c r="N29" s="118"/>
      <c r="O29" s="6"/>
      <c r="P29" s="6"/>
      <c r="Q29" s="6"/>
      <c r="R29" s="6"/>
      <c r="S29" s="6"/>
      <c r="T29" s="8"/>
      <c r="U29" s="30">
        <f t="shared" si="1"/>
        <v>0</v>
      </c>
      <c r="V29" s="117">
        <v>0.5</v>
      </c>
    </row>
    <row r="30" spans="1:22" x14ac:dyDescent="0.25">
      <c r="A30" s="26" t="s">
        <v>209</v>
      </c>
      <c r="B30" s="27">
        <v>45899</v>
      </c>
      <c r="C30" s="26">
        <v>599456684</v>
      </c>
      <c r="D30" s="16" t="s">
        <v>144</v>
      </c>
      <c r="E30" s="28" t="s">
        <v>25</v>
      </c>
      <c r="F30" s="146">
        <v>100</v>
      </c>
      <c r="G30" s="147">
        <v>100</v>
      </c>
      <c r="H30" s="212">
        <v>10</v>
      </c>
      <c r="I30" s="30">
        <f t="shared" si="0"/>
        <v>5</v>
      </c>
      <c r="J30" s="117">
        <v>0.5</v>
      </c>
      <c r="K30" s="31"/>
      <c r="L30" s="7"/>
      <c r="M30" s="7"/>
      <c r="N30" s="118"/>
      <c r="O30" s="6"/>
      <c r="P30" s="6"/>
      <c r="Q30" s="6"/>
      <c r="R30" s="6"/>
      <c r="S30" s="6"/>
      <c r="T30" s="8"/>
      <c r="U30" s="30">
        <f t="shared" si="1"/>
        <v>0</v>
      </c>
      <c r="V30" s="117">
        <v>0.5</v>
      </c>
    </row>
    <row r="31" spans="1:22" x14ac:dyDescent="0.25">
      <c r="A31" s="15"/>
      <c r="B31" s="152"/>
      <c r="C31" s="15"/>
      <c r="D31" s="16"/>
      <c r="E31" s="28"/>
      <c r="F31" s="146"/>
      <c r="G31" s="146"/>
      <c r="H31" s="212"/>
      <c r="I31" s="30">
        <f t="shared" si="0"/>
        <v>0</v>
      </c>
      <c r="J31" s="117">
        <v>0.5</v>
      </c>
      <c r="K31" s="31"/>
      <c r="L31" s="7"/>
      <c r="M31" s="7"/>
      <c r="N31" s="118"/>
      <c r="O31" s="6"/>
      <c r="P31" s="6"/>
      <c r="Q31" s="6"/>
      <c r="R31" s="6"/>
      <c r="S31" s="6"/>
      <c r="T31" s="8"/>
      <c r="U31" s="30">
        <f t="shared" si="1"/>
        <v>0</v>
      </c>
      <c r="V31" s="117">
        <v>0.5</v>
      </c>
    </row>
    <row r="32" spans="1:22" x14ac:dyDescent="0.25">
      <c r="A32" s="7"/>
      <c r="B32" s="32"/>
      <c r="C32" s="7"/>
      <c r="D32" s="6"/>
      <c r="E32" s="16"/>
      <c r="F32" s="52"/>
      <c r="G32" s="16" t="s">
        <v>15</v>
      </c>
      <c r="H32" s="16"/>
      <c r="I32" s="22">
        <f>SUM(I6:I31)</f>
        <v>13860.851999999999</v>
      </c>
      <c r="J32" s="22"/>
      <c r="K32" s="31"/>
      <c r="L32" s="7"/>
      <c r="M32" s="7"/>
      <c r="N32" s="118"/>
      <c r="O32" s="6"/>
      <c r="P32" s="6"/>
      <c r="Q32" s="6"/>
      <c r="R32" s="6"/>
      <c r="S32" s="6" t="s">
        <v>15</v>
      </c>
      <c r="T32" s="8"/>
      <c r="U32" s="116">
        <f>SUM(U6:U31)</f>
        <v>1832.05</v>
      </c>
      <c r="V32" s="171"/>
    </row>
    <row r="33" spans="1:22" x14ac:dyDescent="0.25">
      <c r="A33" s="7"/>
      <c r="B33" s="32"/>
      <c r="C33" s="7"/>
      <c r="D33" s="6"/>
      <c r="E33" s="6"/>
      <c r="F33" s="6"/>
      <c r="G33" s="6"/>
      <c r="H33" s="6"/>
      <c r="I33" s="6"/>
      <c r="J33" s="6"/>
      <c r="K33" s="31"/>
      <c r="L33" s="7"/>
      <c r="M33" s="7"/>
      <c r="N33" s="118"/>
      <c r="O33" s="6"/>
      <c r="P33" s="6"/>
      <c r="Q33" s="6"/>
      <c r="R33" s="6"/>
      <c r="S33" s="43"/>
      <c r="T33" s="51"/>
      <c r="U33" s="8"/>
      <c r="V33" s="75"/>
    </row>
    <row r="34" spans="1:22" x14ac:dyDescent="0.25">
      <c r="A34" s="7"/>
      <c r="B34" s="32"/>
      <c r="C34" s="7"/>
      <c r="D34" s="6"/>
      <c r="E34" s="6"/>
      <c r="F34" s="6"/>
      <c r="G34" s="6"/>
      <c r="H34" s="6"/>
      <c r="I34" s="6"/>
      <c r="J34" s="6"/>
      <c r="K34" s="31"/>
      <c r="L34" s="7"/>
      <c r="M34" s="7"/>
      <c r="N34" s="118"/>
      <c r="O34" s="6"/>
      <c r="P34" s="6"/>
      <c r="Q34" s="6"/>
      <c r="R34" s="6"/>
      <c r="S34" s="43"/>
      <c r="T34" s="51"/>
      <c r="U34" s="8"/>
      <c r="V34" s="75"/>
    </row>
    <row r="35" spans="1:22" x14ac:dyDescent="0.25">
      <c r="A35" s="53" t="s">
        <v>145</v>
      </c>
      <c r="B35" s="54"/>
      <c r="C35" s="55"/>
      <c r="D35" s="55">
        <f>I5</f>
        <v>0</v>
      </c>
      <c r="E35" s="16"/>
      <c r="F35" s="16"/>
      <c r="G35" s="16"/>
      <c r="H35" s="16"/>
      <c r="I35" s="16"/>
      <c r="J35" s="16"/>
      <c r="K35" s="12"/>
      <c r="L35" s="53" t="s">
        <v>146</v>
      </c>
      <c r="M35" s="54"/>
      <c r="N35" s="182"/>
      <c r="O35" s="215">
        <f>U5</f>
        <v>667.69</v>
      </c>
      <c r="P35" s="6"/>
      <c r="Q35" s="6"/>
      <c r="R35" s="6"/>
      <c r="S35" s="43"/>
      <c r="T35" s="32"/>
      <c r="U35" s="8"/>
      <c r="V35" s="75"/>
    </row>
    <row r="36" spans="1:22" x14ac:dyDescent="0.25">
      <c r="A36" s="56" t="s">
        <v>17</v>
      </c>
      <c r="B36" s="57"/>
      <c r="C36" s="58"/>
      <c r="D36" s="153">
        <f>I32</f>
        <v>13860.851999999999</v>
      </c>
      <c r="E36" s="16"/>
      <c r="F36" s="16"/>
      <c r="G36" s="16"/>
      <c r="H36" s="16"/>
      <c r="I36" s="16"/>
      <c r="J36" s="16"/>
      <c r="K36" s="12"/>
      <c r="L36" s="56" t="s">
        <v>18</v>
      </c>
      <c r="M36" s="57"/>
      <c r="N36" s="183"/>
      <c r="O36" s="216">
        <f>U32</f>
        <v>1832.05</v>
      </c>
      <c r="P36" s="6"/>
      <c r="Q36" s="6"/>
      <c r="R36" s="6"/>
      <c r="S36" s="6"/>
      <c r="T36" s="8"/>
      <c r="U36" s="9"/>
      <c r="V36" s="75"/>
    </row>
    <row r="37" spans="1:22" x14ac:dyDescent="0.25">
      <c r="A37" s="60" t="s">
        <v>19</v>
      </c>
      <c r="B37" s="60"/>
      <c r="C37" s="61"/>
      <c r="D37" s="154"/>
      <c r="E37" s="6"/>
      <c r="F37" s="6"/>
      <c r="G37" s="6"/>
      <c r="H37" s="6"/>
      <c r="I37" s="6"/>
      <c r="J37" s="6"/>
      <c r="K37" s="31"/>
      <c r="L37" s="60" t="s">
        <v>20</v>
      </c>
      <c r="M37" s="62"/>
      <c r="N37" s="184"/>
      <c r="O37" s="216"/>
      <c r="P37" s="6"/>
      <c r="Q37" s="6"/>
      <c r="R37" s="6"/>
      <c r="S37" s="6"/>
      <c r="T37" s="8"/>
      <c r="U37" s="9"/>
      <c r="V37" s="75"/>
    </row>
    <row r="38" spans="1:22" x14ac:dyDescent="0.25">
      <c r="A38" s="60" t="s">
        <v>219</v>
      </c>
      <c r="B38" s="60"/>
      <c r="C38" s="61"/>
      <c r="D38" s="154">
        <v>615</v>
      </c>
      <c r="E38" s="6"/>
      <c r="F38" s="6"/>
      <c r="G38" s="6"/>
      <c r="H38" s="6"/>
      <c r="I38" s="6"/>
      <c r="J38" s="6"/>
      <c r="K38" s="31"/>
      <c r="L38" s="60"/>
      <c r="M38" s="62"/>
      <c r="N38" s="184"/>
      <c r="O38" s="218"/>
      <c r="P38" s="6"/>
      <c r="Q38" s="6"/>
      <c r="R38" s="6"/>
      <c r="S38" s="6"/>
      <c r="T38" s="8"/>
      <c r="U38" s="9"/>
      <c r="V38" s="75"/>
    </row>
    <row r="39" spans="1:22" x14ac:dyDescent="0.25">
      <c r="A39" s="60"/>
      <c r="B39" s="60"/>
      <c r="C39" s="61"/>
      <c r="D39" s="154"/>
      <c r="E39" s="6"/>
      <c r="F39" s="6"/>
      <c r="G39" s="6"/>
      <c r="H39" s="6"/>
      <c r="I39" s="6"/>
      <c r="J39" s="6"/>
      <c r="K39" s="31"/>
      <c r="L39" s="60" t="s">
        <v>213</v>
      </c>
      <c r="M39" s="62"/>
      <c r="N39" s="184"/>
      <c r="O39" s="218">
        <v>152.5</v>
      </c>
      <c r="P39" s="6"/>
      <c r="Q39" s="6"/>
      <c r="R39" s="6"/>
      <c r="S39" s="6"/>
      <c r="T39" s="8"/>
      <c r="U39" s="9"/>
      <c r="V39" s="75"/>
    </row>
    <row r="40" spans="1:22" x14ac:dyDescent="0.25">
      <c r="A40" s="60"/>
      <c r="B40" s="63"/>
      <c r="C40" s="61"/>
      <c r="D40" s="155"/>
      <c r="E40" s="6"/>
      <c r="F40" s="6"/>
      <c r="G40" s="6"/>
      <c r="H40" s="6"/>
      <c r="I40" s="6"/>
      <c r="J40" s="6"/>
      <c r="K40" s="31"/>
      <c r="L40" s="60" t="s">
        <v>214</v>
      </c>
      <c r="M40" s="63"/>
      <c r="N40" s="184"/>
      <c r="O40" s="219">
        <v>1094.5</v>
      </c>
      <c r="P40" s="6"/>
      <c r="Q40" s="6"/>
      <c r="R40" s="6"/>
      <c r="S40" s="6"/>
      <c r="T40" s="8"/>
      <c r="U40" s="9"/>
      <c r="V40" s="75"/>
    </row>
    <row r="41" spans="1:22" x14ac:dyDescent="0.25">
      <c r="A41" s="60"/>
      <c r="B41" s="64"/>
      <c r="C41" s="65"/>
      <c r="D41" s="154"/>
      <c r="E41" s="6"/>
      <c r="F41" s="6"/>
      <c r="G41" s="6"/>
      <c r="H41" s="6"/>
      <c r="I41" s="6"/>
      <c r="J41" s="6"/>
      <c r="K41" s="31"/>
      <c r="L41" s="60" t="s">
        <v>215</v>
      </c>
      <c r="M41" s="64"/>
      <c r="N41" s="185"/>
      <c r="O41" s="220">
        <v>663.5</v>
      </c>
      <c r="P41" s="6"/>
      <c r="Q41" s="7"/>
      <c r="R41" s="7"/>
      <c r="S41" s="7"/>
      <c r="T41" s="8"/>
      <c r="U41" s="9"/>
      <c r="V41" s="75"/>
    </row>
    <row r="42" spans="1:22" x14ac:dyDescent="0.25">
      <c r="A42" s="60"/>
      <c r="B42" s="66"/>
      <c r="C42" s="67"/>
      <c r="D42" s="84"/>
      <c r="E42" s="6"/>
      <c r="F42" s="6"/>
      <c r="G42" s="6"/>
      <c r="H42" s="6"/>
      <c r="I42" s="6"/>
      <c r="J42" s="6"/>
      <c r="K42" s="157"/>
      <c r="L42" s="213" t="s">
        <v>216</v>
      </c>
      <c r="M42" s="86"/>
      <c r="N42" s="186"/>
      <c r="O42" s="217">
        <v>692.5</v>
      </c>
      <c r="P42" s="6"/>
      <c r="Q42" s="7"/>
      <c r="R42" s="7"/>
      <c r="S42" s="7"/>
      <c r="T42" s="8"/>
      <c r="U42" s="9"/>
      <c r="V42" s="75"/>
    </row>
    <row r="43" spans="1:22" x14ac:dyDescent="0.25">
      <c r="A43" s="68"/>
      <c r="B43" s="66"/>
      <c r="C43" s="67"/>
      <c r="D43" s="86"/>
      <c r="E43" s="6"/>
      <c r="F43" s="6"/>
      <c r="G43" s="6"/>
      <c r="H43" s="6"/>
      <c r="I43" s="6"/>
      <c r="J43" s="6"/>
      <c r="K43" s="157"/>
      <c r="L43" s="213" t="s">
        <v>217</v>
      </c>
      <c r="M43" s="86"/>
      <c r="N43" s="186"/>
      <c r="O43" s="217">
        <v>30.5</v>
      </c>
      <c r="P43" s="6"/>
      <c r="Q43" s="7"/>
      <c r="R43" s="7"/>
      <c r="S43" s="7"/>
      <c r="T43" s="8"/>
      <c r="U43" s="9"/>
      <c r="V43" s="75"/>
    </row>
    <row r="44" spans="1:22" x14ac:dyDescent="0.25">
      <c r="A44" s="68"/>
      <c r="B44" s="66"/>
      <c r="C44" s="67"/>
      <c r="D44" s="86"/>
      <c r="E44" s="6"/>
      <c r="F44" s="6"/>
      <c r="G44" s="6"/>
      <c r="H44" s="6"/>
      <c r="I44" s="6"/>
      <c r="J44" s="6"/>
      <c r="K44" s="157"/>
      <c r="L44" s="213" t="s">
        <v>218</v>
      </c>
      <c r="M44" s="86"/>
      <c r="N44" s="186"/>
      <c r="O44" s="217">
        <v>236.5</v>
      </c>
      <c r="P44" s="6"/>
      <c r="Q44" s="7"/>
      <c r="R44" s="7"/>
      <c r="S44" s="7"/>
      <c r="T44" s="8"/>
      <c r="U44" s="9"/>
      <c r="V44" s="75"/>
    </row>
    <row r="45" spans="1:22" x14ac:dyDescent="0.25">
      <c r="A45" s="68"/>
      <c r="B45" s="66"/>
      <c r="C45" s="67"/>
      <c r="D45" s="86"/>
      <c r="E45" s="6"/>
      <c r="F45" s="6"/>
      <c r="G45" s="6"/>
      <c r="H45" s="6"/>
      <c r="I45" s="6"/>
      <c r="J45" s="6"/>
      <c r="K45" s="157"/>
      <c r="L45" s="213"/>
      <c r="M45" s="86"/>
      <c r="N45" s="186"/>
      <c r="O45" s="217"/>
      <c r="P45" s="6"/>
      <c r="Q45" s="7"/>
      <c r="R45" s="7"/>
      <c r="S45" s="7"/>
      <c r="T45" s="8"/>
      <c r="U45" s="9"/>
      <c r="V45" s="75"/>
    </row>
    <row r="46" spans="1:22" x14ac:dyDescent="0.25">
      <c r="A46" s="68"/>
      <c r="B46" s="64" t="s">
        <v>15</v>
      </c>
      <c r="C46" s="65"/>
      <c r="D46" s="86">
        <f>D35+D36+D38</f>
        <v>14475.851999999999</v>
      </c>
      <c r="E46" s="6"/>
      <c r="F46" s="6"/>
      <c r="G46" s="166"/>
      <c r="H46" s="166"/>
      <c r="I46" s="166"/>
      <c r="J46" s="6"/>
      <c r="K46" s="31"/>
      <c r="L46" s="60"/>
      <c r="M46" s="64" t="s">
        <v>15</v>
      </c>
      <c r="N46" s="185"/>
      <c r="O46" s="217">
        <f>O36+O35+O37+O38+O39+O40+O41+O42+O43+O44</f>
        <v>5369.74</v>
      </c>
      <c r="P46" s="6"/>
      <c r="Q46" s="7"/>
      <c r="R46" s="166"/>
      <c r="S46" s="166"/>
      <c r="T46" s="166"/>
      <c r="U46" s="9"/>
      <c r="V46" s="75"/>
    </row>
    <row r="47" spans="1:22" x14ac:dyDescent="0.25">
      <c r="A47" s="75"/>
      <c r="B47" s="75"/>
      <c r="C47" s="75"/>
      <c r="D47" s="75"/>
      <c r="E47" s="75"/>
      <c r="F47" s="75"/>
      <c r="G47" s="167" t="s">
        <v>21</v>
      </c>
      <c r="H47" s="168"/>
      <c r="I47" s="169">
        <f>D46-O46</f>
        <v>9106.1119999999992</v>
      </c>
      <c r="J47" s="75"/>
      <c r="K47" s="31"/>
      <c r="L47" s="214"/>
      <c r="M47" s="75"/>
      <c r="N47" s="187"/>
      <c r="O47" s="75"/>
      <c r="P47" s="75"/>
      <c r="Q47" s="75"/>
      <c r="R47" s="167"/>
      <c r="S47" s="168"/>
      <c r="T47" s="169"/>
      <c r="U47" s="75"/>
      <c r="V47" s="75"/>
    </row>
    <row r="48" spans="1:22" x14ac:dyDescent="0.25">
      <c r="A48" s="75"/>
      <c r="B48" s="75"/>
      <c r="C48" s="75"/>
      <c r="D48" s="75"/>
      <c r="E48" s="75"/>
      <c r="F48" s="75"/>
      <c r="G48" s="168"/>
      <c r="H48" s="168"/>
      <c r="I48" s="168"/>
      <c r="J48" s="75"/>
      <c r="K48" s="31"/>
      <c r="L48" s="75"/>
      <c r="M48" s="75"/>
      <c r="N48" s="187"/>
      <c r="O48" s="75"/>
      <c r="P48" s="75"/>
      <c r="Q48" s="75"/>
      <c r="R48" s="168"/>
      <c r="S48" s="168"/>
      <c r="T48" s="168"/>
      <c r="U48" s="75"/>
      <c r="V48" s="75"/>
    </row>
    <row r="49" spans="1:22" x14ac:dyDescent="0.25">
      <c r="A49" s="75"/>
      <c r="B49" s="75"/>
      <c r="C49" s="75"/>
      <c r="D49" s="75"/>
      <c r="E49" s="75"/>
      <c r="F49" s="75"/>
      <c r="G49" s="168"/>
      <c r="H49" s="168"/>
      <c r="I49" s="168"/>
      <c r="J49" s="75"/>
      <c r="K49" s="31"/>
      <c r="L49" s="75"/>
      <c r="M49" s="75"/>
      <c r="N49" s="187"/>
      <c r="O49" s="75"/>
      <c r="P49" s="75"/>
      <c r="Q49" s="75"/>
      <c r="R49" s="168"/>
      <c r="S49" s="168"/>
      <c r="T49" s="168"/>
      <c r="U49" s="75"/>
      <c r="V49" s="75"/>
    </row>
  </sheetData>
  <conditionalFormatting sqref="C1:C5 D6:D31 D32:F34">
    <cfRule type="cellIs" dxfId="142" priority="26" operator="equal">
      <formula>15698.2</formula>
    </cfRule>
    <cfRule type="cellIs" dxfId="141" priority="27" operator="equal">
      <formula>"kapalı"</formula>
    </cfRule>
  </conditionalFormatting>
  <conditionalFormatting sqref="F6:F31 E35:F35 D36:F39 E40:F40 D41:F46">
    <cfRule type="cellIs" dxfId="140" priority="19" operator="equal">
      <formula>15698.2</formula>
    </cfRule>
    <cfRule type="cellIs" dxfId="139" priority="20" operator="equal">
      <formula>"kapalı"</formula>
    </cfRule>
  </conditionalFormatting>
  <conditionalFormatting sqref="G6:G28 E6:E31 G30:H46 D40 Q46:S46">
    <cfRule type="cellIs" dxfId="138" priority="15" operator="equal">
      <formula>"K.KART"</formula>
    </cfRule>
  </conditionalFormatting>
  <conditionalFormatting sqref="L42:N45">
    <cfRule type="cellIs" dxfId="137" priority="10" operator="equal">
      <formula>15698.2</formula>
    </cfRule>
    <cfRule type="cellIs" dxfId="136" priority="11" operator="equal">
      <formula>"kapalı"</formula>
    </cfRule>
  </conditionalFormatting>
  <conditionalFormatting sqref="N35">
    <cfRule type="cellIs" dxfId="135" priority="18" operator="equal">
      <formula>"K.KART"</formula>
    </cfRule>
  </conditionalFormatting>
  <conditionalFormatting sqref="N4:O4">
    <cfRule type="cellIs" dxfId="134" priority="21" operator="equal">
      <formula>15698.2</formula>
    </cfRule>
    <cfRule type="cellIs" dxfId="133" priority="22" operator="equal">
      <formula>"kapalı"</formula>
    </cfRule>
  </conditionalFormatting>
  <conditionalFormatting sqref="N1:P3 N5:P5 N27:P34 O35:P35 P36:P46">
    <cfRule type="cellIs" dxfId="132" priority="29" operator="equal">
      <formula>15698.2</formula>
    </cfRule>
  </conditionalFormatting>
  <conditionalFormatting sqref="N1:P3 N5:P5 N27:P34">
    <cfRule type="cellIs" dxfId="131" priority="24" operator="equal">
      <formula>"KAPALI"</formula>
    </cfRule>
    <cfRule type="cellIs" dxfId="130" priority="25" operator="equal">
      <formula>"açık"</formula>
    </cfRule>
  </conditionalFormatting>
  <conditionalFormatting sqref="N12:P12">
    <cfRule type="cellIs" dxfId="129" priority="7" operator="equal">
      <formula>"KAPALI"</formula>
    </cfRule>
    <cfRule type="cellIs" dxfId="128" priority="8" operator="equal">
      <formula>"açık"</formula>
    </cfRule>
  </conditionalFormatting>
  <conditionalFormatting sqref="O40">
    <cfRule type="cellIs" dxfId="127" priority="12" operator="equal">
      <formula>"K.KART"</formula>
    </cfRule>
  </conditionalFormatting>
  <conditionalFormatting sqref="O41">
    <cfRule type="cellIs" dxfId="126" priority="13" operator="equal">
      <formula>15698.2</formula>
    </cfRule>
    <cfRule type="cellIs" dxfId="125" priority="14" operator="equal">
      <formula>"kapalı"</formula>
    </cfRule>
  </conditionalFormatting>
  <conditionalFormatting sqref="O6:P26 N12">
    <cfRule type="cellIs" dxfId="124" priority="6" operator="equal">
      <formula>15698.2</formula>
    </cfRule>
  </conditionalFormatting>
  <conditionalFormatting sqref="O6:P26">
    <cfRule type="cellIs" dxfId="123" priority="4" operator="equal">
      <formula>"kapalı"</formula>
    </cfRule>
  </conditionalFormatting>
  <conditionalFormatting sqref="O35:P35 P36:P46">
    <cfRule type="cellIs" dxfId="122" priority="16" operator="equal">
      <formula>"KAPALI"</formula>
    </cfRule>
    <cfRule type="cellIs" dxfId="121" priority="17" operator="equal">
      <formula>"açık"</formula>
    </cfRule>
  </conditionalFormatting>
  <conditionalFormatting sqref="P4:U4">
    <cfRule type="cellIs" dxfId="120" priority="23" operator="equal">
      <formula>"K.KART"</formula>
    </cfRule>
  </conditionalFormatting>
  <conditionalFormatting sqref="Q6:Q13">
    <cfRule type="cellIs" dxfId="119" priority="5" operator="equal">
      <formula>"K.KART"</formula>
    </cfRule>
  </conditionalFormatting>
  <conditionalFormatting sqref="Q13">
    <cfRule type="cellIs" dxfId="118" priority="2" operator="equal">
      <formula>15698.2</formula>
    </cfRule>
    <cfRule type="cellIs" dxfId="117" priority="3" operator="equal">
      <formula>"kapalı"</formula>
    </cfRule>
  </conditionalFormatting>
  <conditionalFormatting sqref="Q1:R3 D1:H5">
    <cfRule type="cellIs" dxfId="116" priority="28" operator="equal">
      <formula>"K.KART"</formula>
    </cfRule>
  </conditionalFormatting>
  <conditionalFormatting sqref="Q5:R11 Q14:R45">
    <cfRule type="cellIs" dxfId="115" priority="9" operator="equal">
      <formula>"K.KART"</formula>
    </cfRule>
  </conditionalFormatting>
  <conditionalFormatting sqref="R12:S13">
    <cfRule type="cellIs" dxfId="114" priority="1" operator="equal">
      <formula>"K.KART"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886A3-9D35-4852-AFCB-D9BE69E218D2}">
  <dimension ref="A1:V65"/>
  <sheetViews>
    <sheetView workbookViewId="0">
      <selection activeCell="D60" sqref="D60"/>
    </sheetView>
  </sheetViews>
  <sheetFormatPr defaultRowHeight="15" x14ac:dyDescent="0.25"/>
  <cols>
    <col min="1" max="1" width="21.85546875" customWidth="1"/>
    <col min="2" max="2" width="12.42578125" customWidth="1"/>
    <col min="3" max="3" width="13" customWidth="1"/>
    <col min="4" max="4" width="10.5703125" customWidth="1"/>
    <col min="5" max="5" width="9.5703125" customWidth="1"/>
    <col min="6" max="6" width="12.42578125" customWidth="1"/>
    <col min="7" max="7" width="12" customWidth="1"/>
    <col min="8" max="8" width="11.140625" customWidth="1"/>
    <col min="9" max="9" width="12.140625" customWidth="1"/>
    <col min="10" max="10" width="6" customWidth="1"/>
    <col min="11" max="11" width="2.140625" customWidth="1"/>
    <col min="12" max="12" width="18" customWidth="1"/>
    <col min="13" max="13" width="11.28515625" customWidth="1"/>
    <col min="14" max="14" width="15.42578125" customWidth="1"/>
    <col min="15" max="15" width="10.5703125" customWidth="1"/>
    <col min="17" max="17" width="9.5703125" customWidth="1"/>
    <col min="18" max="18" width="12" customWidth="1"/>
    <col min="19" max="19" width="11.5703125" customWidth="1"/>
    <col min="20" max="20" width="11.28515625" customWidth="1"/>
    <col min="21" max="21" width="10.28515625" customWidth="1"/>
    <col min="22" max="22" width="5.140625" customWidth="1"/>
  </cols>
  <sheetData>
    <row r="1" spans="1:22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3"/>
      <c r="L1" s="1"/>
      <c r="M1" s="1"/>
      <c r="N1" s="175"/>
      <c r="O1" s="2"/>
      <c r="P1" s="2"/>
      <c r="Q1" s="2"/>
      <c r="R1" s="2"/>
      <c r="S1" s="2"/>
      <c r="T1" s="4"/>
      <c r="U1" s="5"/>
    </row>
    <row r="2" spans="1:22" x14ac:dyDescent="0.25">
      <c r="A2" s="10" t="s">
        <v>0</v>
      </c>
      <c r="B2" s="10"/>
      <c r="C2" s="11"/>
      <c r="D2" s="11"/>
      <c r="E2" s="11"/>
      <c r="F2" s="11"/>
      <c r="G2" s="11"/>
      <c r="H2" s="11"/>
      <c r="I2" s="11"/>
      <c r="J2" s="11"/>
      <c r="K2" s="12"/>
      <c r="L2" s="10" t="s">
        <v>1</v>
      </c>
      <c r="M2" s="10"/>
      <c r="N2" s="176"/>
      <c r="O2" s="11"/>
      <c r="P2" s="11"/>
      <c r="Q2" s="11"/>
      <c r="R2" s="11"/>
      <c r="S2" s="11"/>
      <c r="T2" s="13"/>
      <c r="U2" s="14"/>
      <c r="V2" s="11"/>
    </row>
    <row r="3" spans="1:22" x14ac:dyDescent="0.25">
      <c r="A3" s="15" t="s">
        <v>211</v>
      </c>
      <c r="B3" s="15">
        <v>2025</v>
      </c>
      <c r="C3" s="16"/>
      <c r="D3" s="16"/>
      <c r="E3" s="16"/>
      <c r="F3" s="16"/>
      <c r="G3" s="16"/>
      <c r="H3" s="16"/>
      <c r="I3" s="16"/>
      <c r="J3" s="16"/>
      <c r="K3" s="12"/>
      <c r="L3" s="15" t="s">
        <v>211</v>
      </c>
      <c r="M3" s="15">
        <v>2025</v>
      </c>
      <c r="N3" s="177"/>
      <c r="O3" s="16"/>
      <c r="P3" s="16"/>
      <c r="Q3" s="16"/>
      <c r="R3" s="16"/>
      <c r="S3" s="16"/>
      <c r="T3" s="17"/>
      <c r="U3" s="18"/>
      <c r="V3" s="16"/>
    </row>
    <row r="4" spans="1:22" ht="36" x14ac:dyDescent="0.25">
      <c r="A4" s="90" t="s">
        <v>2</v>
      </c>
      <c r="B4" s="90" t="s">
        <v>3</v>
      </c>
      <c r="C4" s="91" t="s">
        <v>4</v>
      </c>
      <c r="D4" s="91" t="s">
        <v>5</v>
      </c>
      <c r="E4" s="91" t="s">
        <v>6</v>
      </c>
      <c r="F4" s="91" t="s">
        <v>7</v>
      </c>
      <c r="G4" s="91" t="s">
        <v>8</v>
      </c>
      <c r="H4" s="92" t="s">
        <v>9</v>
      </c>
      <c r="I4" s="91" t="s">
        <v>10</v>
      </c>
      <c r="J4" s="91" t="s">
        <v>45</v>
      </c>
      <c r="K4" s="12"/>
      <c r="L4" s="90" t="s">
        <v>2</v>
      </c>
      <c r="M4" s="90" t="s">
        <v>3</v>
      </c>
      <c r="N4" s="178" t="s">
        <v>4</v>
      </c>
      <c r="O4" s="91" t="s">
        <v>11</v>
      </c>
      <c r="P4" s="91" t="s">
        <v>5</v>
      </c>
      <c r="Q4" s="91" t="s">
        <v>6</v>
      </c>
      <c r="R4" s="91" t="s">
        <v>7</v>
      </c>
      <c r="S4" s="91" t="s">
        <v>8</v>
      </c>
      <c r="T4" s="92" t="s">
        <v>12</v>
      </c>
      <c r="U4" s="92" t="s">
        <v>13</v>
      </c>
      <c r="V4" s="91" t="s">
        <v>45</v>
      </c>
    </row>
    <row r="5" spans="1:22" x14ac:dyDescent="0.25">
      <c r="A5" s="195" t="s">
        <v>14</v>
      </c>
      <c r="B5" s="195"/>
      <c r="C5" s="22"/>
      <c r="D5" s="22"/>
      <c r="E5" s="22"/>
      <c r="F5" s="22"/>
      <c r="G5" s="22"/>
      <c r="H5" s="55"/>
      <c r="I5" s="22">
        <v>9106.11</v>
      </c>
      <c r="J5" s="21"/>
      <c r="K5" s="19"/>
      <c r="L5" s="24" t="s">
        <v>14</v>
      </c>
      <c r="M5" s="20"/>
      <c r="N5" s="179"/>
      <c r="O5" s="21"/>
      <c r="P5" s="21"/>
      <c r="Q5" s="21"/>
      <c r="R5" s="22"/>
      <c r="S5" s="21"/>
      <c r="T5" s="23"/>
      <c r="U5" s="25"/>
      <c r="V5" s="21"/>
    </row>
    <row r="6" spans="1:22" x14ac:dyDescent="0.25">
      <c r="A6" s="26" t="s">
        <v>212</v>
      </c>
      <c r="B6" s="27">
        <v>45901</v>
      </c>
      <c r="C6" s="26">
        <v>598220612</v>
      </c>
      <c r="D6" s="28" t="s">
        <v>24</v>
      </c>
      <c r="E6" s="203" t="s">
        <v>25</v>
      </c>
      <c r="F6" s="16">
        <v>13380.14</v>
      </c>
      <c r="G6" s="16">
        <v>12105.82</v>
      </c>
      <c r="H6" s="222">
        <f>G6*10%</f>
        <v>1210.5820000000001</v>
      </c>
      <c r="I6" s="30">
        <f t="shared" ref="I6:I29" si="0">H6*J6</f>
        <v>605.29100000000005</v>
      </c>
      <c r="J6" s="117">
        <v>0.5</v>
      </c>
      <c r="K6" s="31"/>
      <c r="L6" s="7" t="s">
        <v>229</v>
      </c>
      <c r="M6" s="32">
        <v>45915</v>
      </c>
      <c r="N6" s="118">
        <v>311000484959878</v>
      </c>
      <c r="O6" s="6" t="s">
        <v>230</v>
      </c>
      <c r="P6" s="6" t="s">
        <v>24</v>
      </c>
      <c r="Q6" s="28" t="s">
        <v>25</v>
      </c>
      <c r="R6" s="6">
        <v>12619.99</v>
      </c>
      <c r="S6" s="6">
        <v>11392.85</v>
      </c>
      <c r="T6" s="29">
        <f>S6*10%</f>
        <v>1139.2850000000001</v>
      </c>
      <c r="U6" s="30">
        <f t="shared" ref="U6:U32" si="1">T6*V6</f>
        <v>569.64250000000004</v>
      </c>
      <c r="V6" s="117">
        <v>0.5</v>
      </c>
    </row>
    <row r="7" spans="1:22" x14ac:dyDescent="0.25">
      <c r="A7" s="26" t="s">
        <v>220</v>
      </c>
      <c r="B7" s="27">
        <v>45904</v>
      </c>
      <c r="C7" s="26">
        <v>598992969</v>
      </c>
      <c r="D7" s="28" t="s">
        <v>24</v>
      </c>
      <c r="E7" s="204" t="s">
        <v>25</v>
      </c>
      <c r="F7" s="16">
        <v>22683.87</v>
      </c>
      <c r="G7" s="16">
        <v>20523.5</v>
      </c>
      <c r="H7" s="222">
        <f t="shared" ref="H7:H14" si="2">G7*10%</f>
        <v>2052.35</v>
      </c>
      <c r="I7" s="30">
        <f t="shared" si="0"/>
        <v>1026.175</v>
      </c>
      <c r="J7" s="117">
        <v>0.5</v>
      </c>
      <c r="K7" s="31"/>
      <c r="L7" s="7" t="s">
        <v>231</v>
      </c>
      <c r="M7" s="32">
        <v>45911</v>
      </c>
      <c r="N7" s="118">
        <v>100000426338526</v>
      </c>
      <c r="O7" s="6" t="s">
        <v>155</v>
      </c>
      <c r="P7" s="6" t="s">
        <v>24</v>
      </c>
      <c r="Q7" s="28" t="s">
        <v>25</v>
      </c>
      <c r="R7" s="6">
        <v>15216.14</v>
      </c>
      <c r="S7" s="6">
        <v>13943.63</v>
      </c>
      <c r="T7" s="29">
        <f t="shared" ref="T7:T9" si="3">S7*10%</f>
        <v>1394.3630000000001</v>
      </c>
      <c r="U7" s="30">
        <f t="shared" si="1"/>
        <v>697.18150000000003</v>
      </c>
      <c r="V7" s="117">
        <v>0.5</v>
      </c>
    </row>
    <row r="8" spans="1:22" x14ac:dyDescent="0.25">
      <c r="A8" s="26" t="s">
        <v>220</v>
      </c>
      <c r="B8" s="27">
        <v>45904</v>
      </c>
      <c r="C8" s="26">
        <v>598992969</v>
      </c>
      <c r="D8" s="28" t="s">
        <v>24</v>
      </c>
      <c r="E8" s="204" t="s">
        <v>25</v>
      </c>
      <c r="F8" s="16">
        <v>100</v>
      </c>
      <c r="G8" s="16">
        <v>100</v>
      </c>
      <c r="H8" s="222">
        <f t="shared" si="2"/>
        <v>10</v>
      </c>
      <c r="I8" s="30">
        <f t="shared" si="0"/>
        <v>5</v>
      </c>
      <c r="J8" s="117">
        <v>0.5</v>
      </c>
      <c r="K8" s="31"/>
      <c r="L8" s="7" t="s">
        <v>231</v>
      </c>
      <c r="M8" s="32">
        <v>45911</v>
      </c>
      <c r="N8" s="118">
        <v>1111153</v>
      </c>
      <c r="O8" s="6" t="s">
        <v>155</v>
      </c>
      <c r="P8" s="6" t="s">
        <v>144</v>
      </c>
      <c r="Q8" s="28" t="s">
        <v>25</v>
      </c>
      <c r="R8" s="6">
        <v>100</v>
      </c>
      <c r="S8" s="6">
        <v>100</v>
      </c>
      <c r="T8" s="29">
        <f t="shared" si="3"/>
        <v>10</v>
      </c>
      <c r="U8" s="30">
        <f t="shared" si="1"/>
        <v>5</v>
      </c>
      <c r="V8" s="117">
        <v>0.5</v>
      </c>
    </row>
    <row r="9" spans="1:22" x14ac:dyDescent="0.25">
      <c r="A9" s="26" t="s">
        <v>221</v>
      </c>
      <c r="B9" s="27">
        <v>45905</v>
      </c>
      <c r="C9" s="26">
        <v>601161759</v>
      </c>
      <c r="D9" s="28" t="s">
        <v>24</v>
      </c>
      <c r="E9" s="204" t="s">
        <v>25</v>
      </c>
      <c r="F9" s="16">
        <v>10724.88</v>
      </c>
      <c r="G9" s="16">
        <v>9723.11</v>
      </c>
      <c r="H9" s="222">
        <f t="shared" si="2"/>
        <v>972.31100000000015</v>
      </c>
      <c r="I9" s="30">
        <f t="shared" si="0"/>
        <v>486.15550000000007</v>
      </c>
      <c r="J9" s="117">
        <v>0.5</v>
      </c>
      <c r="K9" s="31"/>
      <c r="L9" s="7" t="s">
        <v>239</v>
      </c>
      <c r="M9" s="32">
        <v>45918</v>
      </c>
      <c r="N9" s="118">
        <v>301000225504477</v>
      </c>
      <c r="O9" s="6" t="s">
        <v>240</v>
      </c>
      <c r="P9" s="6" t="s">
        <v>24</v>
      </c>
      <c r="Q9" s="28" t="s">
        <v>25</v>
      </c>
      <c r="R9" s="6">
        <v>43066.14</v>
      </c>
      <c r="S9" s="6">
        <v>39073.81</v>
      </c>
      <c r="T9" s="29">
        <f t="shared" si="3"/>
        <v>3907.3809999999999</v>
      </c>
      <c r="U9" s="30">
        <f t="shared" si="1"/>
        <v>1953.6904999999999</v>
      </c>
      <c r="V9" s="117">
        <v>0.5</v>
      </c>
    </row>
    <row r="10" spans="1:22" x14ac:dyDescent="0.25">
      <c r="A10" s="26" t="s">
        <v>221</v>
      </c>
      <c r="B10" s="27">
        <v>45905</v>
      </c>
      <c r="C10" s="26">
        <v>601161759</v>
      </c>
      <c r="D10" s="28" t="s">
        <v>144</v>
      </c>
      <c r="E10" s="204" t="s">
        <v>25</v>
      </c>
      <c r="F10" s="16">
        <v>100</v>
      </c>
      <c r="G10" s="16">
        <v>100</v>
      </c>
      <c r="H10" s="222">
        <f t="shared" si="2"/>
        <v>10</v>
      </c>
      <c r="I10" s="30">
        <f t="shared" si="0"/>
        <v>5</v>
      </c>
      <c r="J10" s="117">
        <v>0.5</v>
      </c>
      <c r="K10" s="31"/>
      <c r="L10" s="7"/>
      <c r="M10" s="32"/>
      <c r="N10" s="118"/>
      <c r="O10" s="6"/>
      <c r="P10" s="6"/>
      <c r="Q10" s="28"/>
      <c r="R10" s="6"/>
      <c r="S10" s="6"/>
      <c r="T10" s="29"/>
      <c r="U10" s="30">
        <f t="shared" si="1"/>
        <v>0</v>
      </c>
      <c r="V10" s="117">
        <v>0.5</v>
      </c>
    </row>
    <row r="11" spans="1:22" x14ac:dyDescent="0.25">
      <c r="A11" s="26" t="s">
        <v>222</v>
      </c>
      <c r="B11" s="27">
        <v>45905</v>
      </c>
      <c r="C11" s="26">
        <v>601249044</v>
      </c>
      <c r="D11" s="28" t="s">
        <v>24</v>
      </c>
      <c r="E11" s="205" t="s">
        <v>25</v>
      </c>
      <c r="F11" s="16">
        <v>16376.47</v>
      </c>
      <c r="G11" s="16">
        <v>14784.32</v>
      </c>
      <c r="H11" s="222">
        <f t="shared" si="2"/>
        <v>1478.432</v>
      </c>
      <c r="I11" s="30">
        <f t="shared" si="0"/>
        <v>739.21600000000001</v>
      </c>
      <c r="J11" s="117">
        <v>0.5</v>
      </c>
      <c r="K11" s="31"/>
      <c r="L11" s="7"/>
      <c r="M11" s="32"/>
      <c r="N11" s="118"/>
      <c r="O11" s="6"/>
      <c r="P11" s="6"/>
      <c r="Q11" s="28"/>
      <c r="R11" s="16"/>
      <c r="S11" s="16"/>
      <c r="T11" s="165"/>
      <c r="U11" s="30">
        <f t="shared" si="1"/>
        <v>0</v>
      </c>
      <c r="V11" s="117">
        <v>0.5</v>
      </c>
    </row>
    <row r="12" spans="1:22" x14ac:dyDescent="0.25">
      <c r="A12" s="26" t="s">
        <v>222</v>
      </c>
      <c r="B12" s="27">
        <v>45905</v>
      </c>
      <c r="C12" s="26">
        <v>601249044</v>
      </c>
      <c r="D12" s="28" t="s">
        <v>144</v>
      </c>
      <c r="E12" s="205" t="s">
        <v>25</v>
      </c>
      <c r="F12" s="16">
        <v>100</v>
      </c>
      <c r="G12" s="16">
        <v>100</v>
      </c>
      <c r="H12" s="222">
        <f t="shared" si="2"/>
        <v>10</v>
      </c>
      <c r="I12" s="30">
        <f t="shared" si="0"/>
        <v>5</v>
      </c>
      <c r="J12" s="117">
        <v>0.5</v>
      </c>
      <c r="K12" s="31"/>
      <c r="L12" s="172"/>
      <c r="M12" s="173"/>
      <c r="N12" s="180"/>
      <c r="O12" s="174"/>
      <c r="P12" s="174"/>
      <c r="Q12" s="28"/>
      <c r="R12" s="174"/>
      <c r="S12" s="174"/>
      <c r="T12" s="174"/>
      <c r="U12" s="30">
        <f t="shared" si="1"/>
        <v>0</v>
      </c>
      <c r="V12" s="117">
        <v>0.5</v>
      </c>
    </row>
    <row r="13" spans="1:22" x14ac:dyDescent="0.25">
      <c r="A13" s="26" t="s">
        <v>223</v>
      </c>
      <c r="B13" s="27">
        <v>45905</v>
      </c>
      <c r="C13" s="26">
        <v>601298694</v>
      </c>
      <c r="D13" s="28" t="s">
        <v>24</v>
      </c>
      <c r="E13" s="204" t="s">
        <v>25</v>
      </c>
      <c r="F13" s="16">
        <v>14326.4</v>
      </c>
      <c r="G13" s="16">
        <v>12961.95</v>
      </c>
      <c r="H13" s="222">
        <f t="shared" si="2"/>
        <v>1296.1950000000002</v>
      </c>
      <c r="I13" s="30">
        <f t="shared" si="0"/>
        <v>648.09750000000008</v>
      </c>
      <c r="J13" s="117">
        <v>0.5</v>
      </c>
      <c r="K13" s="31"/>
      <c r="L13" s="172"/>
      <c r="M13" s="173"/>
      <c r="N13" s="180"/>
      <c r="O13" s="174"/>
      <c r="P13" s="174"/>
      <c r="Q13" s="28"/>
      <c r="R13" s="174"/>
      <c r="S13" s="174"/>
      <c r="T13" s="174"/>
      <c r="U13" s="30">
        <f t="shared" si="1"/>
        <v>0</v>
      </c>
      <c r="V13" s="117">
        <v>0.5</v>
      </c>
    </row>
    <row r="14" spans="1:22" x14ac:dyDescent="0.25">
      <c r="A14" s="26" t="s">
        <v>223</v>
      </c>
      <c r="B14" s="27">
        <v>45905</v>
      </c>
      <c r="C14" s="26">
        <v>601298694</v>
      </c>
      <c r="D14" s="28" t="s">
        <v>144</v>
      </c>
      <c r="E14" s="204" t="s">
        <v>25</v>
      </c>
      <c r="F14" s="16">
        <v>100</v>
      </c>
      <c r="G14" s="16">
        <v>100</v>
      </c>
      <c r="H14" s="222">
        <f t="shared" si="2"/>
        <v>10</v>
      </c>
      <c r="I14" s="30">
        <f t="shared" si="0"/>
        <v>5</v>
      </c>
      <c r="J14" s="117">
        <v>0.5</v>
      </c>
      <c r="K14" s="31"/>
      <c r="L14" s="7"/>
      <c r="M14" s="32"/>
      <c r="N14" s="181"/>
      <c r="O14" s="6"/>
      <c r="P14" s="6"/>
      <c r="Q14" s="16"/>
      <c r="R14" s="16"/>
      <c r="S14" s="16"/>
      <c r="T14" s="17"/>
      <c r="U14" s="30">
        <f t="shared" si="1"/>
        <v>0</v>
      </c>
      <c r="V14" s="117">
        <v>0.5</v>
      </c>
    </row>
    <row r="15" spans="1:22" x14ac:dyDescent="0.25">
      <c r="A15" s="26" t="s">
        <v>224</v>
      </c>
      <c r="B15" s="27">
        <v>45907</v>
      </c>
      <c r="C15" s="26">
        <v>600594033</v>
      </c>
      <c r="D15" s="28" t="s">
        <v>24</v>
      </c>
      <c r="E15" s="140" t="s">
        <v>107</v>
      </c>
      <c r="F15" s="16">
        <v>10958.74</v>
      </c>
      <c r="G15" s="16">
        <v>9915.06</v>
      </c>
      <c r="H15" s="222">
        <f>G15*10%</f>
        <v>991.50599999999997</v>
      </c>
      <c r="I15" s="30">
        <f t="shared" si="0"/>
        <v>495.75299999999999</v>
      </c>
      <c r="J15" s="117">
        <v>0.5</v>
      </c>
      <c r="K15" s="31"/>
      <c r="L15" s="32"/>
      <c r="M15" s="7"/>
      <c r="N15" s="118"/>
      <c r="O15" s="6"/>
      <c r="P15" s="6"/>
      <c r="Q15" s="6"/>
      <c r="R15" s="6"/>
      <c r="S15" s="6"/>
      <c r="T15" s="8"/>
      <c r="U15" s="30">
        <f t="shared" si="1"/>
        <v>0</v>
      </c>
      <c r="V15" s="117">
        <v>0.5</v>
      </c>
    </row>
    <row r="16" spans="1:22" x14ac:dyDescent="0.25">
      <c r="A16" s="204" t="s">
        <v>135</v>
      </c>
      <c r="B16" s="27">
        <v>45908</v>
      </c>
      <c r="C16" s="26">
        <v>601687371</v>
      </c>
      <c r="D16" s="28" t="s">
        <v>32</v>
      </c>
      <c r="E16" s="28" t="s">
        <v>25</v>
      </c>
      <c r="F16" s="16">
        <v>380.43</v>
      </c>
      <c r="G16" s="16">
        <v>362.31</v>
      </c>
      <c r="H16" s="141">
        <f>G16*15%</f>
        <v>54.346499999999999</v>
      </c>
      <c r="I16" s="30">
        <f t="shared" si="0"/>
        <v>27.173249999999999</v>
      </c>
      <c r="J16" s="117">
        <v>0.5</v>
      </c>
      <c r="K16" s="31"/>
      <c r="L16" s="7"/>
      <c r="M16" s="7"/>
      <c r="N16" s="118"/>
      <c r="O16" s="6"/>
      <c r="P16" s="6"/>
      <c r="Q16" s="6"/>
      <c r="R16" s="6"/>
      <c r="S16" s="6"/>
      <c r="T16" s="8"/>
      <c r="U16" s="30">
        <f t="shared" si="1"/>
        <v>0</v>
      </c>
      <c r="V16" s="117">
        <v>0.5</v>
      </c>
    </row>
    <row r="17" spans="1:22" x14ac:dyDescent="0.25">
      <c r="A17" s="26" t="s">
        <v>135</v>
      </c>
      <c r="B17" s="27">
        <v>45908</v>
      </c>
      <c r="C17" s="26">
        <v>601763400</v>
      </c>
      <c r="D17" s="28" t="s">
        <v>32</v>
      </c>
      <c r="E17" s="28" t="s">
        <v>25</v>
      </c>
      <c r="F17" s="16">
        <v>2601.5100000000002</v>
      </c>
      <c r="G17" s="16">
        <v>2477.62</v>
      </c>
      <c r="H17" s="141">
        <f>G17*15%</f>
        <v>371.64299999999997</v>
      </c>
      <c r="I17" s="30">
        <f t="shared" si="0"/>
        <v>185.82149999999999</v>
      </c>
      <c r="J17" s="117">
        <v>0.5</v>
      </c>
      <c r="K17" s="31"/>
      <c r="L17" s="7"/>
      <c r="M17" s="7"/>
      <c r="N17" s="118"/>
      <c r="O17" s="6"/>
      <c r="P17" s="6"/>
      <c r="Q17" s="6"/>
      <c r="R17" s="6"/>
      <c r="S17" s="6"/>
      <c r="T17" s="8"/>
      <c r="U17" s="30">
        <f t="shared" si="1"/>
        <v>0</v>
      </c>
      <c r="V17" s="117">
        <v>0.5</v>
      </c>
    </row>
    <row r="18" spans="1:22" x14ac:dyDescent="0.25">
      <c r="A18" s="26" t="s">
        <v>225</v>
      </c>
      <c r="B18" s="27">
        <v>45909</v>
      </c>
      <c r="C18" s="26">
        <v>602209501</v>
      </c>
      <c r="D18" s="28" t="s">
        <v>24</v>
      </c>
      <c r="E18" s="28" t="s">
        <v>25</v>
      </c>
      <c r="F18" s="16">
        <v>17195.29</v>
      </c>
      <c r="G18" s="16">
        <v>15523.52</v>
      </c>
      <c r="H18" s="141">
        <f>G18*10%</f>
        <v>1552.3520000000001</v>
      </c>
      <c r="I18" s="30">
        <f t="shared" si="0"/>
        <v>776.17600000000004</v>
      </c>
      <c r="J18" s="117">
        <v>0.5</v>
      </c>
      <c r="K18" s="31"/>
      <c r="L18" s="7"/>
      <c r="M18" s="7"/>
      <c r="N18" s="118"/>
      <c r="O18" s="6"/>
      <c r="P18" s="6"/>
      <c r="Q18" s="6"/>
      <c r="R18" s="6"/>
      <c r="S18" s="6"/>
      <c r="T18" s="8"/>
      <c r="U18" s="30">
        <f t="shared" si="1"/>
        <v>0</v>
      </c>
      <c r="V18" s="117">
        <v>0.5</v>
      </c>
    </row>
    <row r="19" spans="1:22" x14ac:dyDescent="0.25">
      <c r="A19" s="26" t="s">
        <v>225</v>
      </c>
      <c r="B19" s="27">
        <v>45909</v>
      </c>
      <c r="C19" s="26">
        <v>602209501</v>
      </c>
      <c r="D19" s="28" t="s">
        <v>144</v>
      </c>
      <c r="E19" s="28" t="s">
        <v>25</v>
      </c>
      <c r="F19" s="16">
        <v>100</v>
      </c>
      <c r="G19" s="16">
        <v>100</v>
      </c>
      <c r="H19" s="141">
        <f t="shared" ref="H19:H22" si="4">G19*10%</f>
        <v>10</v>
      </c>
      <c r="I19" s="30">
        <f t="shared" si="0"/>
        <v>5</v>
      </c>
      <c r="J19" s="117">
        <v>0.5</v>
      </c>
      <c r="K19" s="31"/>
      <c r="L19" s="7"/>
      <c r="M19" s="7"/>
      <c r="N19" s="118"/>
      <c r="O19" s="6"/>
      <c r="P19" s="6"/>
      <c r="Q19" s="6"/>
      <c r="R19" s="6"/>
      <c r="S19" s="6"/>
      <c r="T19" s="8"/>
      <c r="U19" s="30">
        <f t="shared" si="1"/>
        <v>0</v>
      </c>
      <c r="V19" s="117">
        <v>0.5</v>
      </c>
    </row>
    <row r="20" spans="1:22" x14ac:dyDescent="0.25">
      <c r="A20" s="26" t="s">
        <v>226</v>
      </c>
      <c r="B20" s="27">
        <v>45909</v>
      </c>
      <c r="C20" s="26">
        <v>602057786</v>
      </c>
      <c r="D20" s="28" t="s">
        <v>24</v>
      </c>
      <c r="E20" s="28" t="s">
        <v>25</v>
      </c>
      <c r="F20" s="16">
        <v>18709.78</v>
      </c>
      <c r="G20" s="16">
        <v>16890.8</v>
      </c>
      <c r="H20" s="141">
        <f t="shared" si="4"/>
        <v>1689.08</v>
      </c>
      <c r="I20" s="30">
        <f>H20*J20</f>
        <v>844.54</v>
      </c>
      <c r="J20" s="117">
        <v>0.5</v>
      </c>
      <c r="K20" s="31"/>
      <c r="L20" s="7"/>
      <c r="M20" s="32"/>
      <c r="N20" s="118"/>
      <c r="O20" s="6"/>
      <c r="P20" s="6"/>
      <c r="Q20" s="6"/>
      <c r="R20" s="6"/>
      <c r="S20" s="6"/>
      <c r="T20" s="8"/>
      <c r="U20" s="30">
        <f t="shared" si="1"/>
        <v>0</v>
      </c>
      <c r="V20" s="117">
        <v>0.5</v>
      </c>
    </row>
    <row r="21" spans="1:22" x14ac:dyDescent="0.25">
      <c r="A21" s="26" t="s">
        <v>226</v>
      </c>
      <c r="B21" s="27">
        <v>45909</v>
      </c>
      <c r="C21" s="26">
        <v>602057786</v>
      </c>
      <c r="D21" s="28" t="s">
        <v>144</v>
      </c>
      <c r="E21" s="28" t="s">
        <v>25</v>
      </c>
      <c r="F21" s="16">
        <v>100</v>
      </c>
      <c r="G21" s="16">
        <v>100</v>
      </c>
      <c r="H21" s="141">
        <f t="shared" si="4"/>
        <v>10</v>
      </c>
      <c r="I21" s="30">
        <f t="shared" si="0"/>
        <v>5</v>
      </c>
      <c r="J21" s="117">
        <v>0.5</v>
      </c>
      <c r="K21" s="31"/>
      <c r="L21" s="7"/>
      <c r="M21" s="32"/>
      <c r="N21" s="118"/>
      <c r="O21" s="6"/>
      <c r="P21" s="6"/>
      <c r="Q21" s="6"/>
      <c r="R21" s="6"/>
      <c r="S21" s="6"/>
      <c r="T21" s="8"/>
      <c r="U21" s="30">
        <f t="shared" si="1"/>
        <v>0</v>
      </c>
      <c r="V21" s="117">
        <v>0.5</v>
      </c>
    </row>
    <row r="22" spans="1:22" x14ac:dyDescent="0.25">
      <c r="A22" s="26" t="s">
        <v>227</v>
      </c>
      <c r="B22" s="27">
        <v>45919</v>
      </c>
      <c r="C22" s="26">
        <v>602321355</v>
      </c>
      <c r="D22" s="28" t="s">
        <v>24</v>
      </c>
      <c r="E22" s="140" t="s">
        <v>107</v>
      </c>
      <c r="F22" s="16">
        <v>13881.04</v>
      </c>
      <c r="G22" s="16">
        <v>12393.77</v>
      </c>
      <c r="H22" s="141">
        <f t="shared" si="4"/>
        <v>1239.3770000000002</v>
      </c>
      <c r="I22" s="30">
        <f t="shared" si="0"/>
        <v>619.68850000000009</v>
      </c>
      <c r="J22" s="117">
        <v>0.5</v>
      </c>
      <c r="K22" s="31"/>
      <c r="L22" s="7"/>
      <c r="M22" s="32"/>
      <c r="N22" s="118"/>
      <c r="O22" s="6"/>
      <c r="P22" s="6"/>
      <c r="Q22" s="6"/>
      <c r="R22" s="6"/>
      <c r="S22" s="6"/>
      <c r="T22" s="8"/>
      <c r="U22" s="30">
        <f t="shared" si="1"/>
        <v>0</v>
      </c>
      <c r="V22" s="117">
        <v>0.5</v>
      </c>
    </row>
    <row r="23" spans="1:22" x14ac:dyDescent="0.25">
      <c r="A23" s="26" t="s">
        <v>227</v>
      </c>
      <c r="B23" s="27">
        <v>45919</v>
      </c>
      <c r="C23" s="26">
        <v>601507859</v>
      </c>
      <c r="D23" s="28" t="s">
        <v>29</v>
      </c>
      <c r="E23" s="28" t="s">
        <v>25</v>
      </c>
      <c r="F23" s="16">
        <v>15401.23</v>
      </c>
      <c r="G23" s="16">
        <v>14667.82</v>
      </c>
      <c r="H23" s="222">
        <v>2200.17</v>
      </c>
      <c r="I23" s="30">
        <f t="shared" si="0"/>
        <v>1100.085</v>
      </c>
      <c r="J23" s="117">
        <v>0.5</v>
      </c>
      <c r="K23" s="44"/>
      <c r="L23" s="7"/>
      <c r="M23" s="7"/>
      <c r="N23" s="118"/>
      <c r="O23" s="6"/>
      <c r="P23" s="6"/>
      <c r="Q23" s="6"/>
      <c r="R23" s="6"/>
      <c r="S23" s="6"/>
      <c r="T23" s="8"/>
      <c r="U23" s="30">
        <f t="shared" si="1"/>
        <v>0</v>
      </c>
      <c r="V23" s="117">
        <v>0.5</v>
      </c>
    </row>
    <row r="24" spans="1:22" x14ac:dyDescent="0.25">
      <c r="A24" s="26" t="s">
        <v>228</v>
      </c>
      <c r="B24" s="27">
        <v>45913</v>
      </c>
      <c r="C24" s="26">
        <v>602372166</v>
      </c>
      <c r="D24" s="28" t="s">
        <v>24</v>
      </c>
      <c r="E24" s="28" t="s">
        <v>25</v>
      </c>
      <c r="F24" s="16">
        <v>18561.349999999999</v>
      </c>
      <c r="G24" s="16">
        <v>16793.599999999999</v>
      </c>
      <c r="H24" s="223">
        <f>G24*10%</f>
        <v>1679.36</v>
      </c>
      <c r="I24" s="30">
        <f t="shared" si="0"/>
        <v>839.68</v>
      </c>
      <c r="J24" s="117">
        <v>0.5</v>
      </c>
      <c r="K24" s="31"/>
      <c r="L24" s="7"/>
      <c r="M24" s="7"/>
      <c r="N24" s="118"/>
      <c r="O24" s="6"/>
      <c r="P24" s="6"/>
      <c r="Q24" s="6"/>
      <c r="R24" s="6"/>
      <c r="S24" s="6"/>
      <c r="T24" s="8"/>
      <c r="U24" s="30">
        <f t="shared" si="1"/>
        <v>0</v>
      </c>
      <c r="V24" s="117">
        <v>0.5</v>
      </c>
    </row>
    <row r="25" spans="1:22" x14ac:dyDescent="0.25">
      <c r="A25" s="26" t="s">
        <v>228</v>
      </c>
      <c r="B25" s="27">
        <v>45913</v>
      </c>
      <c r="C25" s="26">
        <v>602372166</v>
      </c>
      <c r="D25" s="28" t="s">
        <v>144</v>
      </c>
      <c r="E25" s="28" t="s">
        <v>25</v>
      </c>
      <c r="F25" s="16">
        <v>100</v>
      </c>
      <c r="G25" s="16">
        <v>100</v>
      </c>
      <c r="H25" s="223">
        <f t="shared" ref="H25:H31" si="5">G25*10%</f>
        <v>10</v>
      </c>
      <c r="I25" s="30">
        <f t="shared" si="0"/>
        <v>5</v>
      </c>
      <c r="J25" s="117">
        <v>0.5</v>
      </c>
      <c r="K25" s="31"/>
      <c r="L25" s="7"/>
      <c r="M25" s="7"/>
      <c r="N25" s="118"/>
      <c r="O25" s="6"/>
      <c r="P25" s="6"/>
      <c r="Q25" s="6"/>
      <c r="R25" s="6"/>
      <c r="S25" s="6"/>
      <c r="T25" s="8"/>
      <c r="U25" s="30">
        <f t="shared" si="1"/>
        <v>0</v>
      </c>
      <c r="V25" s="117">
        <v>0.5</v>
      </c>
    </row>
    <row r="26" spans="1:22" x14ac:dyDescent="0.25">
      <c r="A26" s="26" t="s">
        <v>232</v>
      </c>
      <c r="B26" s="27">
        <v>45913</v>
      </c>
      <c r="C26" s="26">
        <v>601208827</v>
      </c>
      <c r="D26" s="28" t="s">
        <v>24</v>
      </c>
      <c r="E26" s="28" t="s">
        <v>25</v>
      </c>
      <c r="F26" s="16">
        <v>10536.58</v>
      </c>
      <c r="G26" s="144">
        <v>9552.4</v>
      </c>
      <c r="H26" s="223">
        <f t="shared" si="5"/>
        <v>955.24</v>
      </c>
      <c r="I26" s="30">
        <f t="shared" si="0"/>
        <v>477.62</v>
      </c>
      <c r="J26" s="117">
        <v>0.5</v>
      </c>
      <c r="K26" s="31"/>
      <c r="L26" s="7"/>
      <c r="M26" s="7"/>
      <c r="N26" s="118"/>
      <c r="O26" s="6"/>
      <c r="P26" s="6"/>
      <c r="Q26" s="6"/>
      <c r="R26" s="6"/>
      <c r="S26" s="6"/>
      <c r="T26" s="8"/>
      <c r="U26" s="30">
        <f t="shared" si="1"/>
        <v>0</v>
      </c>
      <c r="V26" s="117">
        <v>0.5</v>
      </c>
    </row>
    <row r="27" spans="1:22" x14ac:dyDescent="0.25">
      <c r="A27" s="26" t="s">
        <v>232</v>
      </c>
      <c r="B27" s="27">
        <v>45913</v>
      </c>
      <c r="C27" s="26">
        <v>601208827</v>
      </c>
      <c r="D27" s="28" t="s">
        <v>144</v>
      </c>
      <c r="E27" s="28" t="s">
        <v>25</v>
      </c>
      <c r="F27" s="146">
        <v>100</v>
      </c>
      <c r="G27" s="147">
        <v>100</v>
      </c>
      <c r="H27" s="223">
        <f t="shared" si="5"/>
        <v>10</v>
      </c>
      <c r="I27" s="30">
        <f t="shared" si="0"/>
        <v>5</v>
      </c>
      <c r="J27" s="117">
        <v>0.5</v>
      </c>
      <c r="K27" s="31"/>
      <c r="L27" s="7"/>
      <c r="M27" s="7"/>
      <c r="N27" s="118"/>
      <c r="O27" s="6"/>
      <c r="P27" s="6"/>
      <c r="Q27" s="6"/>
      <c r="R27" s="6"/>
      <c r="S27" s="6"/>
      <c r="T27" s="8"/>
      <c r="U27" s="30">
        <f t="shared" si="1"/>
        <v>0</v>
      </c>
      <c r="V27" s="117">
        <v>0.5</v>
      </c>
    </row>
    <row r="28" spans="1:22" x14ac:dyDescent="0.25">
      <c r="A28" s="26" t="s">
        <v>233</v>
      </c>
      <c r="B28" s="27">
        <v>45915</v>
      </c>
      <c r="C28" s="26">
        <v>603213488</v>
      </c>
      <c r="D28" s="28" t="s">
        <v>234</v>
      </c>
      <c r="E28" s="28" t="s">
        <v>25</v>
      </c>
      <c r="F28" s="146">
        <v>65.819999999999993</v>
      </c>
      <c r="G28" s="147">
        <v>62.7</v>
      </c>
      <c r="H28" s="223">
        <f t="shared" si="5"/>
        <v>6.2700000000000005</v>
      </c>
      <c r="I28" s="30">
        <f t="shared" si="0"/>
        <v>3.1350000000000002</v>
      </c>
      <c r="J28" s="117">
        <v>0.5</v>
      </c>
      <c r="K28" s="31"/>
      <c r="L28" s="7"/>
      <c r="M28" s="7"/>
      <c r="N28" s="118"/>
      <c r="O28" s="6"/>
      <c r="P28" s="6"/>
      <c r="Q28" s="6"/>
      <c r="R28" s="6"/>
      <c r="S28" s="6"/>
      <c r="T28" s="8"/>
      <c r="U28" s="30">
        <f t="shared" si="1"/>
        <v>0</v>
      </c>
      <c r="V28" s="117">
        <v>0.5</v>
      </c>
    </row>
    <row r="29" spans="1:22" x14ac:dyDescent="0.25">
      <c r="A29" s="26" t="s">
        <v>235</v>
      </c>
      <c r="B29" s="27">
        <v>45920</v>
      </c>
      <c r="C29" s="26">
        <v>603939294</v>
      </c>
      <c r="D29" s="28" t="s">
        <v>24</v>
      </c>
      <c r="E29" s="28" t="s">
        <v>25</v>
      </c>
      <c r="F29" s="146">
        <v>14326.37</v>
      </c>
      <c r="G29" s="221">
        <v>12961.94</v>
      </c>
      <c r="H29" s="223">
        <f t="shared" si="5"/>
        <v>1296.1940000000002</v>
      </c>
      <c r="I29" s="30">
        <f t="shared" si="0"/>
        <v>648.09700000000009</v>
      </c>
      <c r="J29" s="117">
        <v>0.5</v>
      </c>
      <c r="K29" s="31"/>
      <c r="L29" s="7"/>
      <c r="M29" s="7"/>
      <c r="N29" s="118"/>
      <c r="O29" s="6"/>
      <c r="P29" s="6"/>
      <c r="Q29" s="6"/>
      <c r="R29" s="6"/>
      <c r="S29" s="6"/>
      <c r="T29" s="8"/>
      <c r="U29" s="30">
        <f t="shared" si="1"/>
        <v>0</v>
      </c>
      <c r="V29" s="117">
        <v>0.5</v>
      </c>
    </row>
    <row r="30" spans="1:22" x14ac:dyDescent="0.25">
      <c r="A30" s="26" t="s">
        <v>235</v>
      </c>
      <c r="B30" s="27">
        <v>45920</v>
      </c>
      <c r="C30" s="26">
        <v>603939294</v>
      </c>
      <c r="D30" s="28" t="s">
        <v>144</v>
      </c>
      <c r="E30" s="28" t="s">
        <v>25</v>
      </c>
      <c r="F30" s="146">
        <v>100</v>
      </c>
      <c r="G30" s="221">
        <v>100</v>
      </c>
      <c r="H30" s="223">
        <f t="shared" si="5"/>
        <v>10</v>
      </c>
      <c r="I30" s="30">
        <f t="shared" ref="I30:I32" si="6">H30*J30</f>
        <v>5</v>
      </c>
      <c r="J30" s="117">
        <v>0.5</v>
      </c>
      <c r="K30" s="31"/>
      <c r="L30" s="7"/>
      <c r="M30" s="7"/>
      <c r="N30" s="118"/>
      <c r="O30" s="6"/>
      <c r="P30" s="6"/>
      <c r="Q30" s="6"/>
      <c r="R30" s="6"/>
      <c r="S30" s="6"/>
      <c r="T30" s="8"/>
      <c r="U30" s="30"/>
      <c r="V30" s="117"/>
    </row>
    <row r="31" spans="1:22" x14ac:dyDescent="0.25">
      <c r="A31" s="26" t="s">
        <v>236</v>
      </c>
      <c r="B31" s="27">
        <v>45921</v>
      </c>
      <c r="C31" s="26">
        <v>602497381</v>
      </c>
      <c r="D31" s="28" t="s">
        <v>24</v>
      </c>
      <c r="E31" s="28" t="s">
        <v>25</v>
      </c>
      <c r="F31" s="146">
        <v>13753.34</v>
      </c>
      <c r="G31" s="221">
        <v>12416.18</v>
      </c>
      <c r="H31" s="223">
        <f t="shared" si="5"/>
        <v>1241.6180000000002</v>
      </c>
      <c r="I31" s="30">
        <f t="shared" si="6"/>
        <v>620.80900000000008</v>
      </c>
      <c r="J31" s="117">
        <v>0.5</v>
      </c>
      <c r="K31" s="31"/>
      <c r="L31" s="7"/>
      <c r="M31" s="7"/>
      <c r="N31" s="118"/>
      <c r="O31" s="6"/>
      <c r="P31" s="6"/>
      <c r="Q31" s="6"/>
      <c r="R31" s="6"/>
      <c r="S31" s="6"/>
      <c r="T31" s="8"/>
      <c r="U31" s="30"/>
      <c r="V31" s="117"/>
    </row>
    <row r="32" spans="1:22" x14ac:dyDescent="0.25">
      <c r="A32" s="26" t="s">
        <v>236</v>
      </c>
      <c r="B32" s="27">
        <v>45921</v>
      </c>
      <c r="C32" s="26">
        <v>602497381</v>
      </c>
      <c r="D32" s="28" t="s">
        <v>144</v>
      </c>
      <c r="E32" s="28" t="s">
        <v>25</v>
      </c>
      <c r="F32" s="146">
        <v>100</v>
      </c>
      <c r="G32" s="146">
        <v>100</v>
      </c>
      <c r="H32" s="223">
        <f>G32*10%</f>
        <v>10</v>
      </c>
      <c r="I32" s="30">
        <f t="shared" si="6"/>
        <v>5</v>
      </c>
      <c r="J32" s="117">
        <v>0.5</v>
      </c>
      <c r="K32" s="31"/>
      <c r="L32" s="7"/>
      <c r="M32" s="7"/>
      <c r="N32" s="118"/>
      <c r="O32" s="6"/>
      <c r="P32" s="6"/>
      <c r="Q32" s="6"/>
      <c r="R32" s="6"/>
      <c r="S32" s="6"/>
      <c r="T32" s="8"/>
      <c r="U32" s="30">
        <f t="shared" si="1"/>
        <v>0</v>
      </c>
      <c r="V32" s="117">
        <v>0.5</v>
      </c>
    </row>
    <row r="33" spans="1:22" x14ac:dyDescent="0.25">
      <c r="A33" s="26" t="s">
        <v>135</v>
      </c>
      <c r="B33" s="27">
        <v>45918</v>
      </c>
      <c r="C33" s="26">
        <v>604426959</v>
      </c>
      <c r="D33" s="28" t="s">
        <v>32</v>
      </c>
      <c r="E33" s="28" t="s">
        <v>25</v>
      </c>
      <c r="F33" s="146">
        <v>915.66</v>
      </c>
      <c r="G33" s="146">
        <v>872.06</v>
      </c>
      <c r="H33" s="151">
        <f t="shared" ref="H33:H34" si="7">G33*15%</f>
        <v>130.809</v>
      </c>
      <c r="I33" s="30">
        <f t="shared" ref="I33:I39" si="8">H33*J33</f>
        <v>65.404499999999999</v>
      </c>
      <c r="J33" s="117">
        <v>0.5</v>
      </c>
      <c r="K33" s="31"/>
      <c r="L33" s="7"/>
      <c r="M33" s="7"/>
      <c r="N33" s="118"/>
      <c r="O33" s="6"/>
      <c r="P33" s="6"/>
      <c r="Q33" s="6"/>
      <c r="R33" s="6"/>
      <c r="S33" s="6"/>
      <c r="T33" s="8"/>
      <c r="U33" s="30"/>
      <c r="V33" s="117"/>
    </row>
    <row r="34" spans="1:22" x14ac:dyDescent="0.25">
      <c r="A34" s="26" t="s">
        <v>237</v>
      </c>
      <c r="B34" s="27">
        <v>45917</v>
      </c>
      <c r="C34" s="26">
        <v>604211376</v>
      </c>
      <c r="D34" s="16" t="s">
        <v>29</v>
      </c>
      <c r="E34" s="28" t="s">
        <v>25</v>
      </c>
      <c r="F34" s="146">
        <v>16274.25</v>
      </c>
      <c r="G34" s="146">
        <v>15499.28</v>
      </c>
      <c r="H34" s="151">
        <f t="shared" si="7"/>
        <v>2324.8919999999998</v>
      </c>
      <c r="I34" s="30">
        <f t="shared" si="8"/>
        <v>1162.4459999999999</v>
      </c>
      <c r="J34" s="117">
        <v>0.5</v>
      </c>
      <c r="K34" s="31"/>
      <c r="L34" s="7"/>
      <c r="M34" s="7"/>
      <c r="N34" s="118"/>
      <c r="O34" s="6"/>
      <c r="P34" s="6"/>
      <c r="Q34" s="6"/>
      <c r="R34" s="6"/>
      <c r="S34" s="6"/>
      <c r="T34" s="8"/>
      <c r="U34" s="30"/>
      <c r="V34" s="117"/>
    </row>
    <row r="35" spans="1:22" x14ac:dyDescent="0.25">
      <c r="A35" s="26" t="s">
        <v>238</v>
      </c>
      <c r="B35" s="27">
        <v>45917</v>
      </c>
      <c r="C35" s="26">
        <v>604200195</v>
      </c>
      <c r="D35" s="16" t="s">
        <v>24</v>
      </c>
      <c r="E35" s="28" t="s">
        <v>25</v>
      </c>
      <c r="F35" s="146">
        <v>18265.150000000001</v>
      </c>
      <c r="G35" s="146">
        <v>16525.62</v>
      </c>
      <c r="H35" s="151">
        <f>G35*10%</f>
        <v>1652.5619999999999</v>
      </c>
      <c r="I35" s="30">
        <f t="shared" si="8"/>
        <v>826.28099999999995</v>
      </c>
      <c r="J35" s="117">
        <v>0.5</v>
      </c>
      <c r="K35" s="31"/>
      <c r="L35" s="7"/>
      <c r="M35" s="7"/>
      <c r="N35" s="118"/>
      <c r="O35" s="6"/>
      <c r="P35" s="6"/>
      <c r="Q35" s="6"/>
      <c r="R35" s="6"/>
      <c r="S35" s="6"/>
      <c r="T35" s="8"/>
      <c r="U35" s="30"/>
      <c r="V35" s="117"/>
    </row>
    <row r="36" spans="1:22" x14ac:dyDescent="0.25">
      <c r="A36" s="26" t="s">
        <v>238</v>
      </c>
      <c r="B36" s="27">
        <v>45917</v>
      </c>
      <c r="C36" s="26">
        <v>604200195</v>
      </c>
      <c r="D36" s="16" t="s">
        <v>144</v>
      </c>
      <c r="E36" s="28" t="s">
        <v>25</v>
      </c>
      <c r="F36" s="146">
        <v>100</v>
      </c>
      <c r="G36" s="146">
        <v>100</v>
      </c>
      <c r="H36" s="151">
        <f t="shared" ref="H36:H44" si="9">G36*10%</f>
        <v>10</v>
      </c>
      <c r="I36" s="30">
        <f t="shared" si="8"/>
        <v>5</v>
      </c>
      <c r="J36" s="117">
        <v>0.5</v>
      </c>
      <c r="K36" s="31"/>
      <c r="L36" s="7"/>
      <c r="M36" s="7"/>
      <c r="N36" s="118"/>
      <c r="O36" s="6"/>
      <c r="P36" s="6"/>
      <c r="Q36" s="6"/>
      <c r="R36" s="6"/>
      <c r="S36" s="6"/>
      <c r="T36" s="8"/>
      <c r="U36" s="30"/>
      <c r="V36" s="117"/>
    </row>
    <row r="37" spans="1:22" x14ac:dyDescent="0.25">
      <c r="A37" s="26" t="s">
        <v>241</v>
      </c>
      <c r="B37" s="27">
        <v>45919</v>
      </c>
      <c r="C37" s="26">
        <v>604050776</v>
      </c>
      <c r="D37" s="16" t="s">
        <v>24</v>
      </c>
      <c r="E37" s="28" t="s">
        <v>25</v>
      </c>
      <c r="F37" s="146">
        <v>11596.06</v>
      </c>
      <c r="G37" s="146">
        <v>10512.91</v>
      </c>
      <c r="H37" s="151">
        <f t="shared" si="9"/>
        <v>1051.2909999999999</v>
      </c>
      <c r="I37" s="30">
        <f t="shared" si="8"/>
        <v>525.64549999999997</v>
      </c>
      <c r="J37" s="117">
        <v>0.5</v>
      </c>
      <c r="K37" s="31"/>
      <c r="L37" s="7"/>
      <c r="M37" s="7"/>
      <c r="N37" s="118"/>
      <c r="O37" s="6"/>
      <c r="P37" s="6"/>
      <c r="Q37" s="6"/>
      <c r="R37" s="6"/>
      <c r="S37" s="6"/>
      <c r="T37" s="8"/>
      <c r="U37" s="30"/>
      <c r="V37" s="117"/>
    </row>
    <row r="38" spans="1:22" x14ac:dyDescent="0.25">
      <c r="A38" s="26" t="s">
        <v>241</v>
      </c>
      <c r="B38" s="27">
        <v>45919</v>
      </c>
      <c r="C38" s="26">
        <v>604050776</v>
      </c>
      <c r="D38" s="16" t="s">
        <v>144</v>
      </c>
      <c r="E38" s="28" t="s">
        <v>25</v>
      </c>
      <c r="F38" s="146">
        <v>100</v>
      </c>
      <c r="G38" s="146">
        <v>100</v>
      </c>
      <c r="H38" s="151">
        <f t="shared" si="9"/>
        <v>10</v>
      </c>
      <c r="I38" s="30">
        <f t="shared" si="8"/>
        <v>5</v>
      </c>
      <c r="J38" s="117">
        <v>0.5</v>
      </c>
      <c r="K38" s="31"/>
      <c r="L38" s="7"/>
      <c r="M38" s="7"/>
      <c r="N38" s="118"/>
      <c r="O38" s="6"/>
      <c r="P38" s="6"/>
      <c r="Q38" s="6"/>
      <c r="R38" s="6"/>
      <c r="S38" s="6"/>
      <c r="T38" s="8"/>
      <c r="U38" s="30"/>
      <c r="V38" s="117"/>
    </row>
    <row r="39" spans="1:22" x14ac:dyDescent="0.25">
      <c r="A39" s="26" t="s">
        <v>135</v>
      </c>
      <c r="B39" s="27">
        <v>45919</v>
      </c>
      <c r="C39" s="26">
        <v>604760946</v>
      </c>
      <c r="D39" s="16" t="s">
        <v>32</v>
      </c>
      <c r="E39" s="28" t="s">
        <v>25</v>
      </c>
      <c r="F39" s="146">
        <v>3834.45</v>
      </c>
      <c r="G39" s="146">
        <v>3651.86</v>
      </c>
      <c r="H39" s="151">
        <v>547.78</v>
      </c>
      <c r="I39" s="30">
        <f t="shared" si="8"/>
        <v>273.89</v>
      </c>
      <c r="J39" s="117">
        <v>0.5</v>
      </c>
      <c r="K39" s="31"/>
      <c r="L39" s="7"/>
      <c r="M39" s="7"/>
      <c r="N39" s="118"/>
      <c r="O39" s="6"/>
      <c r="P39" s="6"/>
      <c r="Q39" s="6"/>
      <c r="R39" s="6"/>
      <c r="S39" s="6"/>
      <c r="T39" s="8"/>
      <c r="U39" s="30"/>
      <c r="V39" s="117"/>
    </row>
    <row r="40" spans="1:22" x14ac:dyDescent="0.25">
      <c r="A40" s="26" t="s">
        <v>242</v>
      </c>
      <c r="B40" s="27">
        <v>45921</v>
      </c>
      <c r="C40" s="26">
        <v>604697783</v>
      </c>
      <c r="D40" s="16" t="s">
        <v>24</v>
      </c>
      <c r="E40" s="28" t="s">
        <v>25</v>
      </c>
      <c r="F40" s="146">
        <v>17879.05</v>
      </c>
      <c r="G40" s="146">
        <v>16209</v>
      </c>
      <c r="H40" s="151">
        <f t="shared" si="9"/>
        <v>1620.9</v>
      </c>
      <c r="I40" s="30">
        <f t="shared" ref="I40:I42" si="10">H40*J40</f>
        <v>810.45</v>
      </c>
      <c r="J40" s="117">
        <v>0.5</v>
      </c>
      <c r="K40" s="31"/>
      <c r="L40" s="7"/>
      <c r="M40" s="7"/>
      <c r="N40" s="118"/>
      <c r="O40" s="6"/>
      <c r="P40" s="6"/>
      <c r="Q40" s="6"/>
      <c r="R40" s="6"/>
      <c r="S40" s="6"/>
      <c r="T40" s="8"/>
      <c r="U40" s="30"/>
      <c r="V40" s="117"/>
    </row>
    <row r="41" spans="1:22" x14ac:dyDescent="0.25">
      <c r="A41" s="26" t="s">
        <v>243</v>
      </c>
      <c r="B41" s="27">
        <v>45924</v>
      </c>
      <c r="C41" s="26">
        <v>605906281</v>
      </c>
      <c r="D41" s="16" t="s">
        <v>24</v>
      </c>
      <c r="E41" s="28" t="s">
        <v>25</v>
      </c>
      <c r="F41" s="146">
        <v>16540.900000000001</v>
      </c>
      <c r="G41" s="146">
        <v>14932.76</v>
      </c>
      <c r="H41" s="151">
        <f t="shared" si="9"/>
        <v>1493.2760000000001</v>
      </c>
      <c r="I41" s="30">
        <f t="shared" si="10"/>
        <v>746.63800000000003</v>
      </c>
      <c r="J41" s="117">
        <v>0.5</v>
      </c>
      <c r="K41" s="31"/>
      <c r="L41" s="7"/>
      <c r="M41" s="7"/>
      <c r="N41" s="118"/>
      <c r="O41" s="6"/>
      <c r="P41" s="6"/>
      <c r="Q41" s="6"/>
      <c r="R41" s="6"/>
      <c r="S41" s="6"/>
      <c r="T41" s="8"/>
      <c r="U41" s="30"/>
      <c r="V41" s="117"/>
    </row>
    <row r="42" spans="1:22" x14ac:dyDescent="0.25">
      <c r="A42" s="26" t="s">
        <v>243</v>
      </c>
      <c r="B42" s="27">
        <v>45924</v>
      </c>
      <c r="C42" s="26">
        <v>605906281</v>
      </c>
      <c r="D42" s="16" t="s">
        <v>144</v>
      </c>
      <c r="E42" s="28" t="s">
        <v>25</v>
      </c>
      <c r="F42" s="146">
        <v>100</v>
      </c>
      <c r="G42" s="146">
        <v>100</v>
      </c>
      <c r="H42" s="151">
        <f t="shared" si="9"/>
        <v>10</v>
      </c>
      <c r="I42" s="30">
        <f t="shared" si="10"/>
        <v>5</v>
      </c>
      <c r="J42" s="117">
        <v>0.5</v>
      </c>
      <c r="K42" s="31"/>
      <c r="L42" s="7"/>
      <c r="M42" s="7"/>
      <c r="N42" s="118"/>
      <c r="O42" s="6"/>
      <c r="P42" s="6"/>
      <c r="Q42" s="6"/>
      <c r="R42" s="6"/>
      <c r="S42" s="6"/>
      <c r="T42" s="8"/>
      <c r="U42" s="30"/>
      <c r="V42" s="117"/>
    </row>
    <row r="43" spans="1:22" x14ac:dyDescent="0.25">
      <c r="A43" s="26" t="s">
        <v>244</v>
      </c>
      <c r="B43" s="27">
        <v>45924</v>
      </c>
      <c r="C43" s="26">
        <v>606051147</v>
      </c>
      <c r="D43" s="16" t="s">
        <v>24</v>
      </c>
      <c r="E43" s="28" t="s">
        <v>25</v>
      </c>
      <c r="F43" s="146">
        <v>16503.71</v>
      </c>
      <c r="G43" s="146">
        <v>14899.19</v>
      </c>
      <c r="H43" s="151">
        <f t="shared" si="9"/>
        <v>1489.9190000000001</v>
      </c>
      <c r="I43" s="30">
        <f t="shared" ref="I43:I44" si="11">H43*J43</f>
        <v>744.95950000000005</v>
      </c>
      <c r="J43" s="117">
        <v>0.5</v>
      </c>
      <c r="K43" s="31"/>
      <c r="L43" s="7"/>
      <c r="M43" s="7"/>
      <c r="N43" s="118"/>
      <c r="O43" s="6"/>
      <c r="P43" s="6"/>
      <c r="Q43" s="6"/>
      <c r="R43" s="6"/>
      <c r="S43" s="6"/>
      <c r="T43" s="8"/>
      <c r="U43" s="30"/>
      <c r="V43" s="117"/>
    </row>
    <row r="44" spans="1:22" x14ac:dyDescent="0.25">
      <c r="A44" s="26" t="s">
        <v>245</v>
      </c>
      <c r="B44" s="27">
        <v>45924</v>
      </c>
      <c r="C44" s="26">
        <v>606004585</v>
      </c>
      <c r="D44" s="16" t="s">
        <v>24</v>
      </c>
      <c r="E44" s="28" t="s">
        <v>25</v>
      </c>
      <c r="F44" s="146">
        <v>18265.14</v>
      </c>
      <c r="G44" s="146">
        <v>16525.61</v>
      </c>
      <c r="H44" s="151">
        <f t="shared" si="9"/>
        <v>1652.5610000000001</v>
      </c>
      <c r="I44" s="30">
        <f t="shared" si="11"/>
        <v>826.28050000000007</v>
      </c>
      <c r="J44" s="117">
        <v>0.5</v>
      </c>
      <c r="K44" s="31"/>
      <c r="L44" s="7"/>
      <c r="M44" s="7"/>
      <c r="N44" s="118"/>
      <c r="O44" s="6"/>
      <c r="P44" s="6"/>
      <c r="Q44" s="6"/>
      <c r="R44" s="6"/>
      <c r="S44" s="6"/>
      <c r="T44" s="8"/>
      <c r="U44" s="30"/>
      <c r="V44" s="117"/>
    </row>
    <row r="45" spans="1:22" x14ac:dyDescent="0.25">
      <c r="A45" s="26" t="s">
        <v>135</v>
      </c>
      <c r="B45" s="27">
        <v>45930</v>
      </c>
      <c r="C45" s="26">
        <v>607627380</v>
      </c>
      <c r="D45" s="16" t="s">
        <v>32</v>
      </c>
      <c r="E45" s="28" t="s">
        <v>25</v>
      </c>
      <c r="F45" s="146">
        <v>997.45</v>
      </c>
      <c r="G45" s="146">
        <v>949.95</v>
      </c>
      <c r="H45" s="151">
        <f>G45*15%</f>
        <v>142.49250000000001</v>
      </c>
      <c r="I45" s="30">
        <f t="shared" ref="I45:I48" si="12">H45*J45</f>
        <v>71.246250000000003</v>
      </c>
      <c r="J45" s="117">
        <v>0.5</v>
      </c>
      <c r="K45" s="31"/>
      <c r="L45" s="7"/>
      <c r="M45" s="7"/>
      <c r="N45" s="118"/>
      <c r="O45" s="6"/>
      <c r="P45" s="6"/>
      <c r="Q45" s="6"/>
      <c r="R45" s="6"/>
      <c r="S45" s="6"/>
      <c r="T45" s="8"/>
      <c r="U45" s="30"/>
      <c r="V45" s="117"/>
    </row>
    <row r="46" spans="1:22" x14ac:dyDescent="0.25">
      <c r="A46" s="26" t="s">
        <v>135</v>
      </c>
      <c r="B46" s="27">
        <v>45930</v>
      </c>
      <c r="C46" s="26">
        <v>607287304</v>
      </c>
      <c r="D46" s="16" t="s">
        <v>32</v>
      </c>
      <c r="E46" s="28" t="s">
        <v>25</v>
      </c>
      <c r="F46" s="146">
        <v>157.5</v>
      </c>
      <c r="G46" s="146">
        <v>150</v>
      </c>
      <c r="H46" s="151">
        <f>G46*15%</f>
        <v>22.5</v>
      </c>
      <c r="I46" s="30">
        <f t="shared" si="12"/>
        <v>11.25</v>
      </c>
      <c r="J46" s="117">
        <v>0.5</v>
      </c>
      <c r="K46" s="31"/>
      <c r="L46" s="7"/>
      <c r="M46" s="7"/>
      <c r="N46" s="118"/>
      <c r="O46" s="6"/>
      <c r="P46" s="6"/>
      <c r="Q46" s="6"/>
      <c r="R46" s="6"/>
      <c r="S46" s="6"/>
      <c r="T46" s="8"/>
      <c r="U46" s="30"/>
      <c r="V46" s="117"/>
    </row>
    <row r="47" spans="1:22" x14ac:dyDescent="0.25">
      <c r="A47" s="26" t="s">
        <v>246</v>
      </c>
      <c r="B47" s="27">
        <v>45930</v>
      </c>
      <c r="C47" s="26">
        <v>607462862</v>
      </c>
      <c r="D47" s="16" t="s">
        <v>24</v>
      </c>
      <c r="E47" s="28" t="s">
        <v>25</v>
      </c>
      <c r="F47" s="146">
        <v>12833.09</v>
      </c>
      <c r="G47" s="146">
        <v>11458.1</v>
      </c>
      <c r="H47" s="151">
        <v>1145.81</v>
      </c>
      <c r="I47" s="30">
        <f t="shared" si="12"/>
        <v>572.90499999999997</v>
      </c>
      <c r="J47" s="117">
        <v>0.5</v>
      </c>
      <c r="K47" s="31"/>
      <c r="L47" s="7"/>
      <c r="M47" s="7"/>
      <c r="N47" s="118"/>
      <c r="O47" s="6"/>
      <c r="P47" s="6"/>
      <c r="Q47" s="6"/>
      <c r="R47" s="6"/>
      <c r="S47" s="6"/>
      <c r="T47" s="8"/>
      <c r="U47" s="30"/>
      <c r="V47" s="117"/>
    </row>
    <row r="48" spans="1:22" x14ac:dyDescent="0.25">
      <c r="A48" s="26" t="s">
        <v>246</v>
      </c>
      <c r="B48" s="27">
        <v>45930</v>
      </c>
      <c r="C48" s="26">
        <v>607460249</v>
      </c>
      <c r="D48" s="16" t="s">
        <v>29</v>
      </c>
      <c r="E48" s="28" t="s">
        <v>25</v>
      </c>
      <c r="F48" s="146">
        <v>18703.14</v>
      </c>
      <c r="G48" s="146">
        <v>17812.509999999998</v>
      </c>
      <c r="H48" s="151">
        <v>2671.88</v>
      </c>
      <c r="I48" s="30">
        <f t="shared" si="12"/>
        <v>1335.94</v>
      </c>
      <c r="J48" s="117">
        <v>0.5</v>
      </c>
      <c r="K48" s="31"/>
      <c r="L48" s="7"/>
      <c r="M48" s="7"/>
      <c r="N48" s="118"/>
      <c r="O48" s="6"/>
      <c r="P48" s="6"/>
      <c r="Q48" s="6"/>
      <c r="R48" s="6"/>
      <c r="S48" s="6"/>
      <c r="T48" s="8"/>
      <c r="U48" s="30"/>
      <c r="V48" s="117"/>
    </row>
    <row r="49" spans="1:22" x14ac:dyDescent="0.25">
      <c r="A49" s="26" t="s">
        <v>247</v>
      </c>
      <c r="B49" s="27">
        <v>45930</v>
      </c>
      <c r="C49" s="26">
        <v>607366084</v>
      </c>
      <c r="D49" s="16" t="s">
        <v>24</v>
      </c>
      <c r="E49" s="28" t="s">
        <v>25</v>
      </c>
      <c r="F49" s="146">
        <v>21654.26</v>
      </c>
      <c r="G49" s="146">
        <v>19631.62</v>
      </c>
      <c r="H49" s="151">
        <v>1963.16</v>
      </c>
      <c r="I49" s="30">
        <f>H49*J49</f>
        <v>981.58</v>
      </c>
      <c r="J49" s="117">
        <v>0.5</v>
      </c>
      <c r="K49" s="31"/>
      <c r="L49" s="7"/>
      <c r="M49" s="7"/>
      <c r="N49" s="118"/>
      <c r="O49" s="6"/>
      <c r="P49" s="6"/>
      <c r="Q49" s="6"/>
      <c r="R49" s="6"/>
      <c r="S49" s="6"/>
      <c r="T49" s="8"/>
      <c r="U49" s="30"/>
      <c r="V49" s="117"/>
    </row>
    <row r="50" spans="1:22" x14ac:dyDescent="0.25">
      <c r="A50" s="26"/>
      <c r="B50" s="27"/>
      <c r="C50" s="26"/>
      <c r="D50" s="16"/>
      <c r="E50" s="28"/>
      <c r="F50" s="146"/>
      <c r="G50" s="146"/>
      <c r="H50" s="151"/>
      <c r="I50" s="30"/>
      <c r="J50" s="117"/>
      <c r="K50" s="31"/>
      <c r="L50" s="7"/>
      <c r="M50" s="7"/>
      <c r="N50" s="118"/>
      <c r="O50" s="6"/>
      <c r="P50" s="6"/>
      <c r="Q50" s="6"/>
      <c r="R50" s="6"/>
      <c r="S50" s="6"/>
      <c r="T50" s="8"/>
      <c r="U50" s="30"/>
      <c r="V50" s="117"/>
    </row>
    <row r="51" spans="1:22" x14ac:dyDescent="0.25">
      <c r="A51" s="7"/>
      <c r="B51" s="32"/>
      <c r="C51" s="7"/>
      <c r="D51" s="6"/>
      <c r="E51" s="16"/>
      <c r="F51" s="52"/>
      <c r="G51" s="16" t="s">
        <v>15</v>
      </c>
      <c r="H51" s="16"/>
      <c r="I51" s="22">
        <f>SUM(I6:I49)</f>
        <v>19163.429500000002</v>
      </c>
      <c r="J51" s="22"/>
      <c r="K51" s="31"/>
      <c r="L51" s="7"/>
      <c r="M51" s="7"/>
      <c r="N51" s="118"/>
      <c r="O51" s="6"/>
      <c r="P51" s="6"/>
      <c r="Q51" s="6"/>
      <c r="R51" s="6"/>
      <c r="S51" s="6" t="s">
        <v>15</v>
      </c>
      <c r="T51" s="8"/>
      <c r="U51" s="116">
        <f>SUM(U6:U48)</f>
        <v>3225.5145000000002</v>
      </c>
      <c r="V51" s="171"/>
    </row>
    <row r="52" spans="1:22" x14ac:dyDescent="0.25">
      <c r="A52" s="7"/>
      <c r="B52" s="32"/>
      <c r="C52" s="7"/>
      <c r="D52" s="6"/>
      <c r="E52" s="6"/>
      <c r="F52" s="6"/>
      <c r="G52" s="6"/>
      <c r="H52" s="6"/>
      <c r="I52" s="6"/>
      <c r="J52" s="6"/>
      <c r="K52" s="31"/>
      <c r="L52" s="227"/>
      <c r="M52" s="228"/>
      <c r="N52" s="229"/>
      <c r="O52" s="6"/>
      <c r="P52" s="6"/>
      <c r="Q52" s="6"/>
      <c r="R52" s="6"/>
      <c r="S52" s="43"/>
      <c r="T52" s="51"/>
      <c r="U52" s="8"/>
      <c r="V52" s="75"/>
    </row>
    <row r="53" spans="1:22" x14ac:dyDescent="0.25">
      <c r="A53" s="7"/>
      <c r="B53" s="32"/>
      <c r="C53" s="7"/>
      <c r="D53" s="6"/>
      <c r="E53" s="6"/>
      <c r="F53" s="6"/>
      <c r="G53" s="6"/>
      <c r="H53" s="6"/>
      <c r="I53" s="6"/>
      <c r="J53" s="6"/>
      <c r="K53" s="31"/>
      <c r="L53" s="7"/>
      <c r="M53" s="7"/>
      <c r="N53" s="118"/>
      <c r="O53" s="6"/>
      <c r="P53" s="6"/>
      <c r="Q53" s="6"/>
      <c r="R53" s="6"/>
      <c r="S53" s="43"/>
      <c r="T53" s="51"/>
      <c r="U53" s="8"/>
      <c r="V53" s="75"/>
    </row>
    <row r="54" spans="1:22" x14ac:dyDescent="0.25">
      <c r="A54" s="53" t="s">
        <v>145</v>
      </c>
      <c r="B54" s="54"/>
      <c r="C54" s="55"/>
      <c r="D54" s="55">
        <f>I5</f>
        <v>9106.11</v>
      </c>
      <c r="E54" s="16"/>
      <c r="F54" s="16"/>
      <c r="G54" s="16"/>
      <c r="H54" s="16"/>
      <c r="I54" s="16"/>
      <c r="J54" s="16"/>
      <c r="K54" s="12"/>
      <c r="L54" s="53" t="s">
        <v>146</v>
      </c>
      <c r="M54" s="54"/>
      <c r="N54" s="182"/>
      <c r="O54" s="21">
        <f>U5</f>
        <v>0</v>
      </c>
      <c r="P54" s="6"/>
      <c r="Q54" s="6"/>
      <c r="R54" s="6"/>
      <c r="S54" s="43"/>
      <c r="T54" s="32"/>
      <c r="U54" s="8"/>
      <c r="V54" s="75"/>
    </row>
    <row r="55" spans="1:22" x14ac:dyDescent="0.25">
      <c r="A55" s="56" t="s">
        <v>17</v>
      </c>
      <c r="B55" s="57"/>
      <c r="C55" s="58"/>
      <c r="D55" s="153">
        <f>I51</f>
        <v>19163.429500000002</v>
      </c>
      <c r="E55" s="16"/>
      <c r="F55" s="16"/>
      <c r="G55" s="16"/>
      <c r="H55" s="16"/>
      <c r="I55" s="16"/>
      <c r="J55" s="16"/>
      <c r="K55" s="12"/>
      <c r="L55" s="56" t="s">
        <v>18</v>
      </c>
      <c r="M55" s="57"/>
      <c r="N55" s="183"/>
      <c r="O55" s="80">
        <f>U51</f>
        <v>3225.5145000000002</v>
      </c>
      <c r="P55" s="6"/>
      <c r="Q55" s="6"/>
      <c r="R55" s="6"/>
      <c r="S55" s="6"/>
      <c r="T55" s="8"/>
      <c r="U55" s="9"/>
      <c r="V55" s="75"/>
    </row>
    <row r="56" spans="1:22" x14ac:dyDescent="0.25">
      <c r="A56" s="60" t="s">
        <v>19</v>
      </c>
      <c r="B56" s="60"/>
      <c r="C56" s="61"/>
      <c r="D56" s="154"/>
      <c r="E56" s="6"/>
      <c r="F56" s="6"/>
      <c r="G56" s="6"/>
      <c r="H56" s="6"/>
      <c r="I56" s="6"/>
      <c r="J56" s="6"/>
      <c r="K56" s="31"/>
      <c r="L56" s="60" t="s">
        <v>20</v>
      </c>
      <c r="M56" s="62"/>
      <c r="N56" s="184"/>
      <c r="O56" s="80"/>
      <c r="P56" s="6"/>
      <c r="Q56" s="6"/>
      <c r="R56" s="6"/>
      <c r="S56" s="6"/>
      <c r="T56" s="8"/>
      <c r="U56" s="9"/>
      <c r="V56" s="75"/>
    </row>
    <row r="57" spans="1:22" x14ac:dyDescent="0.25">
      <c r="A57" s="60"/>
      <c r="B57" s="60"/>
      <c r="C57" s="61"/>
      <c r="D57" s="154"/>
      <c r="E57" s="6"/>
      <c r="F57" s="6"/>
      <c r="G57" s="6"/>
      <c r="H57" s="6"/>
      <c r="I57" s="6"/>
      <c r="J57" s="6"/>
      <c r="K57" s="31"/>
      <c r="L57" s="60" t="s">
        <v>128</v>
      </c>
      <c r="M57" s="62"/>
      <c r="N57" s="184"/>
      <c r="O57" s="80">
        <f>F15+F22</f>
        <v>24839.78</v>
      </c>
      <c r="P57" s="6"/>
      <c r="Q57" s="6"/>
      <c r="R57" s="6"/>
      <c r="S57" s="6"/>
      <c r="T57" s="8"/>
      <c r="U57" s="9"/>
      <c r="V57" s="75"/>
    </row>
    <row r="58" spans="1:22" x14ac:dyDescent="0.25">
      <c r="A58" s="60"/>
      <c r="B58" s="63"/>
      <c r="C58" s="61"/>
      <c r="D58" s="155"/>
      <c r="E58" s="6"/>
      <c r="F58" s="6"/>
      <c r="G58" s="6"/>
      <c r="H58" s="6"/>
      <c r="I58" s="6"/>
      <c r="J58" s="6"/>
      <c r="K58" s="31"/>
      <c r="L58" s="60"/>
      <c r="M58" s="63"/>
      <c r="N58" s="184"/>
      <c r="O58" s="155"/>
      <c r="P58" s="6"/>
      <c r="Q58" s="6"/>
      <c r="R58" s="6"/>
      <c r="S58" s="6"/>
      <c r="T58" s="8"/>
      <c r="U58" s="9"/>
      <c r="V58" s="75"/>
    </row>
    <row r="59" spans="1:22" x14ac:dyDescent="0.25">
      <c r="A59" s="60"/>
      <c r="B59" s="64"/>
      <c r="C59" s="65"/>
      <c r="D59" s="154"/>
      <c r="E59" s="6"/>
      <c r="F59" s="6"/>
      <c r="G59" s="6"/>
      <c r="H59" s="6"/>
      <c r="I59" s="6"/>
      <c r="J59" s="6"/>
      <c r="K59" s="31"/>
      <c r="L59" s="60" t="s">
        <v>248</v>
      </c>
      <c r="M59" s="62"/>
      <c r="N59" s="184"/>
      <c r="O59" s="80">
        <v>331</v>
      </c>
      <c r="P59" s="6"/>
      <c r="Q59" s="7"/>
      <c r="R59" s="7"/>
      <c r="S59" s="7"/>
      <c r="T59" s="8"/>
      <c r="U59" s="9"/>
      <c r="V59" s="75"/>
    </row>
    <row r="60" spans="1:22" x14ac:dyDescent="0.25">
      <c r="A60" s="60"/>
      <c r="B60" s="66"/>
      <c r="C60" s="67"/>
      <c r="D60" s="84"/>
      <c r="E60" s="6"/>
      <c r="F60" s="6"/>
      <c r="G60" s="6"/>
      <c r="H60" s="6"/>
      <c r="I60" s="6"/>
      <c r="J60" s="6"/>
      <c r="K60" s="157"/>
      <c r="L60" s="60" t="s">
        <v>249</v>
      </c>
      <c r="M60" s="63"/>
      <c r="N60" s="184"/>
      <c r="O60" s="155">
        <v>277.5</v>
      </c>
      <c r="P60" s="6"/>
      <c r="Q60" s="7"/>
      <c r="R60" s="7"/>
      <c r="S60" s="7"/>
      <c r="T60" s="8"/>
      <c r="U60" s="9"/>
      <c r="V60" s="75"/>
    </row>
    <row r="61" spans="1:22" x14ac:dyDescent="0.25">
      <c r="A61" s="68"/>
      <c r="B61" s="66"/>
      <c r="C61" s="67"/>
      <c r="D61" s="86"/>
      <c r="E61" s="6"/>
      <c r="F61" s="6"/>
      <c r="G61" s="6"/>
      <c r="H61" s="6"/>
      <c r="I61" s="6"/>
      <c r="J61" s="6"/>
      <c r="K61" s="157"/>
      <c r="L61" s="60"/>
      <c r="M61" s="63"/>
      <c r="N61" s="184"/>
      <c r="O61" s="155"/>
      <c r="P61" s="6"/>
      <c r="Q61" s="7"/>
      <c r="R61" s="7"/>
      <c r="S61" s="7"/>
      <c r="T61" s="8"/>
      <c r="U61" s="9"/>
      <c r="V61" s="75"/>
    </row>
    <row r="62" spans="1:22" x14ac:dyDescent="0.25">
      <c r="A62" s="68"/>
      <c r="B62" s="64" t="s">
        <v>15</v>
      </c>
      <c r="C62" s="65"/>
      <c r="D62" s="86">
        <f>D54+D55</f>
        <v>28269.539500000003</v>
      </c>
      <c r="E62" s="6"/>
      <c r="F62" s="6"/>
      <c r="G62" s="166"/>
      <c r="H62" s="166"/>
      <c r="I62" s="166"/>
      <c r="J62" s="6"/>
      <c r="K62" s="31"/>
      <c r="L62" s="60"/>
      <c r="M62" s="64" t="s">
        <v>15</v>
      </c>
      <c r="N62" s="185"/>
      <c r="O62" s="71">
        <f>O55+O56+O57+O58+O59+O60</f>
        <v>28673.7945</v>
      </c>
      <c r="P62" s="6"/>
      <c r="Q62" s="7"/>
      <c r="R62" s="36"/>
      <c r="S62" s="36"/>
      <c r="T62" s="36"/>
      <c r="U62" s="9"/>
      <c r="V62" s="75"/>
    </row>
    <row r="63" spans="1:22" x14ac:dyDescent="0.25">
      <c r="A63" s="75"/>
      <c r="B63" s="75"/>
      <c r="C63" s="75"/>
      <c r="D63" s="75"/>
      <c r="E63" s="75"/>
      <c r="F63" s="75"/>
      <c r="G63" s="167" t="s">
        <v>62</v>
      </c>
      <c r="H63" s="168"/>
      <c r="I63" s="169">
        <f>O62-D62</f>
        <v>404.25499999999738</v>
      </c>
      <c r="J63" s="75"/>
      <c r="K63" s="31"/>
      <c r="L63" s="75"/>
      <c r="M63" s="75"/>
      <c r="N63" s="187"/>
      <c r="O63" s="75"/>
      <c r="P63" s="75"/>
      <c r="Q63" s="75"/>
      <c r="R63" s="224"/>
      <c r="S63" s="225"/>
      <c r="T63" s="226"/>
      <c r="U63" s="75"/>
      <c r="V63" s="75"/>
    </row>
    <row r="64" spans="1:22" x14ac:dyDescent="0.25">
      <c r="A64" s="75"/>
      <c r="B64" s="75"/>
      <c r="C64" s="75"/>
      <c r="D64" s="75"/>
      <c r="E64" s="75"/>
      <c r="F64" s="75"/>
      <c r="G64" s="168"/>
      <c r="H64" s="168"/>
      <c r="I64" s="168"/>
      <c r="J64" s="75"/>
      <c r="K64" s="31"/>
      <c r="L64" s="75"/>
      <c r="M64" s="75"/>
      <c r="N64" s="187"/>
      <c r="O64" s="75"/>
      <c r="P64" s="75"/>
      <c r="Q64" s="75"/>
      <c r="R64" s="225"/>
      <c r="S64" s="225"/>
      <c r="T64" s="225"/>
      <c r="U64" s="75"/>
      <c r="V64" s="75"/>
    </row>
    <row r="65" spans="1:22" x14ac:dyDescent="0.25">
      <c r="A65" s="75"/>
      <c r="B65" s="75"/>
      <c r="C65" s="75"/>
      <c r="D65" s="75"/>
      <c r="E65" s="75"/>
      <c r="F65" s="75"/>
      <c r="G65" s="168"/>
      <c r="H65" s="168"/>
      <c r="I65" s="168"/>
      <c r="J65" s="75"/>
      <c r="K65" s="31"/>
      <c r="L65" s="75"/>
      <c r="M65" s="75"/>
      <c r="N65" s="187"/>
      <c r="O65" s="75"/>
      <c r="P65" s="75"/>
      <c r="Q65" s="75"/>
      <c r="R65" s="225"/>
      <c r="S65" s="225"/>
      <c r="T65" s="225"/>
      <c r="U65" s="75"/>
      <c r="V65" s="75"/>
    </row>
  </sheetData>
  <conditionalFormatting sqref="C1:C5 D6:D50 D51:F53">
    <cfRule type="cellIs" dxfId="113" priority="28" operator="equal">
      <formula>15698.2</formula>
    </cfRule>
    <cfRule type="cellIs" dxfId="112" priority="29" operator="equal">
      <formula>"kapalı"</formula>
    </cfRule>
  </conditionalFormatting>
  <conditionalFormatting sqref="E6:E50 Q14:R61 A16">
    <cfRule type="cellIs" dxfId="111" priority="2" operator="equal">
      <formula>"K.KART"</formula>
    </cfRule>
  </conditionalFormatting>
  <conditionalFormatting sqref="F6:F50 E54:F54 D55:F57 E58:F58 D59:F62">
    <cfRule type="cellIs" dxfId="110" priority="21" operator="equal">
      <formula>15698.2</formula>
    </cfRule>
    <cfRule type="cellIs" dxfId="109" priority="22" operator="equal">
      <formula>"kapalı"</formula>
    </cfRule>
  </conditionalFormatting>
  <conditionalFormatting sqref="G6:G28 G32:G50 G51:H62 D58 Q62:S62">
    <cfRule type="cellIs" dxfId="108" priority="17" operator="equal">
      <formula>"K.KART"</formula>
    </cfRule>
  </conditionalFormatting>
  <conditionalFormatting sqref="N54">
    <cfRule type="cellIs" dxfId="107" priority="20" operator="equal">
      <formula>"K.KART"</formula>
    </cfRule>
  </conditionalFormatting>
  <conditionalFormatting sqref="N4:O4">
    <cfRule type="cellIs" dxfId="106" priority="23" operator="equal">
      <formula>15698.2</formula>
    </cfRule>
    <cfRule type="cellIs" dxfId="105" priority="24" operator="equal">
      <formula>"kapalı"</formula>
    </cfRule>
  </conditionalFormatting>
  <conditionalFormatting sqref="N1:P3 N5:P5 N27:P53 O54:P54 P55:P62">
    <cfRule type="cellIs" dxfId="104" priority="31" operator="equal">
      <formula>15698.2</formula>
    </cfRule>
  </conditionalFormatting>
  <conditionalFormatting sqref="N1:P3 N5:P5 N27:P53">
    <cfRule type="cellIs" dxfId="103" priority="26" operator="equal">
      <formula>"KAPALI"</formula>
    </cfRule>
    <cfRule type="cellIs" dxfId="102" priority="27" operator="equal">
      <formula>"açık"</formula>
    </cfRule>
  </conditionalFormatting>
  <conditionalFormatting sqref="N12:P12">
    <cfRule type="cellIs" dxfId="101" priority="9" operator="equal">
      <formula>"KAPALI"</formula>
    </cfRule>
    <cfRule type="cellIs" dxfId="100" priority="10" operator="equal">
      <formula>"açık"</formula>
    </cfRule>
  </conditionalFormatting>
  <conditionalFormatting sqref="O58">
    <cfRule type="cellIs" dxfId="99" priority="14" operator="equal">
      <formula>"K.KART"</formula>
    </cfRule>
  </conditionalFormatting>
  <conditionalFormatting sqref="O60:O61">
    <cfRule type="cellIs" dxfId="98" priority="1" operator="equal">
      <formula>"K.KART"</formula>
    </cfRule>
  </conditionalFormatting>
  <conditionalFormatting sqref="O6:P26 N12">
    <cfRule type="cellIs" dxfId="97" priority="8" operator="equal">
      <formula>15698.2</formula>
    </cfRule>
  </conditionalFormatting>
  <conditionalFormatting sqref="O6:P26">
    <cfRule type="cellIs" dxfId="96" priority="6" operator="equal">
      <formula>"kapalı"</formula>
    </cfRule>
  </conditionalFormatting>
  <conditionalFormatting sqref="O54:P54 P55:P62">
    <cfRule type="cellIs" dxfId="95" priority="18" operator="equal">
      <formula>"KAPALI"</formula>
    </cfRule>
    <cfRule type="cellIs" dxfId="94" priority="19" operator="equal">
      <formula>"açık"</formula>
    </cfRule>
  </conditionalFormatting>
  <conditionalFormatting sqref="P4:U4">
    <cfRule type="cellIs" dxfId="93" priority="25" operator="equal">
      <formula>"K.KART"</formula>
    </cfRule>
  </conditionalFormatting>
  <conditionalFormatting sqref="Q6:Q13">
    <cfRule type="cellIs" dxfId="92" priority="7" operator="equal">
      <formula>"K.KART"</formula>
    </cfRule>
  </conditionalFormatting>
  <conditionalFormatting sqref="Q13">
    <cfRule type="cellIs" dxfId="91" priority="4" operator="equal">
      <formula>15698.2</formula>
    </cfRule>
    <cfRule type="cellIs" dxfId="90" priority="5" operator="equal">
      <formula>"kapalı"</formula>
    </cfRule>
  </conditionalFormatting>
  <conditionalFormatting sqref="Q1:R3 D1:H5">
    <cfRule type="cellIs" dxfId="89" priority="30" operator="equal">
      <formula>"K.KART"</formula>
    </cfRule>
  </conditionalFormatting>
  <conditionalFormatting sqref="Q5:R11">
    <cfRule type="cellIs" dxfId="88" priority="11" operator="equal">
      <formula>"K.KART"</formula>
    </cfRule>
  </conditionalFormatting>
  <conditionalFormatting sqref="R12:S13">
    <cfRule type="cellIs" dxfId="87" priority="3" operator="equal">
      <formula>"K.KART"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29B5B-8CD9-4EAB-BDFC-E2C646377A0B}">
  <dimension ref="A1:V40"/>
  <sheetViews>
    <sheetView workbookViewId="0">
      <selection activeCell="L44" sqref="L44"/>
    </sheetView>
  </sheetViews>
  <sheetFormatPr defaultRowHeight="15" x14ac:dyDescent="0.25"/>
  <cols>
    <col min="1" max="1" width="21.85546875" customWidth="1"/>
    <col min="2" max="2" width="12.42578125" customWidth="1"/>
    <col min="3" max="3" width="13" customWidth="1"/>
    <col min="4" max="4" width="10.5703125" customWidth="1"/>
    <col min="5" max="5" width="9.5703125" customWidth="1"/>
    <col min="6" max="6" width="12.42578125" customWidth="1"/>
    <col min="7" max="7" width="12" customWidth="1"/>
    <col min="8" max="8" width="11.140625" customWidth="1"/>
    <col min="9" max="9" width="12.140625" customWidth="1"/>
    <col min="10" max="10" width="6" customWidth="1"/>
    <col min="11" max="11" width="2.140625" customWidth="1"/>
    <col min="12" max="12" width="18" customWidth="1"/>
    <col min="13" max="13" width="11.28515625" customWidth="1"/>
    <col min="14" max="14" width="15.42578125" customWidth="1"/>
    <col min="15" max="15" width="10.5703125" customWidth="1"/>
    <col min="17" max="17" width="9.5703125" customWidth="1"/>
    <col min="18" max="18" width="12" customWidth="1"/>
    <col min="19" max="19" width="11.5703125" customWidth="1"/>
    <col min="20" max="20" width="11.28515625" customWidth="1"/>
    <col min="21" max="21" width="10.28515625" customWidth="1"/>
    <col min="22" max="22" width="5.140625" customWidth="1"/>
  </cols>
  <sheetData>
    <row r="1" spans="1:22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3"/>
      <c r="L1" s="1"/>
      <c r="M1" s="1"/>
      <c r="N1" s="175"/>
      <c r="O1" s="2"/>
      <c r="P1" s="2"/>
      <c r="Q1" s="2"/>
      <c r="R1" s="2"/>
      <c r="S1" s="2"/>
      <c r="T1" s="4"/>
      <c r="U1" s="5"/>
    </row>
    <row r="2" spans="1:22" x14ac:dyDescent="0.25">
      <c r="A2" s="10" t="s">
        <v>0</v>
      </c>
      <c r="B2" s="10"/>
      <c r="C2" s="11"/>
      <c r="D2" s="11"/>
      <c r="E2" s="11"/>
      <c r="F2" s="11"/>
      <c r="G2" s="11"/>
      <c r="H2" s="11"/>
      <c r="I2" s="11"/>
      <c r="J2" s="11"/>
      <c r="K2" s="12"/>
      <c r="L2" s="10" t="s">
        <v>1</v>
      </c>
      <c r="M2" s="10"/>
      <c r="N2" s="176"/>
      <c r="O2" s="11"/>
      <c r="P2" s="11"/>
      <c r="Q2" s="11"/>
      <c r="R2" s="11"/>
      <c r="S2" s="11"/>
      <c r="T2" s="13"/>
      <c r="U2" s="14"/>
      <c r="V2" s="11"/>
    </row>
    <row r="3" spans="1:22" x14ac:dyDescent="0.25">
      <c r="A3" s="15" t="s">
        <v>251</v>
      </c>
      <c r="B3" s="15">
        <v>2025</v>
      </c>
      <c r="C3" s="16"/>
      <c r="D3" s="16"/>
      <c r="E3" s="16"/>
      <c r="F3" s="16"/>
      <c r="G3" s="16"/>
      <c r="H3" s="16"/>
      <c r="I3" s="16"/>
      <c r="J3" s="16"/>
      <c r="K3" s="12"/>
      <c r="L3" s="15" t="s">
        <v>251</v>
      </c>
      <c r="M3" s="15">
        <v>2025</v>
      </c>
      <c r="N3" s="177"/>
      <c r="O3" s="16"/>
      <c r="P3" s="16"/>
      <c r="Q3" s="16"/>
      <c r="R3" s="16"/>
      <c r="S3" s="16"/>
      <c r="T3" s="17"/>
      <c r="U3" s="18"/>
      <c r="V3" s="16"/>
    </row>
    <row r="4" spans="1:22" ht="36" x14ac:dyDescent="0.25">
      <c r="A4" s="90" t="s">
        <v>2</v>
      </c>
      <c r="B4" s="90" t="s">
        <v>3</v>
      </c>
      <c r="C4" s="91" t="s">
        <v>4</v>
      </c>
      <c r="D4" s="91" t="s">
        <v>5</v>
      </c>
      <c r="E4" s="91" t="s">
        <v>6</v>
      </c>
      <c r="F4" s="91" t="s">
        <v>7</v>
      </c>
      <c r="G4" s="91" t="s">
        <v>8</v>
      </c>
      <c r="H4" s="92" t="s">
        <v>9</v>
      </c>
      <c r="I4" s="91" t="s">
        <v>10</v>
      </c>
      <c r="J4" s="91" t="s">
        <v>45</v>
      </c>
      <c r="K4" s="12"/>
      <c r="L4" s="90" t="s">
        <v>2</v>
      </c>
      <c r="M4" s="90" t="s">
        <v>3</v>
      </c>
      <c r="N4" s="178" t="s">
        <v>4</v>
      </c>
      <c r="O4" s="91" t="s">
        <v>11</v>
      </c>
      <c r="P4" s="91" t="s">
        <v>5</v>
      </c>
      <c r="Q4" s="91" t="s">
        <v>6</v>
      </c>
      <c r="R4" s="91" t="s">
        <v>7</v>
      </c>
      <c r="S4" s="91" t="s">
        <v>8</v>
      </c>
      <c r="T4" s="92" t="s">
        <v>12</v>
      </c>
      <c r="U4" s="92" t="s">
        <v>13</v>
      </c>
      <c r="V4" s="91" t="s">
        <v>45</v>
      </c>
    </row>
    <row r="5" spans="1:22" x14ac:dyDescent="0.25">
      <c r="A5" s="195" t="s">
        <v>14</v>
      </c>
      <c r="B5" s="195"/>
      <c r="C5" s="22"/>
      <c r="D5" s="22"/>
      <c r="E5" s="22"/>
      <c r="F5" s="22"/>
      <c r="G5" s="22"/>
      <c r="H5" s="55"/>
      <c r="I5" s="22"/>
      <c r="J5" s="21"/>
      <c r="K5" s="19"/>
      <c r="L5" s="24" t="s">
        <v>14</v>
      </c>
      <c r="M5" s="20"/>
      <c r="N5" s="179"/>
      <c r="O5" s="21"/>
      <c r="P5" s="21"/>
      <c r="Q5" s="21"/>
      <c r="R5" s="22"/>
      <c r="S5" s="21"/>
      <c r="T5" s="23"/>
      <c r="U5" s="25">
        <v>404.25</v>
      </c>
      <c r="V5" s="21"/>
    </row>
    <row r="6" spans="1:22" x14ac:dyDescent="0.25">
      <c r="A6" s="26" t="s">
        <v>135</v>
      </c>
      <c r="B6" s="27">
        <v>45937</v>
      </c>
      <c r="C6" s="26">
        <v>609298631</v>
      </c>
      <c r="D6" s="28" t="s">
        <v>32</v>
      </c>
      <c r="E6" s="203" t="s">
        <v>25</v>
      </c>
      <c r="F6" s="16">
        <v>781.08</v>
      </c>
      <c r="G6" s="16">
        <v>743.88</v>
      </c>
      <c r="H6" s="222">
        <v>111.45</v>
      </c>
      <c r="I6" s="30">
        <f t="shared" ref="I6:I23" si="0">H6*J6</f>
        <v>55.725000000000001</v>
      </c>
      <c r="J6" s="117">
        <v>0.5</v>
      </c>
      <c r="K6" s="31"/>
      <c r="L6" s="7" t="s">
        <v>252</v>
      </c>
      <c r="M6" s="32">
        <v>45933</v>
      </c>
      <c r="N6" s="118">
        <v>100000435851114</v>
      </c>
      <c r="O6" s="6" t="s">
        <v>155</v>
      </c>
      <c r="P6" s="6" t="s">
        <v>24</v>
      </c>
      <c r="Q6" s="28" t="s">
        <v>25</v>
      </c>
      <c r="R6" s="6">
        <v>5619.88</v>
      </c>
      <c r="S6" s="6">
        <v>5088.57</v>
      </c>
      <c r="T6" s="29">
        <v>510</v>
      </c>
      <c r="U6" s="30">
        <f t="shared" ref="U6:U23" si="1">T6*V6</f>
        <v>255</v>
      </c>
      <c r="V6" s="117">
        <v>0.5</v>
      </c>
    </row>
    <row r="7" spans="1:22" x14ac:dyDescent="0.25">
      <c r="A7" s="26" t="s">
        <v>135</v>
      </c>
      <c r="B7" s="27">
        <v>45936</v>
      </c>
      <c r="C7" s="26">
        <v>609131507</v>
      </c>
      <c r="D7" s="28" t="s">
        <v>32</v>
      </c>
      <c r="E7" s="204" t="s">
        <v>25</v>
      </c>
      <c r="F7" s="16">
        <v>5848.82</v>
      </c>
      <c r="G7" s="16">
        <v>5570.31</v>
      </c>
      <c r="H7" s="222">
        <v>835.5</v>
      </c>
      <c r="I7" s="30">
        <f t="shared" si="0"/>
        <v>417.75</v>
      </c>
      <c r="J7" s="117">
        <v>0.5</v>
      </c>
      <c r="K7" s="31"/>
      <c r="L7" s="7" t="s">
        <v>253</v>
      </c>
      <c r="M7" s="32">
        <v>45935</v>
      </c>
      <c r="N7" s="118" t="s">
        <v>254</v>
      </c>
      <c r="O7" s="6" t="s">
        <v>197</v>
      </c>
      <c r="P7" s="6" t="s">
        <v>29</v>
      </c>
      <c r="Q7" s="28" t="s">
        <v>25</v>
      </c>
      <c r="R7" s="6">
        <v>70117.84</v>
      </c>
      <c r="S7" s="6">
        <v>66778.89</v>
      </c>
      <c r="T7" s="29">
        <v>10016</v>
      </c>
      <c r="U7" s="30">
        <f t="shared" si="1"/>
        <v>5008</v>
      </c>
      <c r="V7" s="117">
        <v>0.5</v>
      </c>
    </row>
    <row r="8" spans="1:22" x14ac:dyDescent="0.25">
      <c r="A8" s="26" t="s">
        <v>135</v>
      </c>
      <c r="B8" s="27">
        <v>45936</v>
      </c>
      <c r="C8" s="26">
        <v>609126053</v>
      </c>
      <c r="D8" s="28" t="s">
        <v>32</v>
      </c>
      <c r="E8" s="204" t="s">
        <v>25</v>
      </c>
      <c r="F8" s="16">
        <v>5820</v>
      </c>
      <c r="G8" s="16">
        <v>5542.85</v>
      </c>
      <c r="H8" s="222">
        <v>831.3</v>
      </c>
      <c r="I8" s="30">
        <f t="shared" si="0"/>
        <v>415.65</v>
      </c>
      <c r="J8" s="117">
        <v>0.5</v>
      </c>
      <c r="K8" s="31"/>
      <c r="L8" s="7" t="s">
        <v>261</v>
      </c>
      <c r="M8" s="32">
        <v>45944</v>
      </c>
      <c r="N8" s="118">
        <v>333000024249261</v>
      </c>
      <c r="O8" s="6" t="s">
        <v>230</v>
      </c>
      <c r="P8" s="6" t="s">
        <v>29</v>
      </c>
      <c r="Q8" s="28" t="s">
        <v>25</v>
      </c>
      <c r="R8" s="6">
        <v>26801.07</v>
      </c>
      <c r="S8" s="6">
        <v>25524.83</v>
      </c>
      <c r="T8" s="29">
        <v>3830</v>
      </c>
      <c r="U8" s="30">
        <f t="shared" si="1"/>
        <v>1915</v>
      </c>
      <c r="V8" s="117">
        <v>0.5</v>
      </c>
    </row>
    <row r="9" spans="1:22" x14ac:dyDescent="0.25">
      <c r="A9" s="26" t="s">
        <v>135</v>
      </c>
      <c r="B9" s="27">
        <v>45936</v>
      </c>
      <c r="C9" s="26">
        <v>609147280</v>
      </c>
      <c r="D9" s="28" t="s">
        <v>32</v>
      </c>
      <c r="E9" s="204" t="s">
        <v>25</v>
      </c>
      <c r="F9" s="16">
        <v>1839.69</v>
      </c>
      <c r="G9" s="16">
        <v>1752.08</v>
      </c>
      <c r="H9" s="222">
        <v>262.8</v>
      </c>
      <c r="I9" s="30">
        <f t="shared" si="0"/>
        <v>131.4</v>
      </c>
      <c r="J9" s="117">
        <v>0.5</v>
      </c>
      <c r="K9" s="31"/>
      <c r="L9" s="7" t="s">
        <v>262</v>
      </c>
      <c r="M9" s="32">
        <v>45946</v>
      </c>
      <c r="N9" s="118">
        <v>187621874</v>
      </c>
      <c r="O9" s="6" t="s">
        <v>263</v>
      </c>
      <c r="P9" s="6" t="s">
        <v>29</v>
      </c>
      <c r="Q9" s="28" t="s">
        <v>25</v>
      </c>
      <c r="R9" s="6">
        <v>23418.99</v>
      </c>
      <c r="S9" s="6">
        <v>22303.8</v>
      </c>
      <c r="T9" s="29">
        <v>2230</v>
      </c>
      <c r="U9" s="30">
        <f t="shared" si="1"/>
        <v>1115</v>
      </c>
      <c r="V9" s="117">
        <v>0.5</v>
      </c>
    </row>
    <row r="10" spans="1:22" x14ac:dyDescent="0.25">
      <c r="A10" s="26" t="s">
        <v>255</v>
      </c>
      <c r="B10" s="27">
        <v>45937</v>
      </c>
      <c r="C10" s="26">
        <v>609368011</v>
      </c>
      <c r="D10" s="28" t="s">
        <v>24</v>
      </c>
      <c r="E10" s="204" t="s">
        <v>25</v>
      </c>
      <c r="F10" s="16">
        <v>21255.56</v>
      </c>
      <c r="G10" s="16">
        <v>19143.21</v>
      </c>
      <c r="H10" s="222">
        <v>1914.3</v>
      </c>
      <c r="I10" s="30">
        <f t="shared" si="0"/>
        <v>957.15</v>
      </c>
      <c r="J10" s="117">
        <v>0.5</v>
      </c>
      <c r="K10" s="31"/>
      <c r="L10" s="7" t="s">
        <v>264</v>
      </c>
      <c r="M10" s="32">
        <v>45955</v>
      </c>
      <c r="N10" s="118">
        <v>4102500692827</v>
      </c>
      <c r="O10" s="6" t="s">
        <v>50</v>
      </c>
      <c r="P10" s="6" t="s">
        <v>24</v>
      </c>
      <c r="Q10" s="28" t="s">
        <v>25</v>
      </c>
      <c r="R10" s="6">
        <v>13543.79</v>
      </c>
      <c r="S10" s="6">
        <v>12255.51</v>
      </c>
      <c r="T10" s="29">
        <v>1226</v>
      </c>
      <c r="U10" s="30">
        <f t="shared" si="1"/>
        <v>613</v>
      </c>
      <c r="V10" s="117">
        <v>0.5</v>
      </c>
    </row>
    <row r="11" spans="1:22" x14ac:dyDescent="0.25">
      <c r="A11" s="26" t="s">
        <v>256</v>
      </c>
      <c r="B11" s="27">
        <v>45937</v>
      </c>
      <c r="C11" s="26">
        <v>609376258</v>
      </c>
      <c r="D11" s="28" t="s">
        <v>24</v>
      </c>
      <c r="E11" s="205" t="s">
        <v>25</v>
      </c>
      <c r="F11" s="16">
        <v>10630.03</v>
      </c>
      <c r="G11" s="16">
        <v>9491.11</v>
      </c>
      <c r="H11" s="222">
        <v>949.1</v>
      </c>
      <c r="I11" s="30">
        <f t="shared" si="0"/>
        <v>474.55</v>
      </c>
      <c r="J11" s="117">
        <v>0.5</v>
      </c>
      <c r="K11" s="31"/>
      <c r="L11" s="7" t="s">
        <v>264</v>
      </c>
      <c r="M11" s="32">
        <v>45955</v>
      </c>
      <c r="N11" s="118">
        <v>4202500105010</v>
      </c>
      <c r="O11" s="6" t="s">
        <v>50</v>
      </c>
      <c r="P11" s="6" t="s">
        <v>29</v>
      </c>
      <c r="Q11" s="28" t="s">
        <v>25</v>
      </c>
      <c r="R11" s="16">
        <v>17168.400000000001</v>
      </c>
      <c r="S11" s="16">
        <v>16350.86</v>
      </c>
      <c r="T11" s="165">
        <v>2452</v>
      </c>
      <c r="U11" s="30">
        <f t="shared" si="1"/>
        <v>1226</v>
      </c>
      <c r="V11" s="117">
        <v>0.5</v>
      </c>
    </row>
    <row r="12" spans="1:22" x14ac:dyDescent="0.25">
      <c r="A12" s="26" t="s">
        <v>257</v>
      </c>
      <c r="B12" s="27">
        <v>45941</v>
      </c>
      <c r="C12" s="26">
        <v>609382531</v>
      </c>
      <c r="D12" s="28" t="s">
        <v>24</v>
      </c>
      <c r="E12" s="205" t="s">
        <v>25</v>
      </c>
      <c r="F12" s="16">
        <v>8607.06</v>
      </c>
      <c r="G12" s="16">
        <v>7684.88</v>
      </c>
      <c r="H12" s="222">
        <v>768.4</v>
      </c>
      <c r="I12" s="30">
        <f t="shared" si="0"/>
        <v>384.2</v>
      </c>
      <c r="J12" s="117">
        <v>0.5</v>
      </c>
      <c r="K12" s="31"/>
      <c r="L12" s="172"/>
      <c r="M12" s="173"/>
      <c r="N12" s="180"/>
      <c r="O12" s="174"/>
      <c r="P12" s="174"/>
      <c r="Q12" s="28"/>
      <c r="R12" s="174"/>
      <c r="S12" s="174"/>
      <c r="T12" s="174"/>
      <c r="U12" s="30">
        <f t="shared" si="1"/>
        <v>0</v>
      </c>
      <c r="V12" s="117">
        <v>0.5</v>
      </c>
    </row>
    <row r="13" spans="1:22" x14ac:dyDescent="0.25">
      <c r="A13" s="26" t="s">
        <v>257</v>
      </c>
      <c r="B13" s="27">
        <v>45941</v>
      </c>
      <c r="C13" s="26">
        <v>608706625</v>
      </c>
      <c r="D13" s="28" t="s">
        <v>29</v>
      </c>
      <c r="E13" s="204" t="s">
        <v>25</v>
      </c>
      <c r="F13" s="16">
        <v>12120.28</v>
      </c>
      <c r="G13" s="16">
        <v>11543.1</v>
      </c>
      <c r="H13" s="222">
        <v>1731.45</v>
      </c>
      <c r="I13" s="30">
        <f t="shared" si="0"/>
        <v>865.72500000000002</v>
      </c>
      <c r="J13" s="117">
        <v>0.5</v>
      </c>
      <c r="K13" s="31"/>
      <c r="L13" s="172"/>
      <c r="M13" s="173"/>
      <c r="N13" s="180"/>
      <c r="O13" s="174"/>
      <c r="P13" s="174"/>
      <c r="Q13" s="28"/>
      <c r="R13" s="174"/>
      <c r="S13" s="174"/>
      <c r="T13" s="174"/>
      <c r="U13" s="30">
        <f t="shared" si="1"/>
        <v>0</v>
      </c>
      <c r="V13" s="117">
        <v>0.5</v>
      </c>
    </row>
    <row r="14" spans="1:22" x14ac:dyDescent="0.25">
      <c r="A14" s="26" t="s">
        <v>256</v>
      </c>
      <c r="B14" s="27">
        <v>45937</v>
      </c>
      <c r="C14" s="26">
        <v>608469669</v>
      </c>
      <c r="D14" s="28" t="s">
        <v>29</v>
      </c>
      <c r="E14" s="204" t="s">
        <v>25</v>
      </c>
      <c r="F14" s="16">
        <v>30261.52</v>
      </c>
      <c r="G14" s="16">
        <v>28820.48</v>
      </c>
      <c r="H14" s="222">
        <v>4323</v>
      </c>
      <c r="I14" s="30">
        <f t="shared" si="0"/>
        <v>2161.5</v>
      </c>
      <c r="J14" s="117">
        <v>0.5</v>
      </c>
      <c r="K14" s="31"/>
      <c r="L14" s="7"/>
      <c r="M14" s="32"/>
      <c r="N14" s="181"/>
      <c r="O14" s="6"/>
      <c r="P14" s="6"/>
      <c r="Q14" s="16"/>
      <c r="R14" s="16"/>
      <c r="S14" s="16"/>
      <c r="T14" s="17"/>
      <c r="U14" s="30">
        <f t="shared" si="1"/>
        <v>0</v>
      </c>
      <c r="V14" s="117">
        <v>0.5</v>
      </c>
    </row>
    <row r="15" spans="1:22" x14ac:dyDescent="0.25">
      <c r="A15" s="26" t="s">
        <v>258</v>
      </c>
      <c r="B15" s="27">
        <v>45942</v>
      </c>
      <c r="C15" s="26">
        <v>609196782</v>
      </c>
      <c r="D15" s="28" t="s">
        <v>29</v>
      </c>
      <c r="E15" s="164" t="s">
        <v>25</v>
      </c>
      <c r="F15" s="16">
        <v>8560.59</v>
      </c>
      <c r="G15" s="16">
        <v>8152.95</v>
      </c>
      <c r="H15" s="222">
        <v>1222.8</v>
      </c>
      <c r="I15" s="30">
        <f t="shared" si="0"/>
        <v>611.4</v>
      </c>
      <c r="J15" s="117">
        <v>0.5</v>
      </c>
      <c r="K15" s="31"/>
      <c r="L15" s="32"/>
      <c r="M15" s="7"/>
      <c r="N15" s="118"/>
      <c r="O15" s="6"/>
      <c r="P15" s="6"/>
      <c r="Q15" s="6"/>
      <c r="R15" s="6"/>
      <c r="S15" s="6"/>
      <c r="T15" s="8"/>
      <c r="U15" s="30">
        <f t="shared" si="1"/>
        <v>0</v>
      </c>
      <c r="V15" s="117">
        <v>0.5</v>
      </c>
    </row>
    <row r="16" spans="1:22" x14ac:dyDescent="0.25">
      <c r="A16" s="204" t="s">
        <v>259</v>
      </c>
      <c r="B16" s="27">
        <v>45939</v>
      </c>
      <c r="C16" s="26">
        <v>610177813</v>
      </c>
      <c r="D16" s="28" t="s">
        <v>29</v>
      </c>
      <c r="E16" s="28" t="s">
        <v>25</v>
      </c>
      <c r="F16" s="16">
        <v>33668.550000000003</v>
      </c>
      <c r="G16" s="16">
        <v>32065.29</v>
      </c>
      <c r="H16" s="141">
        <v>4809.75</v>
      </c>
      <c r="I16" s="30">
        <f t="shared" si="0"/>
        <v>2404.875</v>
      </c>
      <c r="J16" s="117">
        <v>0.5</v>
      </c>
      <c r="K16" s="31"/>
      <c r="L16" s="7"/>
      <c r="M16" s="7"/>
      <c r="N16" s="118"/>
      <c r="O16" s="6"/>
      <c r="P16" s="6"/>
      <c r="Q16" s="6"/>
      <c r="R16" s="6"/>
      <c r="S16" s="6"/>
      <c r="T16" s="8"/>
      <c r="U16" s="30">
        <f t="shared" si="1"/>
        <v>0</v>
      </c>
      <c r="V16" s="117">
        <v>0.5</v>
      </c>
    </row>
    <row r="17" spans="1:22" x14ac:dyDescent="0.25">
      <c r="A17" s="26" t="s">
        <v>258</v>
      </c>
      <c r="B17" s="27">
        <v>45942</v>
      </c>
      <c r="C17" s="26">
        <v>609571868</v>
      </c>
      <c r="D17" s="28" t="s">
        <v>24</v>
      </c>
      <c r="E17" s="28" t="s">
        <v>25</v>
      </c>
      <c r="F17" s="16">
        <v>6754.98</v>
      </c>
      <c r="G17" s="16">
        <v>6031.22</v>
      </c>
      <c r="H17" s="141">
        <v>603.1</v>
      </c>
      <c r="I17" s="30">
        <f t="shared" si="0"/>
        <v>301.55</v>
      </c>
      <c r="J17" s="117">
        <v>0.5</v>
      </c>
      <c r="K17" s="31"/>
      <c r="L17" s="7"/>
      <c r="M17" s="7"/>
      <c r="N17" s="118"/>
      <c r="O17" s="6"/>
      <c r="P17" s="6"/>
      <c r="Q17" s="6"/>
      <c r="R17" s="6"/>
      <c r="S17" s="6"/>
      <c r="T17" s="8"/>
      <c r="U17" s="30">
        <f t="shared" si="1"/>
        <v>0</v>
      </c>
      <c r="V17" s="117">
        <v>0.5</v>
      </c>
    </row>
    <row r="18" spans="1:22" x14ac:dyDescent="0.25">
      <c r="A18" s="26" t="s">
        <v>135</v>
      </c>
      <c r="B18" s="27">
        <v>45943</v>
      </c>
      <c r="C18" s="26">
        <v>610821218</v>
      </c>
      <c r="D18" s="28" t="s">
        <v>32</v>
      </c>
      <c r="E18" s="28" t="s">
        <v>25</v>
      </c>
      <c r="F18" s="16">
        <v>523.6</v>
      </c>
      <c r="G18" s="16">
        <v>498.67</v>
      </c>
      <c r="H18" s="141">
        <v>74.7</v>
      </c>
      <c r="I18" s="30">
        <f t="shared" si="0"/>
        <v>37.35</v>
      </c>
      <c r="J18" s="117">
        <v>0.5</v>
      </c>
      <c r="K18" s="31"/>
      <c r="L18" s="7"/>
      <c r="M18" s="7"/>
      <c r="N18" s="118"/>
      <c r="O18" s="6"/>
      <c r="P18" s="6"/>
      <c r="Q18" s="6"/>
      <c r="R18" s="6"/>
      <c r="S18" s="6"/>
      <c r="T18" s="8"/>
      <c r="U18" s="30">
        <f t="shared" si="1"/>
        <v>0</v>
      </c>
      <c r="V18" s="117">
        <v>0.5</v>
      </c>
    </row>
    <row r="19" spans="1:22" x14ac:dyDescent="0.25">
      <c r="A19" s="26" t="s">
        <v>135</v>
      </c>
      <c r="B19" s="27">
        <v>45943</v>
      </c>
      <c r="C19" s="26">
        <v>611030592</v>
      </c>
      <c r="D19" s="28" t="s">
        <v>32</v>
      </c>
      <c r="E19" s="28" t="s">
        <v>25</v>
      </c>
      <c r="F19" s="16">
        <v>4989.63</v>
      </c>
      <c r="G19" s="16">
        <v>4752.03</v>
      </c>
      <c r="H19" s="141">
        <v>712.8</v>
      </c>
      <c r="I19" s="30">
        <f t="shared" si="0"/>
        <v>356.4</v>
      </c>
      <c r="J19" s="117">
        <v>0.5</v>
      </c>
      <c r="K19" s="31"/>
      <c r="L19" s="7"/>
      <c r="M19" s="7"/>
      <c r="N19" s="118"/>
      <c r="O19" s="6"/>
      <c r="P19" s="6"/>
      <c r="Q19" s="6"/>
      <c r="R19" s="6"/>
      <c r="S19" s="6"/>
      <c r="T19" s="8"/>
      <c r="U19" s="30">
        <f t="shared" si="1"/>
        <v>0</v>
      </c>
      <c r="V19" s="117">
        <v>0.5</v>
      </c>
    </row>
    <row r="20" spans="1:22" x14ac:dyDescent="0.25">
      <c r="A20" s="26" t="s">
        <v>260</v>
      </c>
      <c r="B20" s="27">
        <v>45945</v>
      </c>
      <c r="C20" s="26">
        <v>609858495</v>
      </c>
      <c r="D20" s="28" t="s">
        <v>24</v>
      </c>
      <c r="E20" s="28" t="s">
        <v>25</v>
      </c>
      <c r="F20" s="16">
        <v>10816.08</v>
      </c>
      <c r="G20" s="16">
        <v>9657.2099999999991</v>
      </c>
      <c r="H20" s="141">
        <v>965.7</v>
      </c>
      <c r="I20" s="30">
        <f>H20*J20</f>
        <v>482.85</v>
      </c>
      <c r="J20" s="117">
        <v>0.5</v>
      </c>
      <c r="K20" s="31"/>
      <c r="L20" s="7"/>
      <c r="M20" s="32"/>
      <c r="N20" s="118"/>
      <c r="O20" s="6"/>
      <c r="P20" s="6"/>
      <c r="Q20" s="6"/>
      <c r="R20" s="6"/>
      <c r="S20" s="6"/>
      <c r="T20" s="8"/>
      <c r="U20" s="30">
        <f t="shared" si="1"/>
        <v>0</v>
      </c>
      <c r="V20" s="117">
        <v>0.5</v>
      </c>
    </row>
    <row r="21" spans="1:22" x14ac:dyDescent="0.25">
      <c r="A21" s="26" t="s">
        <v>135</v>
      </c>
      <c r="B21" s="27">
        <v>45951</v>
      </c>
      <c r="C21" s="26">
        <v>613512573</v>
      </c>
      <c r="D21" s="28" t="s">
        <v>32</v>
      </c>
      <c r="E21" s="28" t="s">
        <v>25</v>
      </c>
      <c r="F21" s="16">
        <v>216.29</v>
      </c>
      <c r="G21" s="16">
        <v>205.99</v>
      </c>
      <c r="H21" s="141">
        <v>30.75</v>
      </c>
      <c r="I21" s="30">
        <f t="shared" si="0"/>
        <v>15.375</v>
      </c>
      <c r="J21" s="117">
        <v>0.5</v>
      </c>
      <c r="K21" s="31"/>
      <c r="L21" s="7"/>
      <c r="M21" s="32"/>
      <c r="N21" s="118"/>
      <c r="O21" s="6"/>
      <c r="P21" s="6"/>
      <c r="Q21" s="6"/>
      <c r="R21" s="6"/>
      <c r="S21" s="6"/>
      <c r="T21" s="8"/>
      <c r="U21" s="30">
        <f t="shared" si="1"/>
        <v>0</v>
      </c>
      <c r="V21" s="117">
        <v>0.5</v>
      </c>
    </row>
    <row r="22" spans="1:22" x14ac:dyDescent="0.25">
      <c r="A22" s="26" t="s">
        <v>135</v>
      </c>
      <c r="B22" s="27">
        <v>45957</v>
      </c>
      <c r="C22" s="26">
        <v>615063546</v>
      </c>
      <c r="D22" s="28" t="s">
        <v>32</v>
      </c>
      <c r="E22" s="28" t="s">
        <v>25</v>
      </c>
      <c r="F22" s="16">
        <v>6055.87</v>
      </c>
      <c r="G22" s="16">
        <v>5767.49</v>
      </c>
      <c r="H22" s="141">
        <v>865.05</v>
      </c>
      <c r="I22" s="30">
        <f t="shared" si="0"/>
        <v>432.52499999999998</v>
      </c>
      <c r="J22" s="117">
        <v>0.5</v>
      </c>
      <c r="K22" s="31"/>
      <c r="L22" s="7"/>
      <c r="M22" s="32"/>
      <c r="N22" s="118"/>
      <c r="O22" s="6"/>
      <c r="P22" s="6"/>
      <c r="Q22" s="6"/>
      <c r="R22" s="6"/>
      <c r="S22" s="6"/>
      <c r="T22" s="8"/>
      <c r="U22" s="30">
        <f t="shared" si="1"/>
        <v>0</v>
      </c>
      <c r="V22" s="117">
        <v>0.5</v>
      </c>
    </row>
    <row r="23" spans="1:22" x14ac:dyDescent="0.25">
      <c r="A23" s="26" t="s">
        <v>135</v>
      </c>
      <c r="B23" s="27">
        <v>45960</v>
      </c>
      <c r="C23" s="26">
        <v>615849974</v>
      </c>
      <c r="D23" s="28" t="s">
        <v>32</v>
      </c>
      <c r="E23" s="28" t="s">
        <v>25</v>
      </c>
      <c r="F23" s="16">
        <v>597.41</v>
      </c>
      <c r="G23" s="16">
        <v>568.96</v>
      </c>
      <c r="H23" s="222">
        <v>85.2</v>
      </c>
      <c r="I23" s="30">
        <f t="shared" si="0"/>
        <v>42.6</v>
      </c>
      <c r="J23" s="117">
        <v>0.5</v>
      </c>
      <c r="K23" s="44"/>
      <c r="L23" s="7"/>
      <c r="M23" s="7"/>
      <c r="N23" s="118"/>
      <c r="O23" s="6"/>
      <c r="P23" s="6"/>
      <c r="Q23" s="6"/>
      <c r="R23" s="6"/>
      <c r="S23" s="6"/>
      <c r="T23" s="8"/>
      <c r="U23" s="30">
        <f t="shared" si="1"/>
        <v>0</v>
      </c>
      <c r="V23" s="117">
        <v>0.5</v>
      </c>
    </row>
    <row r="24" spans="1:22" x14ac:dyDescent="0.25">
      <c r="A24" s="26"/>
      <c r="B24" s="27"/>
      <c r="C24" s="26"/>
      <c r="D24" s="16"/>
      <c r="E24" s="28"/>
      <c r="F24" s="146"/>
      <c r="G24" s="146"/>
      <c r="H24" s="151"/>
      <c r="I24" s="30">
        <f>H24*J24</f>
        <v>0</v>
      </c>
      <c r="J24" s="117">
        <v>0.5</v>
      </c>
      <c r="K24" s="31"/>
      <c r="L24" s="7"/>
      <c r="M24" s="7"/>
      <c r="N24" s="118"/>
      <c r="O24" s="6"/>
      <c r="P24" s="6"/>
      <c r="Q24" s="6"/>
      <c r="R24" s="6"/>
      <c r="S24" s="6"/>
      <c r="T24" s="8"/>
      <c r="U24" s="30"/>
      <c r="V24" s="117"/>
    </row>
    <row r="25" spans="1:22" x14ac:dyDescent="0.25">
      <c r="A25" s="26"/>
      <c r="B25" s="27"/>
      <c r="C25" s="26"/>
      <c r="D25" s="16"/>
      <c r="E25" s="28"/>
      <c r="F25" s="146"/>
      <c r="G25" s="146"/>
      <c r="H25" s="151"/>
      <c r="I25" s="30"/>
      <c r="J25" s="117"/>
      <c r="K25" s="31"/>
      <c r="L25" s="7"/>
      <c r="M25" s="7"/>
      <c r="N25" s="118"/>
      <c r="O25" s="6"/>
      <c r="P25" s="6"/>
      <c r="Q25" s="6"/>
      <c r="R25" s="6"/>
      <c r="S25" s="6"/>
      <c r="T25" s="8"/>
      <c r="U25" s="30"/>
      <c r="V25" s="117"/>
    </row>
    <row r="26" spans="1:22" x14ac:dyDescent="0.25">
      <c r="A26" s="7"/>
      <c r="B26" s="32"/>
      <c r="C26" s="7"/>
      <c r="D26" s="6"/>
      <c r="E26" s="16"/>
      <c r="F26" s="52"/>
      <c r="G26" s="16" t="s">
        <v>15</v>
      </c>
      <c r="H26" s="16"/>
      <c r="I26" s="22">
        <f>SUM(I6:I23)</f>
        <v>10548.574999999999</v>
      </c>
      <c r="J26" s="22"/>
      <c r="K26" s="31"/>
      <c r="L26" s="7"/>
      <c r="M26" s="7"/>
      <c r="N26" s="118"/>
      <c r="O26" s="6"/>
      <c r="P26" s="6"/>
      <c r="Q26" s="6"/>
      <c r="R26" s="6"/>
      <c r="S26" s="6" t="s">
        <v>15</v>
      </c>
      <c r="T26" s="8"/>
      <c r="U26" s="230">
        <f>SUM(U6:U23)</f>
        <v>10132</v>
      </c>
      <c r="V26" s="171"/>
    </row>
    <row r="27" spans="1:22" x14ac:dyDescent="0.25">
      <c r="A27" s="7"/>
      <c r="B27" s="32"/>
      <c r="C27" s="7"/>
      <c r="D27" s="6"/>
      <c r="E27" s="6"/>
      <c r="F27" s="6"/>
      <c r="G27" s="6"/>
      <c r="H27" s="6"/>
      <c r="I27" s="6"/>
      <c r="J27" s="6"/>
      <c r="K27" s="31"/>
      <c r="L27" s="7"/>
      <c r="M27" s="7"/>
      <c r="N27" s="118"/>
      <c r="O27" s="6"/>
      <c r="P27" s="6"/>
      <c r="Q27" s="6"/>
      <c r="R27" s="6"/>
      <c r="S27" s="43"/>
      <c r="T27" s="51"/>
      <c r="U27" s="8"/>
      <c r="V27" s="75"/>
    </row>
    <row r="28" spans="1:22" x14ac:dyDescent="0.25">
      <c r="A28" s="7"/>
      <c r="B28" s="32"/>
      <c r="C28" s="7"/>
      <c r="D28" s="6"/>
      <c r="E28" s="6"/>
      <c r="F28" s="6"/>
      <c r="G28" s="6"/>
      <c r="H28" s="6"/>
      <c r="I28" s="6"/>
      <c r="J28" s="6"/>
      <c r="K28" s="31"/>
      <c r="L28" s="7"/>
      <c r="M28" s="7"/>
      <c r="N28" s="118"/>
      <c r="O28" s="6"/>
      <c r="P28" s="6"/>
      <c r="Q28" s="6"/>
      <c r="R28" s="6"/>
      <c r="S28" s="43"/>
      <c r="T28" s="51"/>
      <c r="U28" s="8"/>
      <c r="V28" s="75"/>
    </row>
    <row r="29" spans="1:22" x14ac:dyDescent="0.25">
      <c r="A29" s="53" t="s">
        <v>145</v>
      </c>
      <c r="B29" s="54"/>
      <c r="C29" s="55"/>
      <c r="D29" s="55">
        <f>I5</f>
        <v>0</v>
      </c>
      <c r="E29" s="16"/>
      <c r="F29" s="16"/>
      <c r="G29" s="16"/>
      <c r="H29" s="16"/>
      <c r="I29" s="16"/>
      <c r="J29" s="16"/>
      <c r="K29" s="12"/>
      <c r="L29" s="53" t="s">
        <v>146</v>
      </c>
      <c r="M29" s="54"/>
      <c r="N29" s="182"/>
      <c r="O29" s="21">
        <f>U5</f>
        <v>404.25</v>
      </c>
      <c r="P29" s="6"/>
      <c r="Q29" s="6"/>
      <c r="R29" s="6"/>
      <c r="S29" s="43"/>
      <c r="T29" s="32"/>
      <c r="U29" s="8"/>
      <c r="V29" s="75"/>
    </row>
    <row r="30" spans="1:22" x14ac:dyDescent="0.25">
      <c r="A30" s="56" t="s">
        <v>17</v>
      </c>
      <c r="B30" s="57"/>
      <c r="C30" s="58"/>
      <c r="D30" s="153">
        <f>I26</f>
        <v>10548.574999999999</v>
      </c>
      <c r="E30" s="16"/>
      <c r="F30" s="16"/>
      <c r="G30" s="16"/>
      <c r="H30" s="16"/>
      <c r="I30" s="16"/>
      <c r="J30" s="16"/>
      <c r="K30" s="12"/>
      <c r="L30" s="56" t="s">
        <v>18</v>
      </c>
      <c r="M30" s="57"/>
      <c r="N30" s="183"/>
      <c r="O30" s="80">
        <f>U26</f>
        <v>10132</v>
      </c>
      <c r="P30" s="6"/>
      <c r="Q30" s="6"/>
      <c r="R30" s="6"/>
      <c r="S30" s="6"/>
      <c r="T30" s="8"/>
      <c r="U30" s="9"/>
      <c r="V30" s="75"/>
    </row>
    <row r="31" spans="1:22" x14ac:dyDescent="0.25">
      <c r="A31" s="60" t="s">
        <v>19</v>
      </c>
      <c r="B31" s="60"/>
      <c r="C31" s="61"/>
      <c r="D31" s="154"/>
      <c r="E31" s="6"/>
      <c r="F31" s="6"/>
      <c r="G31" s="6"/>
      <c r="H31" s="6"/>
      <c r="I31" s="6"/>
      <c r="J31" s="6"/>
      <c r="K31" s="31"/>
      <c r="L31" s="60" t="s">
        <v>20</v>
      </c>
      <c r="M31" s="62"/>
      <c r="N31" s="184"/>
      <c r="O31" s="80"/>
      <c r="P31" s="6"/>
      <c r="Q31" s="6"/>
      <c r="R31" s="6"/>
      <c r="S31" s="6"/>
      <c r="T31" s="8"/>
      <c r="U31" s="9"/>
      <c r="V31" s="75"/>
    </row>
    <row r="32" spans="1:22" x14ac:dyDescent="0.25">
      <c r="A32" s="60"/>
      <c r="B32" s="60"/>
      <c r="C32" s="61"/>
      <c r="D32" s="154"/>
      <c r="E32" s="6"/>
      <c r="F32" s="6"/>
      <c r="G32" s="6"/>
      <c r="H32" s="6"/>
      <c r="I32" s="6"/>
      <c r="J32" s="6"/>
      <c r="K32" s="31"/>
      <c r="L32" s="60"/>
      <c r="M32" s="62"/>
      <c r="N32" s="184"/>
      <c r="O32" s="80"/>
      <c r="P32" s="6"/>
      <c r="Q32" s="6"/>
      <c r="R32" s="6"/>
      <c r="S32" s="6"/>
      <c r="T32" s="8"/>
      <c r="U32" s="9"/>
      <c r="V32" s="75"/>
    </row>
    <row r="33" spans="1:22" x14ac:dyDescent="0.25">
      <c r="A33" s="60"/>
      <c r="B33" s="63"/>
      <c r="C33" s="61"/>
      <c r="D33" s="155"/>
      <c r="E33" s="6"/>
      <c r="F33" s="6"/>
      <c r="G33" s="6"/>
      <c r="H33" s="6"/>
      <c r="I33" s="6"/>
      <c r="J33" s="6"/>
      <c r="K33" s="31"/>
      <c r="L33" s="60" t="s">
        <v>271</v>
      </c>
      <c r="M33" s="63"/>
      <c r="N33" s="184"/>
      <c r="O33" s="155">
        <v>2266.5</v>
      </c>
      <c r="P33" s="6"/>
      <c r="Q33" s="6"/>
      <c r="R33" s="6"/>
      <c r="S33" s="6"/>
      <c r="T33" s="8"/>
      <c r="U33" s="9"/>
      <c r="V33" s="75"/>
    </row>
    <row r="34" spans="1:22" x14ac:dyDescent="0.25">
      <c r="A34" s="60"/>
      <c r="B34" s="64"/>
      <c r="C34" s="65"/>
      <c r="D34" s="154"/>
      <c r="E34" s="6"/>
      <c r="F34" s="6"/>
      <c r="G34" s="6"/>
      <c r="H34" s="6"/>
      <c r="I34" s="6"/>
      <c r="J34" s="6"/>
      <c r="K34" s="31"/>
      <c r="L34" s="60"/>
      <c r="M34" s="62"/>
      <c r="N34" s="184"/>
      <c r="O34" s="80"/>
      <c r="P34" s="6"/>
      <c r="Q34" s="7"/>
      <c r="R34" s="7"/>
      <c r="S34" s="7"/>
      <c r="T34" s="8"/>
      <c r="U34" s="9"/>
      <c r="V34" s="75"/>
    </row>
    <row r="35" spans="1:22" x14ac:dyDescent="0.25">
      <c r="A35" s="60"/>
      <c r="B35" s="66"/>
      <c r="C35" s="67"/>
      <c r="D35" s="84"/>
      <c r="E35" s="6"/>
      <c r="F35" s="6"/>
      <c r="G35" s="6"/>
      <c r="H35" s="6"/>
      <c r="I35" s="6"/>
      <c r="J35" s="6"/>
      <c r="K35" s="157"/>
      <c r="L35" s="60"/>
      <c r="M35" s="63"/>
      <c r="N35" s="184"/>
      <c r="O35" s="155"/>
      <c r="P35" s="6"/>
      <c r="Q35" s="7"/>
      <c r="R35" s="7"/>
      <c r="S35" s="7"/>
      <c r="T35" s="8"/>
      <c r="U35" s="9"/>
      <c r="V35" s="75"/>
    </row>
    <row r="36" spans="1:22" x14ac:dyDescent="0.25">
      <c r="A36" s="68"/>
      <c r="B36" s="66"/>
      <c r="C36" s="67"/>
      <c r="D36" s="86"/>
      <c r="E36" s="6"/>
      <c r="F36" s="6"/>
      <c r="G36" s="6"/>
      <c r="H36" s="6"/>
      <c r="I36" s="6"/>
      <c r="J36" s="6"/>
      <c r="K36" s="157"/>
      <c r="L36" s="60"/>
      <c r="M36" s="63"/>
      <c r="N36" s="184"/>
      <c r="O36" s="155"/>
      <c r="P36" s="6"/>
      <c r="Q36" s="7"/>
      <c r="R36" s="7"/>
      <c r="S36" s="7"/>
      <c r="T36" s="8"/>
      <c r="U36" s="9"/>
      <c r="V36" s="75"/>
    </row>
    <row r="37" spans="1:22" x14ac:dyDescent="0.25">
      <c r="A37" s="68"/>
      <c r="B37" s="64" t="s">
        <v>15</v>
      </c>
      <c r="C37" s="65"/>
      <c r="D37" s="86">
        <f>D29+D30</f>
        <v>10548.574999999999</v>
      </c>
      <c r="E37" s="6"/>
      <c r="F37" s="6"/>
      <c r="G37" s="166"/>
      <c r="H37" s="166"/>
      <c r="I37" s="166"/>
      <c r="J37" s="6"/>
      <c r="K37" s="31"/>
      <c r="L37" s="60"/>
      <c r="M37" s="64" t="s">
        <v>15</v>
      </c>
      <c r="N37" s="185"/>
      <c r="O37" s="71">
        <f>O29+O30+O31+O32+O33+O34+O35</f>
        <v>12802.75</v>
      </c>
      <c r="P37" s="6"/>
      <c r="Q37" s="7"/>
      <c r="R37" s="36"/>
      <c r="S37" s="36"/>
      <c r="T37" s="36"/>
      <c r="U37" s="9"/>
      <c r="V37" s="75"/>
    </row>
    <row r="38" spans="1:22" x14ac:dyDescent="0.25">
      <c r="A38" s="75"/>
      <c r="B38" s="75"/>
      <c r="C38" s="75"/>
      <c r="D38" s="75"/>
      <c r="E38" s="75"/>
      <c r="F38" s="75"/>
      <c r="G38" s="167" t="s">
        <v>21</v>
      </c>
      <c r="H38" s="168"/>
      <c r="I38" s="169">
        <f>O37-D37</f>
        <v>2254.1750000000011</v>
      </c>
      <c r="J38" s="75"/>
      <c r="K38" s="31"/>
      <c r="L38" s="75"/>
      <c r="M38" s="75"/>
      <c r="N38" s="187"/>
      <c r="O38" s="75"/>
      <c r="P38" s="75"/>
      <c r="Q38" s="75"/>
      <c r="R38" s="224"/>
      <c r="S38" s="225"/>
      <c r="T38" s="226"/>
      <c r="U38" s="75"/>
      <c r="V38" s="75"/>
    </row>
    <row r="39" spans="1:22" x14ac:dyDescent="0.25">
      <c r="A39" s="75"/>
      <c r="B39" s="75"/>
      <c r="C39" s="75"/>
      <c r="D39" s="75"/>
      <c r="E39" s="75"/>
      <c r="F39" s="75"/>
      <c r="G39" s="168"/>
      <c r="H39" s="168"/>
      <c r="I39" s="168"/>
      <c r="J39" s="75"/>
      <c r="K39" s="31"/>
      <c r="L39" s="75"/>
      <c r="M39" s="75"/>
      <c r="N39" s="187"/>
      <c r="O39" s="75"/>
      <c r="P39" s="75"/>
      <c r="Q39" s="75"/>
      <c r="R39" s="225"/>
      <c r="S39" s="225"/>
      <c r="T39" s="225"/>
      <c r="U39" s="75"/>
      <c r="V39" s="75"/>
    </row>
    <row r="40" spans="1:22" x14ac:dyDescent="0.25">
      <c r="A40" s="75"/>
      <c r="B40" s="75"/>
      <c r="C40" s="75"/>
      <c r="D40" s="75"/>
      <c r="E40" s="75"/>
      <c r="F40" s="75"/>
      <c r="G40" s="168"/>
      <c r="H40" s="168"/>
      <c r="I40" s="168"/>
      <c r="J40" s="75"/>
      <c r="K40" s="31"/>
      <c r="L40" s="75"/>
      <c r="M40" s="75"/>
      <c r="N40" s="187"/>
      <c r="O40" s="75"/>
      <c r="P40" s="75"/>
      <c r="Q40" s="75"/>
      <c r="R40" s="225"/>
      <c r="S40" s="225"/>
      <c r="T40" s="225"/>
      <c r="U40" s="75"/>
      <c r="V40" s="75"/>
    </row>
  </sheetData>
  <conditionalFormatting sqref="A16">
    <cfRule type="cellIs" dxfId="86" priority="3" operator="equal">
      <formula>"K.KART"</formula>
    </cfRule>
  </conditionalFormatting>
  <conditionalFormatting sqref="C1:C5 D6:D25 F6:F25 D26:F28">
    <cfRule type="cellIs" dxfId="85" priority="25" operator="equal">
      <formula>15698.2</formula>
    </cfRule>
    <cfRule type="cellIs" dxfId="84" priority="26" operator="equal">
      <formula>"kapalı"</formula>
    </cfRule>
  </conditionalFormatting>
  <conditionalFormatting sqref="E6:E25 G6:G25 Q14:R36">
    <cfRule type="cellIs" dxfId="83" priority="1" operator="equal">
      <formula>"K.KART"</formula>
    </cfRule>
  </conditionalFormatting>
  <conditionalFormatting sqref="E29:F29 D30:F32 E33:F33 D34:F37">
    <cfRule type="cellIs" dxfId="82" priority="18" operator="equal">
      <formula>15698.2</formula>
    </cfRule>
    <cfRule type="cellIs" dxfId="81" priority="19" operator="equal">
      <formula>"kapalı"</formula>
    </cfRule>
  </conditionalFormatting>
  <conditionalFormatting sqref="G26:H37 D33 Q37:S37">
    <cfRule type="cellIs" dxfId="80" priority="14" operator="equal">
      <formula>"K.KART"</formula>
    </cfRule>
  </conditionalFormatting>
  <conditionalFormatting sqref="N29">
    <cfRule type="cellIs" dxfId="79" priority="17" operator="equal">
      <formula>"K.KART"</formula>
    </cfRule>
  </conditionalFormatting>
  <conditionalFormatting sqref="N4:O4">
    <cfRule type="cellIs" dxfId="78" priority="20" operator="equal">
      <formula>15698.2</formula>
    </cfRule>
    <cfRule type="cellIs" dxfId="77" priority="21" operator="equal">
      <formula>"kapalı"</formula>
    </cfRule>
  </conditionalFormatting>
  <conditionalFormatting sqref="N1:P3 N5:P5 N24:P28 O29:P29 P30:P37">
    <cfRule type="cellIs" dxfId="76" priority="28" operator="equal">
      <formula>15698.2</formula>
    </cfRule>
  </conditionalFormatting>
  <conditionalFormatting sqref="N1:P3 N5:P5 N24:P28">
    <cfRule type="cellIs" dxfId="75" priority="23" operator="equal">
      <formula>"KAPALI"</formula>
    </cfRule>
    <cfRule type="cellIs" dxfId="74" priority="24" operator="equal">
      <formula>"açık"</formula>
    </cfRule>
  </conditionalFormatting>
  <conditionalFormatting sqref="N12:P12">
    <cfRule type="cellIs" dxfId="73" priority="10" operator="equal">
      <formula>"KAPALI"</formula>
    </cfRule>
    <cfRule type="cellIs" dxfId="72" priority="11" operator="equal">
      <formula>"açık"</formula>
    </cfRule>
  </conditionalFormatting>
  <conditionalFormatting sqref="O33">
    <cfRule type="cellIs" dxfId="71" priority="13" operator="equal">
      <formula>"K.KART"</formula>
    </cfRule>
  </conditionalFormatting>
  <conditionalFormatting sqref="O35:O36">
    <cfRule type="cellIs" dxfId="70" priority="2" operator="equal">
      <formula>"K.KART"</formula>
    </cfRule>
  </conditionalFormatting>
  <conditionalFormatting sqref="O6:P23 N12">
    <cfRule type="cellIs" dxfId="69" priority="9" operator="equal">
      <formula>15698.2</formula>
    </cfRule>
  </conditionalFormatting>
  <conditionalFormatting sqref="O6:P23">
    <cfRule type="cellIs" dxfId="68" priority="7" operator="equal">
      <formula>"kapalı"</formula>
    </cfRule>
  </conditionalFormatting>
  <conditionalFormatting sqref="O29:P29 P30:P37">
    <cfRule type="cellIs" dxfId="67" priority="15" operator="equal">
      <formula>"KAPALI"</formula>
    </cfRule>
    <cfRule type="cellIs" dxfId="66" priority="16" operator="equal">
      <formula>"açık"</formula>
    </cfRule>
  </conditionalFormatting>
  <conditionalFormatting sqref="P4:U4">
    <cfRule type="cellIs" dxfId="65" priority="22" operator="equal">
      <formula>"K.KART"</formula>
    </cfRule>
  </conditionalFormatting>
  <conditionalFormatting sqref="Q6:Q13">
    <cfRule type="cellIs" dxfId="64" priority="8" operator="equal">
      <formula>"K.KART"</formula>
    </cfRule>
  </conditionalFormatting>
  <conditionalFormatting sqref="Q13">
    <cfRule type="cellIs" dxfId="63" priority="5" operator="equal">
      <formula>15698.2</formula>
    </cfRule>
    <cfRule type="cellIs" dxfId="62" priority="6" operator="equal">
      <formula>"kapalı"</formula>
    </cfRule>
  </conditionalFormatting>
  <conditionalFormatting sqref="Q1:R3 D1:H5">
    <cfRule type="cellIs" dxfId="61" priority="27" operator="equal">
      <formula>"K.KART"</formula>
    </cfRule>
  </conditionalFormatting>
  <conditionalFormatting sqref="Q5:R11">
    <cfRule type="cellIs" dxfId="60" priority="12" operator="equal">
      <formula>"K.KART"</formula>
    </cfRule>
  </conditionalFormatting>
  <conditionalFormatting sqref="R12:S13">
    <cfRule type="cellIs" dxfId="59" priority="4" operator="equal">
      <formula>"K.KART"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9F41A-1388-458D-A418-0CBD609048AD}">
  <dimension ref="A1:V40"/>
  <sheetViews>
    <sheetView workbookViewId="0">
      <selection activeCell="N25" sqref="N25"/>
    </sheetView>
  </sheetViews>
  <sheetFormatPr defaultRowHeight="15" x14ac:dyDescent="0.25"/>
  <cols>
    <col min="1" max="1" width="21.85546875" customWidth="1"/>
    <col min="2" max="2" width="12.42578125" customWidth="1"/>
    <col min="3" max="3" width="13" customWidth="1"/>
    <col min="4" max="4" width="10.5703125" customWidth="1"/>
    <col min="5" max="5" width="9.5703125" customWidth="1"/>
    <col min="6" max="6" width="12.42578125" customWidth="1"/>
    <col min="7" max="7" width="12" customWidth="1"/>
    <col min="8" max="8" width="11.140625" customWidth="1"/>
    <col min="9" max="9" width="12.140625" customWidth="1"/>
    <col min="10" max="10" width="6" customWidth="1"/>
    <col min="11" max="11" width="2.140625" customWidth="1"/>
    <col min="12" max="12" width="18" customWidth="1"/>
    <col min="13" max="13" width="11.28515625" customWidth="1"/>
    <col min="14" max="14" width="16.42578125" customWidth="1"/>
    <col min="15" max="15" width="10.5703125" customWidth="1"/>
    <col min="17" max="17" width="9.5703125" customWidth="1"/>
    <col min="18" max="18" width="12" customWidth="1"/>
    <col min="19" max="19" width="11.5703125" customWidth="1"/>
    <col min="20" max="20" width="11.28515625" customWidth="1"/>
    <col min="21" max="21" width="10.28515625" customWidth="1"/>
    <col min="22" max="22" width="5.140625" customWidth="1"/>
  </cols>
  <sheetData>
    <row r="1" spans="1:22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3"/>
      <c r="L1" s="1"/>
      <c r="M1" s="1"/>
      <c r="N1" s="175"/>
      <c r="O1" s="2"/>
      <c r="P1" s="2"/>
      <c r="Q1" s="2"/>
      <c r="R1" s="2"/>
      <c r="S1" s="2"/>
      <c r="T1" s="4"/>
      <c r="U1" s="5"/>
    </row>
    <row r="2" spans="1:22" x14ac:dyDescent="0.25">
      <c r="A2" s="10" t="s">
        <v>0</v>
      </c>
      <c r="B2" s="10"/>
      <c r="C2" s="11"/>
      <c r="D2" s="11"/>
      <c r="E2" s="11"/>
      <c r="F2" s="11"/>
      <c r="G2" s="11"/>
      <c r="H2" s="11"/>
      <c r="I2" s="11"/>
      <c r="J2" s="11"/>
      <c r="K2" s="12"/>
      <c r="L2" s="10" t="s">
        <v>1</v>
      </c>
      <c r="M2" s="10"/>
      <c r="N2" s="176"/>
      <c r="O2" s="11"/>
      <c r="P2" s="11"/>
      <c r="Q2" s="11"/>
      <c r="R2" s="11"/>
      <c r="S2" s="11"/>
      <c r="T2" s="13"/>
      <c r="U2" s="14"/>
      <c r="V2" s="11"/>
    </row>
    <row r="3" spans="1:22" x14ac:dyDescent="0.25">
      <c r="A3" s="15" t="s">
        <v>265</v>
      </c>
      <c r="B3" s="15">
        <v>2025</v>
      </c>
      <c r="C3" s="16"/>
      <c r="D3" s="16"/>
      <c r="E3" s="16"/>
      <c r="F3" s="16"/>
      <c r="G3" s="16"/>
      <c r="H3" s="16"/>
      <c r="I3" s="16"/>
      <c r="J3" s="16"/>
      <c r="K3" s="12"/>
      <c r="L3" s="15" t="s">
        <v>265</v>
      </c>
      <c r="M3" s="15">
        <v>2025</v>
      </c>
      <c r="N3" s="177"/>
      <c r="O3" s="16"/>
      <c r="P3" s="16"/>
      <c r="Q3" s="16"/>
      <c r="R3" s="16"/>
      <c r="S3" s="16"/>
      <c r="T3" s="17"/>
      <c r="U3" s="18"/>
      <c r="V3" s="16"/>
    </row>
    <row r="4" spans="1:22" ht="36" x14ac:dyDescent="0.25">
      <c r="A4" s="90" t="s">
        <v>2</v>
      </c>
      <c r="B4" s="90" t="s">
        <v>3</v>
      </c>
      <c r="C4" s="91" t="s">
        <v>4</v>
      </c>
      <c r="D4" s="91" t="s">
        <v>5</v>
      </c>
      <c r="E4" s="91" t="s">
        <v>6</v>
      </c>
      <c r="F4" s="91" t="s">
        <v>7</v>
      </c>
      <c r="G4" s="91" t="s">
        <v>8</v>
      </c>
      <c r="H4" s="92" t="s">
        <v>9</v>
      </c>
      <c r="I4" s="91" t="s">
        <v>10</v>
      </c>
      <c r="J4" s="91" t="s">
        <v>45</v>
      </c>
      <c r="K4" s="12"/>
      <c r="L4" s="90" t="s">
        <v>2</v>
      </c>
      <c r="M4" s="90" t="s">
        <v>3</v>
      </c>
      <c r="N4" s="178" t="s">
        <v>4</v>
      </c>
      <c r="O4" s="91" t="s">
        <v>11</v>
      </c>
      <c r="P4" s="91" t="s">
        <v>5</v>
      </c>
      <c r="Q4" s="91" t="s">
        <v>6</v>
      </c>
      <c r="R4" s="91" t="s">
        <v>7</v>
      </c>
      <c r="S4" s="91" t="s">
        <v>8</v>
      </c>
      <c r="T4" s="92" t="s">
        <v>12</v>
      </c>
      <c r="U4" s="92" t="s">
        <v>13</v>
      </c>
      <c r="V4" s="91" t="s">
        <v>45</v>
      </c>
    </row>
    <row r="5" spans="1:22" x14ac:dyDescent="0.25">
      <c r="A5" s="195" t="s">
        <v>14</v>
      </c>
      <c r="B5" s="195"/>
      <c r="C5" s="22"/>
      <c r="D5" s="22"/>
      <c r="E5" s="22"/>
      <c r="F5" s="22"/>
      <c r="G5" s="22"/>
      <c r="H5" s="55"/>
      <c r="I5" s="22"/>
      <c r="J5" s="21"/>
      <c r="K5" s="19"/>
      <c r="L5" s="24" t="s">
        <v>14</v>
      </c>
      <c r="M5" s="20"/>
      <c r="N5" s="179"/>
      <c r="O5" s="21"/>
      <c r="P5" s="21"/>
      <c r="Q5" s="21"/>
      <c r="R5" s="22"/>
      <c r="S5" s="21"/>
      <c r="T5" s="23"/>
      <c r="U5" s="25">
        <v>2254.1799999999998</v>
      </c>
      <c r="V5" s="21"/>
    </row>
    <row r="6" spans="1:22" x14ac:dyDescent="0.25">
      <c r="A6" s="26" t="s">
        <v>135</v>
      </c>
      <c r="B6" s="27">
        <v>45962</v>
      </c>
      <c r="C6" s="26">
        <v>616311035</v>
      </c>
      <c r="D6" s="28" t="s">
        <v>32</v>
      </c>
      <c r="E6" s="203" t="s">
        <v>25</v>
      </c>
      <c r="F6" s="16">
        <v>1128.58</v>
      </c>
      <c r="G6" s="16">
        <v>1074.8399999999999</v>
      </c>
      <c r="H6" s="222">
        <v>161.1</v>
      </c>
      <c r="I6" s="30">
        <f t="shared" ref="I6:I23" si="0">H6*J6</f>
        <v>80.55</v>
      </c>
      <c r="J6" s="117">
        <v>0.5</v>
      </c>
      <c r="K6" s="31"/>
      <c r="L6" s="7" t="s">
        <v>268</v>
      </c>
      <c r="M6" s="32">
        <v>45966</v>
      </c>
      <c r="N6" s="118">
        <v>208097770</v>
      </c>
      <c r="O6" s="6" t="s">
        <v>47</v>
      </c>
      <c r="P6" s="6" t="s">
        <v>24</v>
      </c>
      <c r="Q6" s="28" t="s">
        <v>25</v>
      </c>
      <c r="R6" s="6">
        <v>45965.8</v>
      </c>
      <c r="S6" s="6">
        <v>41588.1</v>
      </c>
      <c r="T6" s="29">
        <v>4160</v>
      </c>
      <c r="U6" s="30">
        <f t="shared" ref="U6:U23" si="1">T6*V6</f>
        <v>2080</v>
      </c>
      <c r="V6" s="117">
        <v>0.5</v>
      </c>
    </row>
    <row r="7" spans="1:22" x14ac:dyDescent="0.25">
      <c r="A7" s="26" t="s">
        <v>266</v>
      </c>
      <c r="B7" s="27">
        <v>45962</v>
      </c>
      <c r="C7" s="26">
        <v>616316431</v>
      </c>
      <c r="D7" s="28" t="s">
        <v>29</v>
      </c>
      <c r="E7" s="231" t="s">
        <v>25</v>
      </c>
      <c r="F7" s="16">
        <v>23144.68</v>
      </c>
      <c r="G7" s="16">
        <v>22042.54</v>
      </c>
      <c r="H7" s="222">
        <v>3306.3</v>
      </c>
      <c r="I7" s="30">
        <f t="shared" si="0"/>
        <v>1653.15</v>
      </c>
      <c r="J7" s="117">
        <v>0.5</v>
      </c>
      <c r="K7" s="31"/>
      <c r="L7" s="7" t="s">
        <v>268</v>
      </c>
      <c r="M7" s="32">
        <v>45966</v>
      </c>
      <c r="N7" s="118">
        <v>208103391</v>
      </c>
      <c r="O7" s="6" t="s">
        <v>47</v>
      </c>
      <c r="P7" s="6" t="s">
        <v>269</v>
      </c>
      <c r="Q7" s="28" t="s">
        <v>25</v>
      </c>
      <c r="R7" s="6">
        <v>1030</v>
      </c>
      <c r="S7" s="6">
        <v>980.95</v>
      </c>
      <c r="T7" s="29">
        <v>146</v>
      </c>
      <c r="U7" s="30">
        <f t="shared" si="1"/>
        <v>73</v>
      </c>
      <c r="V7" s="117">
        <v>0.5</v>
      </c>
    </row>
    <row r="8" spans="1:22" x14ac:dyDescent="0.25">
      <c r="A8" s="26" t="s">
        <v>267</v>
      </c>
      <c r="B8" s="27">
        <v>45965</v>
      </c>
      <c r="C8" s="26">
        <v>617156029</v>
      </c>
      <c r="D8" s="28" t="s">
        <v>24</v>
      </c>
      <c r="E8" s="204" t="s">
        <v>25</v>
      </c>
      <c r="F8" s="16">
        <v>16711.28</v>
      </c>
      <c r="G8" s="16">
        <v>15086.58</v>
      </c>
      <c r="H8" s="222">
        <v>1808.6</v>
      </c>
      <c r="I8" s="30">
        <f t="shared" si="0"/>
        <v>904.3</v>
      </c>
      <c r="J8" s="117">
        <v>0.5</v>
      </c>
      <c r="K8" s="31"/>
      <c r="L8" s="7" t="s">
        <v>270</v>
      </c>
      <c r="M8" s="32">
        <v>45972</v>
      </c>
      <c r="N8" s="118">
        <v>209215891</v>
      </c>
      <c r="O8" s="6" t="s">
        <v>47</v>
      </c>
      <c r="P8" s="6" t="s">
        <v>29</v>
      </c>
      <c r="Q8" s="28" t="s">
        <v>25</v>
      </c>
      <c r="R8" s="6">
        <v>13329.21</v>
      </c>
      <c r="S8" s="6">
        <v>12694.49</v>
      </c>
      <c r="T8" s="29">
        <v>1904</v>
      </c>
      <c r="U8" s="30">
        <f t="shared" si="1"/>
        <v>952</v>
      </c>
      <c r="V8" s="117">
        <v>0.5</v>
      </c>
    </row>
    <row r="9" spans="1:22" x14ac:dyDescent="0.25">
      <c r="A9" s="26" t="s">
        <v>267</v>
      </c>
      <c r="B9" s="27">
        <v>45965</v>
      </c>
      <c r="C9" s="26">
        <v>617156029</v>
      </c>
      <c r="D9" s="28" t="s">
        <v>144</v>
      </c>
      <c r="E9" s="204" t="s">
        <v>25</v>
      </c>
      <c r="F9" s="16">
        <v>100</v>
      </c>
      <c r="G9" s="16">
        <v>100</v>
      </c>
      <c r="H9" s="222">
        <v>10</v>
      </c>
      <c r="I9" s="30">
        <f t="shared" si="0"/>
        <v>5</v>
      </c>
      <c r="J9" s="117">
        <v>0.5</v>
      </c>
      <c r="K9" s="31"/>
      <c r="L9" s="7" t="s">
        <v>274</v>
      </c>
      <c r="M9" s="32">
        <v>45973</v>
      </c>
      <c r="N9" s="118">
        <v>1071009484089</v>
      </c>
      <c r="O9" s="6" t="s">
        <v>197</v>
      </c>
      <c r="P9" s="6" t="s">
        <v>36</v>
      </c>
      <c r="Q9" s="28" t="s">
        <v>25</v>
      </c>
      <c r="R9" s="6">
        <v>102365.01</v>
      </c>
      <c r="S9" s="6">
        <v>102365.01</v>
      </c>
      <c r="T9" s="29">
        <v>13648</v>
      </c>
      <c r="U9" s="30">
        <f t="shared" si="1"/>
        <v>6824</v>
      </c>
      <c r="V9" s="117">
        <v>0.5</v>
      </c>
    </row>
    <row r="10" spans="1:22" x14ac:dyDescent="0.25">
      <c r="A10" s="26" t="s">
        <v>135</v>
      </c>
      <c r="B10" s="27">
        <v>45968</v>
      </c>
      <c r="C10" s="26">
        <v>618116857</v>
      </c>
      <c r="D10" s="28" t="s">
        <v>32</v>
      </c>
      <c r="E10" s="204" t="s">
        <v>25</v>
      </c>
      <c r="F10" s="16">
        <v>1386.11</v>
      </c>
      <c r="G10" s="16">
        <v>1320.11</v>
      </c>
      <c r="H10" s="222">
        <v>198</v>
      </c>
      <c r="I10" s="30">
        <f t="shared" si="0"/>
        <v>99</v>
      </c>
      <c r="J10" s="117">
        <v>0.5</v>
      </c>
      <c r="K10" s="31"/>
      <c r="L10" s="7" t="s">
        <v>276</v>
      </c>
      <c r="M10" s="32">
        <v>45976</v>
      </c>
      <c r="N10" s="118">
        <v>100000467318868</v>
      </c>
      <c r="O10" s="6" t="s">
        <v>155</v>
      </c>
      <c r="P10" s="6" t="s">
        <v>24</v>
      </c>
      <c r="Q10" s="28" t="s">
        <v>25</v>
      </c>
      <c r="R10" s="6">
        <v>9507.24</v>
      </c>
      <c r="S10" s="6">
        <v>8721.59</v>
      </c>
      <c r="T10" s="29">
        <v>872</v>
      </c>
      <c r="U10" s="30">
        <f t="shared" si="1"/>
        <v>436</v>
      </c>
      <c r="V10" s="117">
        <v>0.5</v>
      </c>
    </row>
    <row r="11" spans="1:22" x14ac:dyDescent="0.25">
      <c r="A11" s="26" t="s">
        <v>135</v>
      </c>
      <c r="B11" s="27">
        <v>45967</v>
      </c>
      <c r="C11" s="26">
        <v>617896520</v>
      </c>
      <c r="D11" s="28" t="s">
        <v>32</v>
      </c>
      <c r="E11" s="205" t="s">
        <v>25</v>
      </c>
      <c r="F11" s="16">
        <v>157.5</v>
      </c>
      <c r="G11" s="16">
        <v>150</v>
      </c>
      <c r="H11" s="222">
        <v>22.5</v>
      </c>
      <c r="I11" s="30">
        <f t="shared" si="0"/>
        <v>11.25</v>
      </c>
      <c r="J11" s="117">
        <v>0.5</v>
      </c>
      <c r="K11" s="31"/>
      <c r="L11" s="7" t="s">
        <v>276</v>
      </c>
      <c r="M11" s="32">
        <v>45976</v>
      </c>
      <c r="N11" s="118">
        <v>100000467318868</v>
      </c>
      <c r="O11" s="6" t="s">
        <v>155</v>
      </c>
      <c r="P11" s="6" t="s">
        <v>144</v>
      </c>
      <c r="Q11" s="28" t="s">
        <v>25</v>
      </c>
      <c r="R11" s="16">
        <v>200</v>
      </c>
      <c r="S11" s="16">
        <v>200</v>
      </c>
      <c r="T11" s="165">
        <v>10</v>
      </c>
      <c r="U11" s="30">
        <f t="shared" si="1"/>
        <v>5</v>
      </c>
      <c r="V11" s="117">
        <v>0.5</v>
      </c>
    </row>
    <row r="12" spans="1:22" x14ac:dyDescent="0.25">
      <c r="A12" s="26" t="s">
        <v>272</v>
      </c>
      <c r="B12" s="27">
        <v>45975</v>
      </c>
      <c r="C12" s="26">
        <v>7872802</v>
      </c>
      <c r="D12" s="28" t="s">
        <v>36</v>
      </c>
      <c r="E12" s="205" t="s">
        <v>25</v>
      </c>
      <c r="F12" s="16">
        <v>33548.81</v>
      </c>
      <c r="G12" s="16">
        <v>33548.81</v>
      </c>
      <c r="H12" s="222">
        <v>6709.76</v>
      </c>
      <c r="I12" s="30">
        <f t="shared" si="0"/>
        <v>3354.88</v>
      </c>
      <c r="J12" s="117">
        <v>0.5</v>
      </c>
      <c r="K12" s="31"/>
      <c r="L12" s="7" t="s">
        <v>278</v>
      </c>
      <c r="M12" s="233">
        <v>45982</v>
      </c>
      <c r="N12" s="234">
        <v>100000470054599</v>
      </c>
      <c r="O12" s="235" t="s">
        <v>155</v>
      </c>
      <c r="P12" s="235" t="s">
        <v>24</v>
      </c>
      <c r="Q12" s="6" t="s">
        <v>25</v>
      </c>
      <c r="R12" s="235">
        <v>9924.18</v>
      </c>
      <c r="S12" s="235">
        <v>8919.0400000000009</v>
      </c>
      <c r="T12" s="237">
        <v>892</v>
      </c>
      <c r="U12" s="30">
        <f t="shared" si="1"/>
        <v>446</v>
      </c>
      <c r="V12" s="117">
        <v>0.5</v>
      </c>
    </row>
    <row r="13" spans="1:22" x14ac:dyDescent="0.25">
      <c r="A13" s="26" t="s">
        <v>273</v>
      </c>
      <c r="B13" s="27">
        <v>45974</v>
      </c>
      <c r="C13" s="26">
        <v>619921974</v>
      </c>
      <c r="D13" s="28" t="s">
        <v>24</v>
      </c>
      <c r="E13" s="204" t="s">
        <v>25</v>
      </c>
      <c r="F13" s="16">
        <v>14067.06</v>
      </c>
      <c r="G13" s="16">
        <v>12559.88</v>
      </c>
      <c r="H13" s="222">
        <v>1255.9000000000001</v>
      </c>
      <c r="I13" s="30">
        <f t="shared" si="0"/>
        <v>627.95000000000005</v>
      </c>
      <c r="J13" s="117">
        <v>0.5</v>
      </c>
      <c r="K13" s="31"/>
      <c r="L13" s="7" t="s">
        <v>278</v>
      </c>
      <c r="M13" s="233">
        <v>45982</v>
      </c>
      <c r="N13" s="234">
        <v>100000470054599</v>
      </c>
      <c r="O13" s="235" t="s">
        <v>155</v>
      </c>
      <c r="P13" s="174" t="s">
        <v>144</v>
      </c>
      <c r="Q13" s="28" t="s">
        <v>25</v>
      </c>
      <c r="R13" s="174">
        <v>200</v>
      </c>
      <c r="S13" s="174">
        <v>200</v>
      </c>
      <c r="T13" s="174">
        <v>10</v>
      </c>
      <c r="U13" s="30">
        <f t="shared" si="1"/>
        <v>5</v>
      </c>
      <c r="V13" s="117">
        <v>0.5</v>
      </c>
    </row>
    <row r="14" spans="1:22" x14ac:dyDescent="0.25">
      <c r="A14" s="26" t="s">
        <v>273</v>
      </c>
      <c r="B14" s="27">
        <v>45974</v>
      </c>
      <c r="C14" s="26">
        <v>619885447</v>
      </c>
      <c r="D14" s="28" t="s">
        <v>29</v>
      </c>
      <c r="E14" s="204" t="s">
        <v>25</v>
      </c>
      <c r="F14" s="16">
        <v>22440.2</v>
      </c>
      <c r="G14" s="16">
        <v>21371.62</v>
      </c>
      <c r="H14" s="222">
        <v>3205.65</v>
      </c>
      <c r="I14" s="30">
        <f t="shared" si="0"/>
        <v>1602.825</v>
      </c>
      <c r="J14" s="117">
        <v>0.5</v>
      </c>
      <c r="K14" s="31"/>
      <c r="L14" s="7" t="s">
        <v>280</v>
      </c>
      <c r="M14" s="32">
        <v>45991</v>
      </c>
      <c r="N14" s="181">
        <v>100000471758596</v>
      </c>
      <c r="O14" s="6" t="s">
        <v>155</v>
      </c>
      <c r="P14" s="6" t="s">
        <v>24</v>
      </c>
      <c r="Q14" s="16" t="s">
        <v>25</v>
      </c>
      <c r="R14" s="16">
        <v>13231.87</v>
      </c>
      <c r="S14" s="16">
        <v>11891.72</v>
      </c>
      <c r="T14" s="17">
        <v>1190</v>
      </c>
      <c r="U14" s="30">
        <f t="shared" si="1"/>
        <v>595</v>
      </c>
      <c r="V14" s="117">
        <v>0.5</v>
      </c>
    </row>
    <row r="15" spans="1:22" x14ac:dyDescent="0.25">
      <c r="A15" s="26" t="s">
        <v>275</v>
      </c>
      <c r="B15" s="27">
        <v>45976</v>
      </c>
      <c r="C15" s="26">
        <v>7872890</v>
      </c>
      <c r="D15" s="28" t="s">
        <v>36</v>
      </c>
      <c r="E15" s="204" t="s">
        <v>25</v>
      </c>
      <c r="F15" s="16">
        <v>16476.7</v>
      </c>
      <c r="G15" s="16">
        <v>16476.7</v>
      </c>
      <c r="H15" s="222">
        <v>3295.34</v>
      </c>
      <c r="I15" s="30">
        <f t="shared" si="0"/>
        <v>1647.67</v>
      </c>
      <c r="J15" s="117">
        <v>0.5</v>
      </c>
      <c r="K15" s="31"/>
      <c r="L15" s="7" t="s">
        <v>280</v>
      </c>
      <c r="M15" s="32">
        <v>45991</v>
      </c>
      <c r="N15" s="181">
        <v>100000471758596</v>
      </c>
      <c r="O15" s="6" t="s">
        <v>155</v>
      </c>
      <c r="P15" s="6" t="s">
        <v>144</v>
      </c>
      <c r="Q15" s="16" t="s">
        <v>25</v>
      </c>
      <c r="R15" s="6">
        <v>200</v>
      </c>
      <c r="S15" s="6">
        <v>200</v>
      </c>
      <c r="T15" s="8">
        <v>10</v>
      </c>
      <c r="U15" s="30">
        <f t="shared" si="1"/>
        <v>5</v>
      </c>
      <c r="V15" s="117">
        <v>0.5</v>
      </c>
    </row>
    <row r="16" spans="1:22" x14ac:dyDescent="0.25">
      <c r="A16" s="204" t="s">
        <v>135</v>
      </c>
      <c r="B16" s="27">
        <v>45981</v>
      </c>
      <c r="C16" s="26">
        <v>622120863</v>
      </c>
      <c r="D16" s="28" t="s">
        <v>29</v>
      </c>
      <c r="E16" s="231" t="s">
        <v>25</v>
      </c>
      <c r="F16" s="16">
        <v>60482.47</v>
      </c>
      <c r="G16" s="16">
        <v>57602.34</v>
      </c>
      <c r="H16" s="141">
        <v>8640.2999999999993</v>
      </c>
      <c r="I16" s="30">
        <f t="shared" si="0"/>
        <v>4320.1499999999996</v>
      </c>
      <c r="J16" s="117">
        <v>0.5</v>
      </c>
      <c r="K16" s="31"/>
      <c r="L16" s="7" t="s">
        <v>281</v>
      </c>
      <c r="M16" s="32">
        <v>45986</v>
      </c>
      <c r="N16" s="118">
        <v>100000471975232</v>
      </c>
      <c r="O16" s="6" t="s">
        <v>155</v>
      </c>
      <c r="P16" s="6" t="s">
        <v>24</v>
      </c>
      <c r="Q16" s="6" t="s">
        <v>25</v>
      </c>
      <c r="R16" s="6">
        <v>7672.04</v>
      </c>
      <c r="S16" s="6">
        <v>6973.78</v>
      </c>
      <c r="T16" s="8">
        <v>698</v>
      </c>
      <c r="U16" s="30">
        <f t="shared" si="1"/>
        <v>349</v>
      </c>
      <c r="V16" s="117">
        <v>0.5</v>
      </c>
    </row>
    <row r="17" spans="1:22" x14ac:dyDescent="0.25">
      <c r="A17" s="26" t="s">
        <v>277</v>
      </c>
      <c r="B17" s="27">
        <v>45979</v>
      </c>
      <c r="C17" s="26">
        <v>621579911</v>
      </c>
      <c r="D17" s="28" t="s">
        <v>24</v>
      </c>
      <c r="E17" s="28" t="s">
        <v>25</v>
      </c>
      <c r="F17" s="16">
        <v>12749.07</v>
      </c>
      <c r="G17" s="16">
        <v>11383.1</v>
      </c>
      <c r="H17" s="141">
        <v>1138.3</v>
      </c>
      <c r="I17" s="30">
        <f t="shared" si="0"/>
        <v>569.15</v>
      </c>
      <c r="J17" s="117">
        <v>0.5</v>
      </c>
      <c r="K17" s="31"/>
      <c r="L17" s="7" t="s">
        <v>281</v>
      </c>
      <c r="M17" s="32">
        <v>45986</v>
      </c>
      <c r="N17" s="118">
        <v>100000471975232</v>
      </c>
      <c r="O17" s="6" t="s">
        <v>155</v>
      </c>
      <c r="P17" s="6" t="s">
        <v>144</v>
      </c>
      <c r="Q17" s="6" t="s">
        <v>25</v>
      </c>
      <c r="R17" s="6">
        <v>200</v>
      </c>
      <c r="S17" s="6">
        <v>200</v>
      </c>
      <c r="T17" s="8">
        <v>10</v>
      </c>
      <c r="U17" s="30">
        <f t="shared" si="1"/>
        <v>5</v>
      </c>
      <c r="V17" s="117">
        <v>0.5</v>
      </c>
    </row>
    <row r="18" spans="1:22" x14ac:dyDescent="0.25">
      <c r="A18" s="26" t="s">
        <v>277</v>
      </c>
      <c r="B18" s="27">
        <v>45979</v>
      </c>
      <c r="C18" s="26">
        <v>621353142</v>
      </c>
      <c r="D18" s="28" t="s">
        <v>29</v>
      </c>
      <c r="E18" s="28" t="s">
        <v>25</v>
      </c>
      <c r="F18" s="16">
        <v>20751.79</v>
      </c>
      <c r="G18" s="16">
        <v>19763.599999999999</v>
      </c>
      <c r="H18" s="141">
        <v>2964.45</v>
      </c>
      <c r="I18" s="30">
        <f t="shared" si="0"/>
        <v>1482.2249999999999</v>
      </c>
      <c r="J18" s="117">
        <v>0.5</v>
      </c>
      <c r="K18" s="31"/>
      <c r="L18" s="7" t="s">
        <v>282</v>
      </c>
      <c r="M18" s="32">
        <v>45990</v>
      </c>
      <c r="N18" s="118">
        <v>100000474064723</v>
      </c>
      <c r="O18" s="6" t="s">
        <v>155</v>
      </c>
      <c r="P18" s="6" t="s">
        <v>24</v>
      </c>
      <c r="Q18" s="6" t="s">
        <v>25</v>
      </c>
      <c r="R18" s="6">
        <v>13231.87</v>
      </c>
      <c r="S18" s="6">
        <v>11891.72</v>
      </c>
      <c r="T18" s="8">
        <v>1190</v>
      </c>
      <c r="U18" s="30">
        <f t="shared" si="1"/>
        <v>595</v>
      </c>
      <c r="V18" s="117">
        <v>0.5</v>
      </c>
    </row>
    <row r="19" spans="1:22" x14ac:dyDescent="0.25">
      <c r="A19" s="26" t="s">
        <v>135</v>
      </c>
      <c r="B19" s="27">
        <v>45983</v>
      </c>
      <c r="C19" s="26">
        <v>622779721</v>
      </c>
      <c r="D19" s="28" t="s">
        <v>32</v>
      </c>
      <c r="E19" s="28" t="s">
        <v>25</v>
      </c>
      <c r="F19" s="16">
        <v>1898.78</v>
      </c>
      <c r="G19" s="16">
        <v>1808.36</v>
      </c>
      <c r="H19" s="141">
        <v>271.2</v>
      </c>
      <c r="I19" s="30">
        <f t="shared" si="0"/>
        <v>135.6</v>
      </c>
      <c r="J19" s="117">
        <v>0.5</v>
      </c>
      <c r="K19" s="31"/>
      <c r="L19" s="7" t="s">
        <v>282</v>
      </c>
      <c r="M19" s="32">
        <v>45990</v>
      </c>
      <c r="N19" s="118">
        <v>100000474064723</v>
      </c>
      <c r="O19" s="6" t="s">
        <v>155</v>
      </c>
      <c r="P19" s="6" t="s">
        <v>144</v>
      </c>
      <c r="Q19" s="6" t="s">
        <v>25</v>
      </c>
      <c r="R19" s="6">
        <v>200</v>
      </c>
      <c r="S19" s="6">
        <v>200</v>
      </c>
      <c r="T19" s="8">
        <v>10</v>
      </c>
      <c r="U19" s="30">
        <f t="shared" si="1"/>
        <v>5</v>
      </c>
      <c r="V19" s="117">
        <v>0.5</v>
      </c>
    </row>
    <row r="20" spans="1:22" x14ac:dyDescent="0.25">
      <c r="A20" s="26" t="s">
        <v>279</v>
      </c>
      <c r="B20" s="27">
        <v>45985</v>
      </c>
      <c r="C20" s="26">
        <v>622511480</v>
      </c>
      <c r="D20" s="28" t="s">
        <v>24</v>
      </c>
      <c r="E20" s="28" t="s">
        <v>25</v>
      </c>
      <c r="F20" s="16">
        <v>12280.83</v>
      </c>
      <c r="G20" s="16">
        <v>10999.83</v>
      </c>
      <c r="H20" s="141">
        <v>1099.9000000000001</v>
      </c>
      <c r="I20" s="30">
        <f>H20*J20</f>
        <v>549.95000000000005</v>
      </c>
      <c r="J20" s="117">
        <v>0.5</v>
      </c>
      <c r="K20" s="31"/>
      <c r="L20" s="7"/>
      <c r="M20" s="32"/>
      <c r="N20" s="118"/>
      <c r="O20" s="6"/>
      <c r="P20" s="6"/>
      <c r="Q20" s="6"/>
      <c r="R20" s="6"/>
      <c r="S20" s="6"/>
      <c r="T20" s="8"/>
      <c r="U20" s="30">
        <f t="shared" si="1"/>
        <v>0</v>
      </c>
      <c r="V20" s="117">
        <v>0.5</v>
      </c>
    </row>
    <row r="21" spans="1:22" x14ac:dyDescent="0.25">
      <c r="A21" s="26" t="s">
        <v>135</v>
      </c>
      <c r="B21" s="27">
        <v>45988</v>
      </c>
      <c r="C21" s="26">
        <v>624376607</v>
      </c>
      <c r="D21" s="28" t="s">
        <v>32</v>
      </c>
      <c r="E21" s="28" t="s">
        <v>25</v>
      </c>
      <c r="F21" s="16">
        <v>366.34</v>
      </c>
      <c r="G21" s="16">
        <v>348.89</v>
      </c>
      <c r="H21" s="141">
        <v>52.2</v>
      </c>
      <c r="I21" s="30">
        <f t="shared" si="0"/>
        <v>26.1</v>
      </c>
      <c r="J21" s="117">
        <v>0.5</v>
      </c>
      <c r="K21" s="31"/>
      <c r="L21" s="7"/>
      <c r="M21" s="32"/>
      <c r="N21" s="118"/>
      <c r="O21" s="6"/>
      <c r="P21" s="6"/>
      <c r="Q21" s="6"/>
      <c r="R21" s="6"/>
      <c r="S21" s="6"/>
      <c r="T21" s="8"/>
      <c r="U21" s="30">
        <f t="shared" si="1"/>
        <v>0</v>
      </c>
      <c r="V21" s="117">
        <v>0.5</v>
      </c>
    </row>
    <row r="22" spans="1:22" x14ac:dyDescent="0.25">
      <c r="A22" s="26"/>
      <c r="B22" s="27"/>
      <c r="C22" s="26"/>
      <c r="D22" s="28"/>
      <c r="E22" s="28"/>
      <c r="F22" s="16"/>
      <c r="G22" s="16"/>
      <c r="H22" s="141"/>
      <c r="I22" s="30">
        <f t="shared" si="0"/>
        <v>0</v>
      </c>
      <c r="J22" s="117">
        <v>0.5</v>
      </c>
      <c r="K22" s="31"/>
      <c r="L22" s="7"/>
      <c r="M22" s="32"/>
      <c r="N22" s="118"/>
      <c r="O22" s="6"/>
      <c r="P22" s="6"/>
      <c r="Q22" s="6"/>
      <c r="R22" s="6"/>
      <c r="S22" s="6"/>
      <c r="T22" s="8"/>
      <c r="U22" s="30">
        <f t="shared" si="1"/>
        <v>0</v>
      </c>
      <c r="V22" s="117">
        <v>0.5</v>
      </c>
    </row>
    <row r="23" spans="1:22" x14ac:dyDescent="0.25">
      <c r="A23" s="26"/>
      <c r="B23" s="27"/>
      <c r="C23" s="26"/>
      <c r="D23" s="28"/>
      <c r="E23" s="28"/>
      <c r="F23" s="16"/>
      <c r="G23" s="16"/>
      <c r="H23" s="222"/>
      <c r="I23" s="30">
        <f t="shared" si="0"/>
        <v>0</v>
      </c>
      <c r="J23" s="117">
        <v>0.5</v>
      </c>
      <c r="K23" s="44"/>
      <c r="L23" s="7"/>
      <c r="M23" s="7"/>
      <c r="N23" s="118"/>
      <c r="O23" s="6"/>
      <c r="P23" s="6"/>
      <c r="Q23" s="6"/>
      <c r="R23" s="6"/>
      <c r="S23" s="6"/>
      <c r="T23" s="8"/>
      <c r="U23" s="30">
        <f t="shared" si="1"/>
        <v>0</v>
      </c>
      <c r="V23" s="117">
        <v>0.5</v>
      </c>
    </row>
    <row r="24" spans="1:22" x14ac:dyDescent="0.25">
      <c r="A24" s="26"/>
      <c r="B24" s="27"/>
      <c r="C24" s="26"/>
      <c r="D24" s="16"/>
      <c r="E24" s="28"/>
      <c r="F24" s="146"/>
      <c r="G24" s="146"/>
      <c r="H24" s="151"/>
      <c r="I24" s="30">
        <f>H24*J24</f>
        <v>0</v>
      </c>
      <c r="J24" s="117">
        <v>0.5</v>
      </c>
      <c r="K24" s="31"/>
      <c r="L24" s="197"/>
      <c r="M24" s="201"/>
      <c r="N24" s="202"/>
      <c r="O24" s="6"/>
      <c r="P24" s="6"/>
      <c r="Q24" s="6"/>
      <c r="R24" s="6"/>
      <c r="S24" s="6"/>
      <c r="T24" s="8"/>
      <c r="U24" s="30"/>
      <c r="V24" s="117"/>
    </row>
    <row r="25" spans="1:22" x14ac:dyDescent="0.25">
      <c r="A25" s="26"/>
      <c r="B25" s="27"/>
      <c r="C25" s="26"/>
      <c r="D25" s="16"/>
      <c r="E25" s="28"/>
      <c r="F25" s="146"/>
      <c r="G25" s="146"/>
      <c r="H25" s="151"/>
      <c r="I25" s="30"/>
      <c r="J25" s="117"/>
      <c r="K25" s="31"/>
      <c r="L25" s="7"/>
      <c r="M25" s="7"/>
      <c r="N25" s="118"/>
      <c r="O25" s="6"/>
      <c r="P25" s="6"/>
      <c r="Q25" s="6"/>
      <c r="R25" s="6"/>
      <c r="S25" s="6"/>
      <c r="T25" s="8"/>
      <c r="U25" s="30"/>
      <c r="V25" s="117"/>
    </row>
    <row r="26" spans="1:22" x14ac:dyDescent="0.25">
      <c r="A26" s="7"/>
      <c r="B26" s="32"/>
      <c r="C26" s="7"/>
      <c r="D26" s="6"/>
      <c r="E26" s="16"/>
      <c r="F26" s="52"/>
      <c r="G26" s="16" t="s">
        <v>15</v>
      </c>
      <c r="H26" s="16"/>
      <c r="I26" s="22">
        <f>SUM(I6:I23)</f>
        <v>17069.75</v>
      </c>
      <c r="J26" s="22"/>
      <c r="K26" s="31"/>
      <c r="L26" s="7"/>
      <c r="M26" s="7"/>
      <c r="N26" s="118"/>
      <c r="O26" s="6"/>
      <c r="P26" s="6"/>
      <c r="Q26" s="6"/>
      <c r="R26" s="6"/>
      <c r="S26" s="6" t="s">
        <v>15</v>
      </c>
      <c r="T26" s="8"/>
      <c r="U26" s="116">
        <f>SUM(U6:U23)</f>
        <v>12375</v>
      </c>
      <c r="V26" s="171"/>
    </row>
    <row r="27" spans="1:22" x14ac:dyDescent="0.25">
      <c r="A27" s="7"/>
      <c r="B27" s="32"/>
      <c r="C27" s="7"/>
      <c r="D27" s="6"/>
      <c r="E27" s="6"/>
      <c r="F27" s="6"/>
      <c r="G27" s="6"/>
      <c r="H27" s="6"/>
      <c r="I27" s="6"/>
      <c r="J27" s="6"/>
      <c r="K27" s="31"/>
      <c r="L27" s="7"/>
      <c r="M27" s="7"/>
      <c r="N27" s="118"/>
      <c r="O27" s="6"/>
      <c r="P27" s="6"/>
      <c r="Q27" s="6"/>
      <c r="R27" s="6"/>
      <c r="S27" s="43"/>
      <c r="T27" s="51"/>
      <c r="U27" s="8"/>
      <c r="V27" s="75"/>
    </row>
    <row r="28" spans="1:22" x14ac:dyDescent="0.25">
      <c r="A28" s="7"/>
      <c r="B28" s="32"/>
      <c r="C28" s="7"/>
      <c r="D28" s="6"/>
      <c r="E28" s="6"/>
      <c r="F28" s="6"/>
      <c r="G28" s="6"/>
      <c r="H28" s="6"/>
      <c r="I28" s="6"/>
      <c r="J28" s="6"/>
      <c r="K28" s="31"/>
      <c r="L28" s="7"/>
      <c r="M28" s="7"/>
      <c r="N28" s="118"/>
      <c r="O28" s="6"/>
      <c r="P28" s="6"/>
      <c r="Q28" s="6"/>
      <c r="R28" s="6"/>
      <c r="S28" s="43"/>
      <c r="T28" s="51"/>
      <c r="U28" s="8"/>
      <c r="V28" s="75"/>
    </row>
    <row r="29" spans="1:22" x14ac:dyDescent="0.25">
      <c r="A29" s="53" t="s">
        <v>145</v>
      </c>
      <c r="B29" s="54"/>
      <c r="C29" s="55"/>
      <c r="D29" s="55">
        <f>I5</f>
        <v>0</v>
      </c>
      <c r="E29" s="16"/>
      <c r="F29" s="16"/>
      <c r="G29" s="16"/>
      <c r="H29" s="16"/>
      <c r="I29" s="16"/>
      <c r="J29" s="16"/>
      <c r="K29" s="12"/>
      <c r="L29" s="53" t="s">
        <v>146</v>
      </c>
      <c r="M29" s="54"/>
      <c r="N29" s="182"/>
      <c r="O29" s="21">
        <f>U5</f>
        <v>2254.1799999999998</v>
      </c>
      <c r="P29" s="6"/>
      <c r="Q29" s="6"/>
      <c r="R29" s="6"/>
      <c r="S29" s="43"/>
      <c r="T29" s="32"/>
      <c r="U29" s="8"/>
      <c r="V29" s="75"/>
    </row>
    <row r="30" spans="1:22" x14ac:dyDescent="0.25">
      <c r="A30" s="56" t="s">
        <v>17</v>
      </c>
      <c r="B30" s="57"/>
      <c r="C30" s="58"/>
      <c r="D30" s="153">
        <f>I26</f>
        <v>17069.75</v>
      </c>
      <c r="E30" s="16"/>
      <c r="F30" s="16"/>
      <c r="G30" s="16"/>
      <c r="H30" s="16"/>
      <c r="I30" s="16"/>
      <c r="J30" s="16"/>
      <c r="K30" s="12"/>
      <c r="L30" s="56" t="s">
        <v>18</v>
      </c>
      <c r="M30" s="57"/>
      <c r="N30" s="183"/>
      <c r="O30" s="80">
        <f>U26</f>
        <v>12375</v>
      </c>
      <c r="P30" s="6"/>
      <c r="Q30" s="6"/>
      <c r="R30" s="6"/>
      <c r="S30" s="6"/>
      <c r="T30" s="8"/>
      <c r="U30" s="9"/>
      <c r="V30" s="75"/>
    </row>
    <row r="31" spans="1:22" x14ac:dyDescent="0.25">
      <c r="A31" s="60" t="s">
        <v>19</v>
      </c>
      <c r="B31" s="60"/>
      <c r="C31" s="61"/>
      <c r="D31" s="154"/>
      <c r="E31" s="6"/>
      <c r="F31" s="6"/>
      <c r="G31" s="6"/>
      <c r="H31" s="6"/>
      <c r="I31" s="6"/>
      <c r="J31" s="6"/>
      <c r="K31" s="31"/>
      <c r="L31" s="60" t="s">
        <v>20</v>
      </c>
      <c r="M31" s="62"/>
      <c r="N31" s="184"/>
      <c r="O31" s="80"/>
      <c r="P31" s="6"/>
      <c r="Q31" s="6"/>
      <c r="R31" s="6"/>
      <c r="S31" s="6"/>
      <c r="T31" s="8"/>
      <c r="U31" s="9"/>
      <c r="V31" s="75"/>
    </row>
    <row r="32" spans="1:22" x14ac:dyDescent="0.25">
      <c r="A32" s="60"/>
      <c r="B32" s="60"/>
      <c r="C32" s="61"/>
      <c r="D32" s="154"/>
      <c r="E32" s="6"/>
      <c r="F32" s="6"/>
      <c r="G32" s="6"/>
      <c r="H32" s="6"/>
      <c r="I32" s="6"/>
      <c r="J32" s="6"/>
      <c r="K32" s="31"/>
      <c r="L32" s="60" t="s">
        <v>128</v>
      </c>
      <c r="M32" s="62"/>
      <c r="N32" s="184"/>
      <c r="O32" s="80"/>
      <c r="P32" s="6"/>
      <c r="Q32" s="6"/>
      <c r="R32" s="6"/>
      <c r="S32" s="6"/>
      <c r="T32" s="8"/>
      <c r="U32" s="9"/>
      <c r="V32" s="75"/>
    </row>
    <row r="33" spans="1:22" x14ac:dyDescent="0.25">
      <c r="A33" s="60"/>
      <c r="B33" s="63"/>
      <c r="C33" s="61"/>
      <c r="D33" s="155"/>
      <c r="E33" s="6"/>
      <c r="F33" s="6"/>
      <c r="G33" s="6"/>
      <c r="H33" s="6"/>
      <c r="I33" s="6"/>
      <c r="J33" s="6"/>
      <c r="K33" s="31"/>
      <c r="L33" s="60" t="s">
        <v>250</v>
      </c>
      <c r="M33" s="63"/>
      <c r="N33" s="184"/>
      <c r="O33" s="155"/>
      <c r="P33" s="6"/>
      <c r="Q33" s="6"/>
      <c r="R33" s="6"/>
      <c r="S33" s="6"/>
      <c r="T33" s="8"/>
      <c r="U33" s="9"/>
      <c r="V33" s="75"/>
    </row>
    <row r="34" spans="1:22" x14ac:dyDescent="0.25">
      <c r="A34" s="60" t="s">
        <v>291</v>
      </c>
      <c r="B34" s="64"/>
      <c r="C34" s="65"/>
      <c r="D34" s="154">
        <v>442</v>
      </c>
      <c r="E34" s="6"/>
      <c r="F34" s="6"/>
      <c r="G34" s="6"/>
      <c r="H34" s="6"/>
      <c r="I34" s="6"/>
      <c r="J34" s="6"/>
      <c r="K34" s="31"/>
      <c r="L34" s="60" t="s">
        <v>292</v>
      </c>
      <c r="M34" s="62"/>
      <c r="N34" s="184"/>
      <c r="O34" s="80">
        <v>11.17</v>
      </c>
      <c r="P34" s="6"/>
      <c r="Q34" s="7"/>
      <c r="R34" s="7"/>
      <c r="S34" s="7"/>
      <c r="T34" s="8"/>
      <c r="U34" s="9"/>
      <c r="V34" s="75"/>
    </row>
    <row r="35" spans="1:22" x14ac:dyDescent="0.25">
      <c r="A35" s="60"/>
      <c r="B35" s="66"/>
      <c r="C35" s="67"/>
      <c r="D35" s="84"/>
      <c r="E35" s="6"/>
      <c r="F35" s="6"/>
      <c r="G35" s="6"/>
      <c r="H35" s="6"/>
      <c r="I35" s="6"/>
      <c r="J35" s="6"/>
      <c r="K35" s="157"/>
      <c r="L35" s="60"/>
      <c r="M35" s="63"/>
      <c r="N35" s="184"/>
      <c r="O35" s="155"/>
      <c r="P35" s="6"/>
      <c r="Q35" s="7"/>
      <c r="R35" s="7"/>
      <c r="S35" s="7"/>
      <c r="T35" s="8"/>
      <c r="U35" s="9"/>
      <c r="V35" s="75"/>
    </row>
    <row r="36" spans="1:22" x14ac:dyDescent="0.25">
      <c r="A36" s="68"/>
      <c r="B36" s="66"/>
      <c r="C36" s="67"/>
      <c r="D36" s="86"/>
      <c r="E36" s="6"/>
      <c r="F36" s="6"/>
      <c r="G36" s="6"/>
      <c r="H36" s="6"/>
      <c r="I36" s="6"/>
      <c r="J36" s="6"/>
      <c r="K36" s="157"/>
      <c r="L36" s="60"/>
      <c r="M36" s="63"/>
      <c r="N36" s="184"/>
      <c r="O36" s="155"/>
      <c r="P36" s="6"/>
      <c r="Q36" s="7"/>
      <c r="R36" s="7"/>
      <c r="S36" s="7"/>
      <c r="T36" s="8"/>
      <c r="U36" s="9"/>
      <c r="V36" s="75"/>
    </row>
    <row r="37" spans="1:22" x14ac:dyDescent="0.25">
      <c r="A37" s="68"/>
      <c r="B37" s="64" t="s">
        <v>15</v>
      </c>
      <c r="C37" s="65"/>
      <c r="D37" s="86">
        <f>D29+D30+D34</f>
        <v>17511.75</v>
      </c>
      <c r="E37" s="6"/>
      <c r="F37" s="6"/>
      <c r="G37" s="166"/>
      <c r="H37" s="166"/>
      <c r="I37" s="166"/>
      <c r="J37" s="6"/>
      <c r="K37" s="31"/>
      <c r="L37" s="60"/>
      <c r="M37" s="64" t="s">
        <v>15</v>
      </c>
      <c r="N37" s="185"/>
      <c r="O37" s="71">
        <f>O29+O30+O31+O32+O33+O34+O35</f>
        <v>14640.35</v>
      </c>
      <c r="P37" s="6"/>
      <c r="Q37" s="7"/>
      <c r="R37" s="166"/>
      <c r="S37" s="166"/>
      <c r="T37" s="166"/>
      <c r="U37" s="9"/>
      <c r="V37" s="75"/>
    </row>
    <row r="38" spans="1:22" x14ac:dyDescent="0.25">
      <c r="A38" s="75"/>
      <c r="B38" s="75"/>
      <c r="C38" s="75"/>
      <c r="D38" s="75"/>
      <c r="E38" s="75"/>
      <c r="F38" s="75"/>
      <c r="G38" s="167" t="s">
        <v>21</v>
      </c>
      <c r="H38" s="168"/>
      <c r="I38" s="169">
        <f>D37-O37</f>
        <v>2871.3999999999996</v>
      </c>
      <c r="J38" s="75"/>
      <c r="K38" s="31"/>
      <c r="L38" s="75"/>
      <c r="M38" s="75"/>
      <c r="N38" s="187"/>
      <c r="O38" s="75"/>
      <c r="P38" s="75"/>
      <c r="Q38" s="75"/>
      <c r="R38" s="167"/>
      <c r="S38" s="168"/>
      <c r="T38" s="169"/>
      <c r="U38" s="75"/>
      <c r="V38" s="75"/>
    </row>
    <row r="39" spans="1:22" x14ac:dyDescent="0.25">
      <c r="A39" s="75"/>
      <c r="B39" s="75"/>
      <c r="C39" s="75"/>
      <c r="D39" s="75"/>
      <c r="E39" s="75"/>
      <c r="F39" s="75"/>
      <c r="G39" s="168"/>
      <c r="H39" s="168"/>
      <c r="I39" s="168"/>
      <c r="J39" s="75"/>
      <c r="K39" s="31"/>
      <c r="L39" s="75"/>
      <c r="M39" s="75"/>
      <c r="N39" s="187"/>
      <c r="O39" s="75"/>
      <c r="P39" s="75"/>
      <c r="Q39" s="75"/>
      <c r="R39" s="168"/>
      <c r="S39" s="168"/>
      <c r="T39" s="168"/>
      <c r="U39" s="75"/>
      <c r="V39" s="75"/>
    </row>
    <row r="40" spans="1:22" x14ac:dyDescent="0.25">
      <c r="A40" s="75"/>
      <c r="B40" s="75"/>
      <c r="C40" s="75"/>
      <c r="D40" s="75"/>
      <c r="E40" s="75"/>
      <c r="F40" s="75"/>
      <c r="G40" s="168"/>
      <c r="H40" s="168"/>
      <c r="I40" s="168"/>
      <c r="J40" s="75"/>
      <c r="K40" s="31"/>
      <c r="L40" s="75"/>
      <c r="M40" s="75"/>
      <c r="N40" s="187"/>
      <c r="O40" s="75"/>
      <c r="P40" s="75"/>
      <c r="Q40" s="75"/>
      <c r="R40" s="168"/>
      <c r="S40" s="168"/>
      <c r="T40" s="168"/>
      <c r="U40" s="75"/>
      <c r="V40" s="75"/>
    </row>
  </sheetData>
  <conditionalFormatting sqref="A16">
    <cfRule type="cellIs" dxfId="58" priority="7" operator="equal">
      <formula>"K.KART"</formula>
    </cfRule>
  </conditionalFormatting>
  <conditionalFormatting sqref="C1:C5 D6:D25 F6:F25 D26:F28">
    <cfRule type="cellIs" dxfId="57" priority="29" operator="equal">
      <formula>15698.2</formula>
    </cfRule>
    <cfRule type="cellIs" dxfId="56" priority="30" operator="equal">
      <formula>"kapalı"</formula>
    </cfRule>
  </conditionalFormatting>
  <conditionalFormatting sqref="E6:E25 G6:G25 Q14:R36">
    <cfRule type="cellIs" dxfId="55" priority="5" operator="equal">
      <formula>"K.KART"</formula>
    </cfRule>
  </conditionalFormatting>
  <conditionalFormatting sqref="E29:F29 D30:F32 E33:F33 D34:F37">
    <cfRule type="cellIs" dxfId="54" priority="22" operator="equal">
      <formula>15698.2</formula>
    </cfRule>
    <cfRule type="cellIs" dxfId="53" priority="23" operator="equal">
      <formula>"kapalı"</formula>
    </cfRule>
  </conditionalFormatting>
  <conditionalFormatting sqref="G26:H37 D33 Q37:S37">
    <cfRule type="cellIs" dxfId="52" priority="18" operator="equal">
      <formula>"K.KART"</formula>
    </cfRule>
  </conditionalFormatting>
  <conditionalFormatting sqref="N29">
    <cfRule type="cellIs" dxfId="51" priority="21" operator="equal">
      <formula>"K.KART"</formula>
    </cfRule>
  </conditionalFormatting>
  <conditionalFormatting sqref="N4:O4">
    <cfRule type="cellIs" dxfId="50" priority="24" operator="equal">
      <formula>15698.2</formula>
    </cfRule>
    <cfRule type="cellIs" dxfId="49" priority="25" operator="equal">
      <formula>"kapalı"</formula>
    </cfRule>
  </conditionalFormatting>
  <conditionalFormatting sqref="N13:O13">
    <cfRule type="cellIs" dxfId="48" priority="1" operator="equal">
      <formula>"KAPALI"</formula>
    </cfRule>
    <cfRule type="cellIs" dxfId="47" priority="2" operator="equal">
      <formula>"açık"</formula>
    </cfRule>
  </conditionalFormatting>
  <conditionalFormatting sqref="N1:P3 N5:P5 N24:P28 O29:P29 P30:P37">
    <cfRule type="cellIs" dxfId="46" priority="32" operator="equal">
      <formula>15698.2</formula>
    </cfRule>
  </conditionalFormatting>
  <conditionalFormatting sqref="N1:P3 N5:P5 N24:P28">
    <cfRule type="cellIs" dxfId="45" priority="27" operator="equal">
      <formula>"KAPALI"</formula>
    </cfRule>
    <cfRule type="cellIs" dxfId="44" priority="28" operator="equal">
      <formula>"açık"</formula>
    </cfRule>
  </conditionalFormatting>
  <conditionalFormatting sqref="N12:P12">
    <cfRule type="cellIs" dxfId="43" priority="14" operator="equal">
      <formula>"KAPALI"</formula>
    </cfRule>
    <cfRule type="cellIs" dxfId="42" priority="15" operator="equal">
      <formula>"açık"</formula>
    </cfRule>
  </conditionalFormatting>
  <conditionalFormatting sqref="O33">
    <cfRule type="cellIs" dxfId="41" priority="17" operator="equal">
      <formula>"K.KART"</formula>
    </cfRule>
  </conditionalFormatting>
  <conditionalFormatting sqref="O35:O36">
    <cfRule type="cellIs" dxfId="40" priority="6" operator="equal">
      <formula>"K.KART"</formula>
    </cfRule>
  </conditionalFormatting>
  <conditionalFormatting sqref="O6:P23 N12:N13">
    <cfRule type="cellIs" dxfId="39" priority="13" operator="equal">
      <formula>15698.2</formula>
    </cfRule>
  </conditionalFormatting>
  <conditionalFormatting sqref="O6:P23">
    <cfRule type="cellIs" dxfId="38" priority="11" operator="equal">
      <formula>"kapalı"</formula>
    </cfRule>
  </conditionalFormatting>
  <conditionalFormatting sqref="O29:P29 P30:P37">
    <cfRule type="cellIs" dxfId="37" priority="19" operator="equal">
      <formula>"KAPALI"</formula>
    </cfRule>
    <cfRule type="cellIs" dxfId="36" priority="20" operator="equal">
      <formula>"açık"</formula>
    </cfRule>
  </conditionalFormatting>
  <conditionalFormatting sqref="P4:U4">
    <cfRule type="cellIs" dxfId="35" priority="26" operator="equal">
      <formula>"K.KART"</formula>
    </cfRule>
  </conditionalFormatting>
  <conditionalFormatting sqref="Q6:Q13">
    <cfRule type="cellIs" dxfId="34" priority="12" operator="equal">
      <formula>"K.KART"</formula>
    </cfRule>
  </conditionalFormatting>
  <conditionalFormatting sqref="Q13">
    <cfRule type="cellIs" dxfId="33" priority="9" operator="equal">
      <formula>15698.2</formula>
    </cfRule>
    <cfRule type="cellIs" dxfId="32" priority="10" operator="equal">
      <formula>"kapalı"</formula>
    </cfRule>
  </conditionalFormatting>
  <conditionalFormatting sqref="Q1:R3 D1:H5">
    <cfRule type="cellIs" dxfId="31" priority="31" operator="equal">
      <formula>"K.KART"</formula>
    </cfRule>
  </conditionalFormatting>
  <conditionalFormatting sqref="Q5:R11">
    <cfRule type="cellIs" dxfId="30" priority="16" operator="equal">
      <formula>"K.KART"</formula>
    </cfRule>
  </conditionalFormatting>
  <conditionalFormatting sqref="R12:S13">
    <cfRule type="cellIs" dxfId="29" priority="8" operator="equal">
      <formula>"K.KART"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10F65-E3E3-44AF-BF6B-9559C778C47D}">
  <dimension ref="A1:V46"/>
  <sheetViews>
    <sheetView tabSelected="1" topLeftCell="B4" workbookViewId="0">
      <selection activeCell="L13" sqref="L13"/>
    </sheetView>
  </sheetViews>
  <sheetFormatPr defaultRowHeight="15" x14ac:dyDescent="0.25"/>
  <cols>
    <col min="1" max="1" width="21.85546875" customWidth="1"/>
    <col min="2" max="2" width="12.42578125" customWidth="1"/>
    <col min="3" max="3" width="13" customWidth="1"/>
    <col min="4" max="4" width="10.5703125" customWidth="1"/>
    <col min="5" max="5" width="9.5703125" customWidth="1"/>
    <col min="6" max="6" width="12.42578125" customWidth="1"/>
    <col min="7" max="7" width="12" customWidth="1"/>
    <col min="8" max="8" width="11.140625" customWidth="1"/>
    <col min="9" max="9" width="12.140625" customWidth="1"/>
    <col min="10" max="10" width="6" customWidth="1"/>
    <col min="11" max="11" width="2.140625" customWidth="1"/>
    <col min="12" max="12" width="18" customWidth="1"/>
    <col min="13" max="13" width="11.28515625" customWidth="1"/>
    <col min="14" max="14" width="16.42578125" customWidth="1"/>
    <col min="15" max="15" width="10.5703125" customWidth="1"/>
    <col min="17" max="17" width="9.5703125" customWidth="1"/>
    <col min="18" max="18" width="12" customWidth="1"/>
    <col min="19" max="19" width="11.5703125" customWidth="1"/>
    <col min="20" max="20" width="11.28515625" customWidth="1"/>
    <col min="21" max="21" width="10.28515625" customWidth="1"/>
    <col min="22" max="22" width="5.140625" customWidth="1"/>
  </cols>
  <sheetData>
    <row r="1" spans="1:22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3"/>
      <c r="L1" s="1"/>
      <c r="M1" s="1"/>
      <c r="N1" s="175"/>
      <c r="O1" s="2"/>
      <c r="P1" s="2"/>
      <c r="Q1" s="2"/>
      <c r="R1" s="2"/>
      <c r="S1" s="2"/>
      <c r="T1" s="4"/>
      <c r="U1" s="5"/>
    </row>
    <row r="2" spans="1:22" x14ac:dyDescent="0.25">
      <c r="A2" s="10" t="s">
        <v>0</v>
      </c>
      <c r="B2" s="10"/>
      <c r="C2" s="11"/>
      <c r="D2" s="11"/>
      <c r="E2" s="11"/>
      <c r="F2" s="11"/>
      <c r="G2" s="11"/>
      <c r="H2" s="11"/>
      <c r="I2" s="11"/>
      <c r="J2" s="11"/>
      <c r="K2" s="12"/>
      <c r="L2" s="10" t="s">
        <v>1</v>
      </c>
      <c r="M2" s="10"/>
      <c r="N2" s="176"/>
      <c r="O2" s="11"/>
      <c r="P2" s="11"/>
      <c r="Q2" s="11"/>
      <c r="R2" s="11"/>
      <c r="S2" s="11"/>
      <c r="T2" s="13"/>
      <c r="U2" s="14"/>
      <c r="V2" s="11"/>
    </row>
    <row r="3" spans="1:22" x14ac:dyDescent="0.25">
      <c r="A3" s="15" t="s">
        <v>283</v>
      </c>
      <c r="B3" s="15">
        <v>2025</v>
      </c>
      <c r="C3" s="16"/>
      <c r="D3" s="16"/>
      <c r="E3" s="16"/>
      <c r="F3" s="16"/>
      <c r="G3" s="16"/>
      <c r="H3" s="16"/>
      <c r="I3" s="16"/>
      <c r="J3" s="16"/>
      <c r="K3" s="12"/>
      <c r="L3" s="15" t="s">
        <v>283</v>
      </c>
      <c r="M3" s="15">
        <v>2025</v>
      </c>
      <c r="N3" s="177"/>
      <c r="O3" s="16"/>
      <c r="P3" s="16"/>
      <c r="Q3" s="16"/>
      <c r="R3" s="16"/>
      <c r="S3" s="16"/>
      <c r="T3" s="17"/>
      <c r="U3" s="18"/>
      <c r="V3" s="16"/>
    </row>
    <row r="4" spans="1:22" ht="36" x14ac:dyDescent="0.25">
      <c r="A4" s="90" t="s">
        <v>2</v>
      </c>
      <c r="B4" s="90" t="s">
        <v>3</v>
      </c>
      <c r="C4" s="91" t="s">
        <v>4</v>
      </c>
      <c r="D4" s="91" t="s">
        <v>5</v>
      </c>
      <c r="E4" s="91" t="s">
        <v>6</v>
      </c>
      <c r="F4" s="91" t="s">
        <v>7</v>
      </c>
      <c r="G4" s="91" t="s">
        <v>8</v>
      </c>
      <c r="H4" s="92" t="s">
        <v>9</v>
      </c>
      <c r="I4" s="91" t="s">
        <v>10</v>
      </c>
      <c r="J4" s="91" t="s">
        <v>45</v>
      </c>
      <c r="K4" s="12"/>
      <c r="L4" s="90" t="s">
        <v>2</v>
      </c>
      <c r="M4" s="90" t="s">
        <v>3</v>
      </c>
      <c r="N4" s="178" t="s">
        <v>4</v>
      </c>
      <c r="O4" s="91" t="s">
        <v>11</v>
      </c>
      <c r="P4" s="91" t="s">
        <v>5</v>
      </c>
      <c r="Q4" s="91" t="s">
        <v>6</v>
      </c>
      <c r="R4" s="91" t="s">
        <v>7</v>
      </c>
      <c r="S4" s="91" t="s">
        <v>8</v>
      </c>
      <c r="T4" s="92" t="s">
        <v>12</v>
      </c>
      <c r="U4" s="92" t="s">
        <v>13</v>
      </c>
      <c r="V4" s="91" t="s">
        <v>45</v>
      </c>
    </row>
    <row r="5" spans="1:22" x14ac:dyDescent="0.25">
      <c r="A5" s="195" t="s">
        <v>14</v>
      </c>
      <c r="B5" s="195"/>
      <c r="C5" s="22"/>
      <c r="D5" s="22"/>
      <c r="E5" s="22"/>
      <c r="F5" s="22"/>
      <c r="G5" s="22"/>
      <c r="H5" s="55"/>
      <c r="I5" s="22">
        <v>2871.4</v>
      </c>
      <c r="J5" s="21"/>
      <c r="K5" s="19"/>
      <c r="L5" s="24" t="s">
        <v>14</v>
      </c>
      <c r="M5" s="20"/>
      <c r="N5" s="179"/>
      <c r="O5" s="21"/>
      <c r="P5" s="21"/>
      <c r="Q5" s="21"/>
      <c r="R5" s="22"/>
      <c r="S5" s="21"/>
      <c r="T5" s="23"/>
      <c r="U5" s="25"/>
      <c r="V5" s="21"/>
    </row>
    <row r="6" spans="1:22" x14ac:dyDescent="0.25">
      <c r="A6" s="26" t="s">
        <v>285</v>
      </c>
      <c r="B6" s="27">
        <v>46002</v>
      </c>
      <c r="C6" s="26">
        <v>625358769</v>
      </c>
      <c r="D6" s="28" t="s">
        <v>29</v>
      </c>
      <c r="E6" s="236" t="s">
        <v>25</v>
      </c>
      <c r="F6" s="16">
        <v>13737.54</v>
      </c>
      <c r="G6" s="16">
        <v>13083.36</v>
      </c>
      <c r="H6" s="222"/>
      <c r="I6" s="30">
        <f t="shared" ref="I6:I23" si="0">H6*J6</f>
        <v>0</v>
      </c>
      <c r="J6" s="117">
        <v>0.5</v>
      </c>
      <c r="K6" s="31"/>
      <c r="L6" s="7" t="s">
        <v>284</v>
      </c>
      <c r="M6" s="32">
        <v>45992</v>
      </c>
      <c r="N6" s="118">
        <v>100000474272548</v>
      </c>
      <c r="O6" s="6" t="s">
        <v>155</v>
      </c>
      <c r="P6" s="6" t="s">
        <v>24</v>
      </c>
      <c r="Q6" s="28" t="s">
        <v>25</v>
      </c>
      <c r="R6" s="6">
        <v>16663.080000000002</v>
      </c>
      <c r="S6" s="6">
        <v>14975.41</v>
      </c>
      <c r="T6" s="29"/>
      <c r="U6" s="30">
        <f t="shared" ref="U6:U23" si="1">T6*V6</f>
        <v>0</v>
      </c>
      <c r="V6" s="117">
        <v>0.5</v>
      </c>
    </row>
    <row r="7" spans="1:22" x14ac:dyDescent="0.25">
      <c r="A7" s="26" t="s">
        <v>286</v>
      </c>
      <c r="B7" s="27">
        <v>45992</v>
      </c>
      <c r="C7" s="26">
        <v>625527420</v>
      </c>
      <c r="D7" s="28" t="s">
        <v>24</v>
      </c>
      <c r="E7" s="204" t="s">
        <v>25</v>
      </c>
      <c r="F7" s="16">
        <v>11813.02</v>
      </c>
      <c r="G7" s="16">
        <v>10547.33</v>
      </c>
      <c r="H7" s="222"/>
      <c r="I7" s="30">
        <f t="shared" si="0"/>
        <v>0</v>
      </c>
      <c r="J7" s="117">
        <v>0.5</v>
      </c>
      <c r="K7" s="31"/>
      <c r="L7" s="7" t="s">
        <v>284</v>
      </c>
      <c r="M7" s="32">
        <v>45992</v>
      </c>
      <c r="N7" s="118">
        <v>100000474272548</v>
      </c>
      <c r="O7" s="6" t="s">
        <v>155</v>
      </c>
      <c r="P7" s="6" t="s">
        <v>144</v>
      </c>
      <c r="Q7" s="28" t="s">
        <v>25</v>
      </c>
      <c r="R7" s="6">
        <v>200</v>
      </c>
      <c r="S7" s="6">
        <v>200</v>
      </c>
      <c r="T7" s="29"/>
      <c r="U7" s="30">
        <f t="shared" si="1"/>
        <v>0</v>
      </c>
      <c r="V7" s="117">
        <v>0.5</v>
      </c>
    </row>
    <row r="8" spans="1:22" x14ac:dyDescent="0.25">
      <c r="A8" s="26" t="s">
        <v>287</v>
      </c>
      <c r="B8" s="27">
        <v>45996</v>
      </c>
      <c r="C8" s="26">
        <v>624884132</v>
      </c>
      <c r="D8" s="28" t="s">
        <v>24</v>
      </c>
      <c r="E8" s="204" t="s">
        <v>25</v>
      </c>
      <c r="F8" s="16">
        <v>6776.98</v>
      </c>
      <c r="G8" s="16">
        <v>6050.89</v>
      </c>
      <c r="H8" s="222"/>
      <c r="I8" s="30">
        <f t="shared" si="0"/>
        <v>0</v>
      </c>
      <c r="J8" s="117">
        <v>0.5</v>
      </c>
      <c r="K8" s="31"/>
      <c r="L8" s="7" t="s">
        <v>305</v>
      </c>
      <c r="M8" s="32">
        <v>46021</v>
      </c>
      <c r="N8" s="118">
        <v>307000205055833</v>
      </c>
      <c r="O8" s="6" t="s">
        <v>230</v>
      </c>
      <c r="P8" s="6" t="s">
        <v>29</v>
      </c>
      <c r="Q8" s="28" t="s">
        <v>25</v>
      </c>
      <c r="R8" s="6">
        <v>16798.150000000001</v>
      </c>
      <c r="S8" s="6">
        <v>15998.24</v>
      </c>
      <c r="T8" s="29"/>
      <c r="U8" s="30">
        <f t="shared" si="1"/>
        <v>0</v>
      </c>
      <c r="V8" s="117">
        <v>0.5</v>
      </c>
    </row>
    <row r="9" spans="1:22" x14ac:dyDescent="0.25">
      <c r="A9" s="26" t="s">
        <v>288</v>
      </c>
      <c r="B9" s="27">
        <v>46003</v>
      </c>
      <c r="C9" s="26">
        <v>628094943</v>
      </c>
      <c r="D9" s="28" t="s">
        <v>24</v>
      </c>
      <c r="E9" s="204" t="s">
        <v>25</v>
      </c>
      <c r="F9" s="16">
        <v>15060.12</v>
      </c>
      <c r="G9" s="16">
        <v>13446.54</v>
      </c>
      <c r="H9" s="222"/>
      <c r="I9" s="30">
        <f t="shared" si="0"/>
        <v>0</v>
      </c>
      <c r="J9" s="117">
        <v>0.5</v>
      </c>
      <c r="K9" s="31"/>
      <c r="L9" s="7" t="s">
        <v>306</v>
      </c>
      <c r="M9" s="32">
        <v>46021</v>
      </c>
      <c r="N9" s="118">
        <v>100000492486546</v>
      </c>
      <c r="O9" s="6" t="s">
        <v>155</v>
      </c>
      <c r="P9" s="6" t="s">
        <v>24</v>
      </c>
      <c r="Q9" s="28" t="s">
        <v>25</v>
      </c>
      <c r="R9" s="6">
        <v>12732.73</v>
      </c>
      <c r="S9" s="6">
        <v>11443.13</v>
      </c>
      <c r="T9" s="29"/>
      <c r="U9" s="30">
        <f t="shared" si="1"/>
        <v>0</v>
      </c>
      <c r="V9" s="117">
        <v>0.5</v>
      </c>
    </row>
    <row r="10" spans="1:22" x14ac:dyDescent="0.25">
      <c r="A10" s="26" t="s">
        <v>289</v>
      </c>
      <c r="B10" s="27">
        <v>46000</v>
      </c>
      <c r="C10" s="26">
        <v>627914754</v>
      </c>
      <c r="D10" s="28" t="s">
        <v>24</v>
      </c>
      <c r="E10" s="204" t="s">
        <v>25</v>
      </c>
      <c r="F10" s="16">
        <v>15060.12</v>
      </c>
      <c r="G10" s="16">
        <v>13446.54</v>
      </c>
      <c r="H10" s="222"/>
      <c r="I10" s="30">
        <f t="shared" si="0"/>
        <v>0</v>
      </c>
      <c r="J10" s="117">
        <v>0.5</v>
      </c>
      <c r="K10" s="31"/>
      <c r="L10" s="7" t="s">
        <v>306</v>
      </c>
      <c r="M10" s="32">
        <v>46021</v>
      </c>
      <c r="N10" s="118">
        <v>100000492486546</v>
      </c>
      <c r="O10" s="6" t="s">
        <v>155</v>
      </c>
      <c r="P10" s="6" t="s">
        <v>144</v>
      </c>
      <c r="Q10" s="28" t="s">
        <v>25</v>
      </c>
      <c r="R10" s="6">
        <v>200</v>
      </c>
      <c r="S10" s="6">
        <v>200</v>
      </c>
      <c r="T10" s="29"/>
      <c r="U10" s="30">
        <f t="shared" si="1"/>
        <v>0</v>
      </c>
      <c r="V10" s="117">
        <v>0.5</v>
      </c>
    </row>
    <row r="11" spans="1:22" x14ac:dyDescent="0.25">
      <c r="A11" s="26" t="s">
        <v>290</v>
      </c>
      <c r="B11" s="27">
        <v>45996</v>
      </c>
      <c r="C11" s="26">
        <v>627258825</v>
      </c>
      <c r="D11" s="28" t="s">
        <v>24</v>
      </c>
      <c r="E11" s="205" t="s">
        <v>25</v>
      </c>
      <c r="F11" s="16">
        <v>13464.26</v>
      </c>
      <c r="G11" s="16">
        <v>12021.65</v>
      </c>
      <c r="H11" s="222"/>
      <c r="I11" s="30">
        <f t="shared" si="0"/>
        <v>0</v>
      </c>
      <c r="J11" s="117">
        <v>0.5</v>
      </c>
      <c r="K11" s="31"/>
      <c r="L11" s="7" t="s">
        <v>307</v>
      </c>
      <c r="M11" s="32">
        <v>46022</v>
      </c>
      <c r="N11" s="118">
        <v>100000492971677</v>
      </c>
      <c r="O11" s="6" t="s">
        <v>155</v>
      </c>
      <c r="P11" s="6" t="s">
        <v>24</v>
      </c>
      <c r="Q11" s="28" t="s">
        <v>25</v>
      </c>
      <c r="R11" s="16">
        <v>69681.09</v>
      </c>
      <c r="S11" s="16">
        <v>62615.74</v>
      </c>
      <c r="T11" s="165"/>
      <c r="U11" s="30">
        <f t="shared" si="1"/>
        <v>0</v>
      </c>
      <c r="V11" s="117">
        <v>0.5</v>
      </c>
    </row>
    <row r="12" spans="1:22" x14ac:dyDescent="0.25">
      <c r="A12" s="26" t="s">
        <v>287</v>
      </c>
      <c r="B12" s="27">
        <v>45996</v>
      </c>
      <c r="C12" s="26">
        <v>627058495</v>
      </c>
      <c r="D12" s="28" t="s">
        <v>29</v>
      </c>
      <c r="E12" s="205" t="s">
        <v>25</v>
      </c>
      <c r="F12" s="16">
        <v>20192.22</v>
      </c>
      <c r="G12" s="16">
        <v>19230.689999999999</v>
      </c>
      <c r="H12" s="222"/>
      <c r="I12" s="30">
        <f t="shared" si="0"/>
        <v>0</v>
      </c>
      <c r="J12" s="117">
        <v>0.5</v>
      </c>
      <c r="K12" s="31"/>
      <c r="L12" s="7" t="s">
        <v>307</v>
      </c>
      <c r="M12" s="32">
        <v>46022</v>
      </c>
      <c r="N12" s="118">
        <v>100000492971677</v>
      </c>
      <c r="O12" s="6" t="s">
        <v>155</v>
      </c>
      <c r="P12" s="235" t="s">
        <v>144</v>
      </c>
      <c r="Q12" s="6" t="s">
        <v>25</v>
      </c>
      <c r="R12" s="235">
        <v>200</v>
      </c>
      <c r="S12" s="235">
        <v>200</v>
      </c>
      <c r="T12" s="232"/>
      <c r="U12" s="30">
        <f t="shared" si="1"/>
        <v>0</v>
      </c>
      <c r="V12" s="117">
        <v>0.5</v>
      </c>
    </row>
    <row r="13" spans="1:22" x14ac:dyDescent="0.25">
      <c r="A13" s="26" t="s">
        <v>135</v>
      </c>
      <c r="B13" s="27">
        <v>46001</v>
      </c>
      <c r="C13" s="26">
        <v>628599795</v>
      </c>
      <c r="D13" s="28" t="s">
        <v>32</v>
      </c>
      <c r="E13" s="204" t="s">
        <v>25</v>
      </c>
      <c r="F13" s="16">
        <v>8418.34</v>
      </c>
      <c r="G13" s="16">
        <v>8017.46</v>
      </c>
      <c r="H13" s="222"/>
      <c r="I13" s="30">
        <f t="shared" si="0"/>
        <v>0</v>
      </c>
      <c r="J13" s="117">
        <v>0.5</v>
      </c>
      <c r="K13" s="31"/>
      <c r="L13" s="7"/>
      <c r="M13" s="233"/>
      <c r="N13" s="234"/>
      <c r="O13" s="235"/>
      <c r="P13" s="174"/>
      <c r="Q13" s="28"/>
      <c r="R13" s="174"/>
      <c r="S13" s="174"/>
      <c r="T13" s="174"/>
      <c r="U13" s="30">
        <f t="shared" si="1"/>
        <v>0</v>
      </c>
      <c r="V13" s="117">
        <v>0.5</v>
      </c>
    </row>
    <row r="14" spans="1:22" x14ac:dyDescent="0.25">
      <c r="A14" s="26" t="s">
        <v>135</v>
      </c>
      <c r="B14" s="27">
        <v>46003</v>
      </c>
      <c r="C14" s="26">
        <v>629619293</v>
      </c>
      <c r="D14" s="28" t="s">
        <v>32</v>
      </c>
      <c r="E14" s="204" t="s">
        <v>25</v>
      </c>
      <c r="F14" s="16">
        <v>512.51</v>
      </c>
      <c r="G14" s="16">
        <v>488.1</v>
      </c>
      <c r="H14" s="222"/>
      <c r="I14" s="30">
        <f t="shared" si="0"/>
        <v>0</v>
      </c>
      <c r="J14" s="117">
        <v>0.5</v>
      </c>
      <c r="K14" s="31"/>
      <c r="L14" s="7"/>
      <c r="M14" s="32"/>
      <c r="N14" s="181"/>
      <c r="O14" s="6"/>
      <c r="P14" s="6"/>
      <c r="Q14" s="16"/>
      <c r="R14" s="16"/>
      <c r="S14" s="16"/>
      <c r="T14" s="17"/>
      <c r="U14" s="30">
        <f t="shared" si="1"/>
        <v>0</v>
      </c>
      <c r="V14" s="117">
        <v>0.5</v>
      </c>
    </row>
    <row r="15" spans="1:22" x14ac:dyDescent="0.25">
      <c r="A15" s="26" t="s">
        <v>135</v>
      </c>
      <c r="B15" s="27">
        <v>46004</v>
      </c>
      <c r="C15" s="26">
        <v>629827242</v>
      </c>
      <c r="D15" s="28" t="s">
        <v>32</v>
      </c>
      <c r="E15" s="204" t="s">
        <v>25</v>
      </c>
      <c r="F15" s="16">
        <v>3631.22</v>
      </c>
      <c r="G15" s="16">
        <v>3458.31</v>
      </c>
      <c r="H15" s="222"/>
      <c r="I15" s="30">
        <f t="shared" si="0"/>
        <v>0</v>
      </c>
      <c r="J15" s="117">
        <v>0.5</v>
      </c>
      <c r="K15" s="31"/>
      <c r="L15" s="7"/>
      <c r="M15" s="32"/>
      <c r="N15" s="181"/>
      <c r="O15" s="6"/>
      <c r="P15" s="6"/>
      <c r="Q15" s="16"/>
      <c r="R15" s="6"/>
      <c r="S15" s="6"/>
      <c r="T15" s="8"/>
      <c r="U15" s="30">
        <f t="shared" si="1"/>
        <v>0</v>
      </c>
      <c r="V15" s="117">
        <v>0.5</v>
      </c>
    </row>
    <row r="16" spans="1:22" x14ac:dyDescent="0.25">
      <c r="A16" s="26" t="s">
        <v>135</v>
      </c>
      <c r="B16" s="27">
        <v>46009</v>
      </c>
      <c r="C16" s="26">
        <v>631635535</v>
      </c>
      <c r="D16" s="28" t="s">
        <v>32</v>
      </c>
      <c r="E16" s="204" t="s">
        <v>25</v>
      </c>
      <c r="F16" s="16">
        <v>3919.48</v>
      </c>
      <c r="G16" s="16">
        <v>3732.84</v>
      </c>
      <c r="H16" s="141"/>
      <c r="I16" s="30">
        <f t="shared" si="0"/>
        <v>0</v>
      </c>
      <c r="J16" s="117">
        <v>0.5</v>
      </c>
      <c r="K16" s="31"/>
      <c r="L16" s="7"/>
      <c r="M16" s="32"/>
      <c r="N16" s="118"/>
      <c r="O16" s="6"/>
      <c r="P16" s="6"/>
      <c r="Q16" s="6"/>
      <c r="R16" s="6"/>
      <c r="S16" s="6"/>
      <c r="T16" s="8"/>
      <c r="U16" s="30">
        <f t="shared" si="1"/>
        <v>0</v>
      </c>
      <c r="V16" s="117">
        <v>0.5</v>
      </c>
    </row>
    <row r="17" spans="1:22" x14ac:dyDescent="0.25">
      <c r="A17" s="26" t="s">
        <v>135</v>
      </c>
      <c r="B17" s="27">
        <v>46009</v>
      </c>
      <c r="C17" s="26">
        <v>631898535</v>
      </c>
      <c r="D17" s="28" t="s">
        <v>32</v>
      </c>
      <c r="E17" s="204" t="s">
        <v>25</v>
      </c>
      <c r="F17" s="16">
        <v>1220.99</v>
      </c>
      <c r="G17" s="16">
        <v>1162.8499999999999</v>
      </c>
      <c r="H17" s="141"/>
      <c r="I17" s="30">
        <f t="shared" si="0"/>
        <v>0</v>
      </c>
      <c r="J17" s="117">
        <v>0.5</v>
      </c>
      <c r="K17" s="31"/>
      <c r="L17" s="7"/>
      <c r="M17" s="32"/>
      <c r="N17" s="118"/>
      <c r="O17" s="6"/>
      <c r="P17" s="6"/>
      <c r="Q17" s="6"/>
      <c r="R17" s="6"/>
      <c r="S17" s="6"/>
      <c r="T17" s="8"/>
      <c r="U17" s="30">
        <f t="shared" si="1"/>
        <v>0</v>
      </c>
      <c r="V17" s="117">
        <v>0.5</v>
      </c>
    </row>
    <row r="18" spans="1:22" x14ac:dyDescent="0.25">
      <c r="A18" s="26" t="s">
        <v>293</v>
      </c>
      <c r="B18" s="27">
        <v>46014</v>
      </c>
      <c r="C18" s="26">
        <v>633651571</v>
      </c>
      <c r="D18" s="28" t="s">
        <v>24</v>
      </c>
      <c r="E18" s="28" t="s">
        <v>25</v>
      </c>
      <c r="F18" s="16">
        <v>13464.28</v>
      </c>
      <c r="G18" s="16">
        <v>12021.67</v>
      </c>
      <c r="H18" s="141"/>
      <c r="I18" s="30">
        <f t="shared" si="0"/>
        <v>0</v>
      </c>
      <c r="J18" s="117">
        <v>0.5</v>
      </c>
      <c r="K18" s="31"/>
      <c r="L18" s="7"/>
      <c r="M18" s="32"/>
      <c r="N18" s="118"/>
      <c r="O18" s="6"/>
      <c r="P18" s="6"/>
      <c r="Q18" s="6"/>
      <c r="R18" s="6"/>
      <c r="S18" s="6"/>
      <c r="T18" s="8"/>
      <c r="U18" s="30">
        <f t="shared" si="1"/>
        <v>0</v>
      </c>
      <c r="V18" s="117">
        <v>0.5</v>
      </c>
    </row>
    <row r="19" spans="1:22" x14ac:dyDescent="0.25">
      <c r="A19" s="26" t="s">
        <v>294</v>
      </c>
      <c r="B19" s="27">
        <v>46016</v>
      </c>
      <c r="C19" s="26">
        <v>633011445</v>
      </c>
      <c r="D19" s="28" t="s">
        <v>24</v>
      </c>
      <c r="E19" s="28" t="s">
        <v>25</v>
      </c>
      <c r="F19" s="16">
        <v>9036.0400000000009</v>
      </c>
      <c r="G19" s="16">
        <v>8067.88</v>
      </c>
      <c r="H19" s="141"/>
      <c r="I19" s="30">
        <f t="shared" si="0"/>
        <v>0</v>
      </c>
      <c r="J19" s="117">
        <v>0.5</v>
      </c>
      <c r="K19" s="31"/>
      <c r="L19" s="7"/>
      <c r="M19" s="32"/>
      <c r="N19" s="118"/>
      <c r="O19" s="6"/>
      <c r="P19" s="6"/>
      <c r="Q19" s="6"/>
      <c r="R19" s="6"/>
      <c r="S19" s="6"/>
      <c r="T19" s="8"/>
      <c r="U19" s="30">
        <f t="shared" si="1"/>
        <v>0</v>
      </c>
      <c r="V19" s="117">
        <v>0.5</v>
      </c>
    </row>
    <row r="20" spans="1:22" x14ac:dyDescent="0.25">
      <c r="A20" s="26" t="s">
        <v>295</v>
      </c>
      <c r="B20" s="27">
        <v>46010</v>
      </c>
      <c r="C20" s="26">
        <v>631364838</v>
      </c>
      <c r="D20" s="28" t="s">
        <v>24</v>
      </c>
      <c r="E20" s="28" t="s">
        <v>25</v>
      </c>
      <c r="F20" s="16">
        <v>14307.12</v>
      </c>
      <c r="G20" s="16">
        <v>12774.22</v>
      </c>
      <c r="H20" s="141"/>
      <c r="I20" s="30">
        <f>H20*J20</f>
        <v>0</v>
      </c>
      <c r="J20" s="117">
        <v>0.5</v>
      </c>
      <c r="K20" s="31"/>
      <c r="L20" s="7"/>
      <c r="M20" s="32"/>
      <c r="N20" s="118"/>
      <c r="O20" s="6"/>
      <c r="P20" s="6"/>
      <c r="Q20" s="6"/>
      <c r="R20" s="6"/>
      <c r="S20" s="6"/>
      <c r="T20" s="8"/>
      <c r="U20" s="30">
        <f t="shared" si="1"/>
        <v>0</v>
      </c>
      <c r="V20" s="117">
        <v>0.5</v>
      </c>
    </row>
    <row r="21" spans="1:22" x14ac:dyDescent="0.25">
      <c r="A21" s="26" t="s">
        <v>296</v>
      </c>
      <c r="B21" s="27">
        <v>46017</v>
      </c>
      <c r="C21" s="26">
        <v>630916648</v>
      </c>
      <c r="D21" s="28" t="s">
        <v>24</v>
      </c>
      <c r="E21" s="28" t="s">
        <v>25</v>
      </c>
      <c r="F21" s="16">
        <v>14307.11</v>
      </c>
      <c r="G21" s="16">
        <v>12774.21</v>
      </c>
      <c r="H21" s="141"/>
      <c r="I21" s="30">
        <f t="shared" si="0"/>
        <v>0</v>
      </c>
      <c r="J21" s="117">
        <v>0.5</v>
      </c>
      <c r="K21" s="31"/>
      <c r="L21" s="7"/>
      <c r="M21" s="32"/>
      <c r="N21" s="118"/>
      <c r="O21" s="6"/>
      <c r="P21" s="6"/>
      <c r="Q21" s="6"/>
      <c r="R21" s="6"/>
      <c r="S21" s="6"/>
      <c r="T21" s="8"/>
      <c r="U21" s="30">
        <f t="shared" si="1"/>
        <v>0</v>
      </c>
      <c r="V21" s="117">
        <v>0.5</v>
      </c>
    </row>
    <row r="22" spans="1:22" x14ac:dyDescent="0.25">
      <c r="A22" s="26" t="s">
        <v>297</v>
      </c>
      <c r="B22" s="27">
        <v>46009</v>
      </c>
      <c r="C22" s="26">
        <v>630721547</v>
      </c>
      <c r="D22" s="28" t="s">
        <v>24</v>
      </c>
      <c r="E22" s="28" t="s">
        <v>25</v>
      </c>
      <c r="F22" s="16">
        <v>10587.11</v>
      </c>
      <c r="G22" s="16">
        <v>9452.77</v>
      </c>
      <c r="H22" s="141"/>
      <c r="I22" s="30">
        <f t="shared" si="0"/>
        <v>0</v>
      </c>
      <c r="J22" s="117">
        <v>0.5</v>
      </c>
      <c r="K22" s="31"/>
      <c r="L22" s="7"/>
      <c r="M22" s="32"/>
      <c r="N22" s="118"/>
      <c r="O22" s="6"/>
      <c r="P22" s="6"/>
      <c r="Q22" s="6"/>
      <c r="R22" s="6"/>
      <c r="S22" s="6"/>
      <c r="T22" s="8"/>
      <c r="U22" s="30">
        <f t="shared" si="1"/>
        <v>0</v>
      </c>
      <c r="V22" s="117">
        <v>0.5</v>
      </c>
    </row>
    <row r="23" spans="1:22" x14ac:dyDescent="0.25">
      <c r="A23" s="26" t="s">
        <v>298</v>
      </c>
      <c r="B23" s="27">
        <v>46006</v>
      </c>
      <c r="C23" s="26">
        <v>630489903</v>
      </c>
      <c r="D23" s="28" t="s">
        <v>24</v>
      </c>
      <c r="E23" s="28" t="s">
        <v>25</v>
      </c>
      <c r="F23" s="16">
        <v>21427.200000000001</v>
      </c>
      <c r="G23" s="16">
        <v>19131.43</v>
      </c>
      <c r="H23" s="222"/>
      <c r="I23" s="30">
        <f t="shared" si="0"/>
        <v>0</v>
      </c>
      <c r="J23" s="117">
        <v>0.5</v>
      </c>
      <c r="K23" s="44"/>
      <c r="L23" s="7"/>
      <c r="M23" s="7"/>
      <c r="N23" s="118"/>
      <c r="O23" s="6"/>
      <c r="P23" s="6"/>
      <c r="Q23" s="6"/>
      <c r="R23" s="6"/>
      <c r="S23" s="6"/>
      <c r="T23" s="8"/>
      <c r="U23" s="30">
        <f t="shared" si="1"/>
        <v>0</v>
      </c>
      <c r="V23" s="117">
        <v>0.5</v>
      </c>
    </row>
    <row r="24" spans="1:22" x14ac:dyDescent="0.25">
      <c r="A24" s="26" t="s">
        <v>299</v>
      </c>
      <c r="B24" s="27">
        <v>46007</v>
      </c>
      <c r="C24" s="26">
        <v>629610382</v>
      </c>
      <c r="D24" s="16" t="s">
        <v>24</v>
      </c>
      <c r="E24" s="28" t="s">
        <v>25</v>
      </c>
      <c r="F24" s="146">
        <v>15751.05</v>
      </c>
      <c r="G24" s="146">
        <v>14063.43</v>
      </c>
      <c r="H24" s="151"/>
      <c r="I24" s="30">
        <f>H24*J24</f>
        <v>0</v>
      </c>
      <c r="J24" s="117">
        <v>0.5</v>
      </c>
      <c r="K24" s="31"/>
      <c r="L24" s="7"/>
      <c r="M24" s="7"/>
      <c r="N24" s="118"/>
      <c r="O24" s="6"/>
      <c r="P24" s="6"/>
      <c r="Q24" s="6"/>
      <c r="R24" s="6"/>
      <c r="S24" s="6"/>
      <c r="T24" s="8"/>
      <c r="U24" s="30"/>
      <c r="V24" s="117"/>
    </row>
    <row r="25" spans="1:22" x14ac:dyDescent="0.25">
      <c r="A25" s="26" t="s">
        <v>300</v>
      </c>
      <c r="B25" s="27">
        <v>46007</v>
      </c>
      <c r="C25" s="26">
        <v>629579156</v>
      </c>
      <c r="D25" s="16" t="s">
        <v>24</v>
      </c>
      <c r="E25" s="28" t="s">
        <v>25</v>
      </c>
      <c r="F25" s="146">
        <v>13902.05</v>
      </c>
      <c r="G25" s="146">
        <v>12412.54</v>
      </c>
      <c r="H25" s="151"/>
      <c r="I25" s="30">
        <f t="shared" ref="I25:I31" si="2">H25*J25</f>
        <v>0</v>
      </c>
      <c r="J25" s="117">
        <v>0.5</v>
      </c>
      <c r="K25" s="31"/>
      <c r="L25" s="7"/>
      <c r="M25" s="7"/>
      <c r="N25" s="118"/>
      <c r="O25" s="6"/>
      <c r="P25" s="6"/>
      <c r="Q25" s="6"/>
      <c r="R25" s="6"/>
      <c r="S25" s="6"/>
      <c r="T25" s="8"/>
      <c r="U25" s="30"/>
      <c r="V25" s="117"/>
    </row>
    <row r="26" spans="1:22" x14ac:dyDescent="0.25">
      <c r="A26" s="26" t="s">
        <v>301</v>
      </c>
      <c r="B26" s="27">
        <v>46007</v>
      </c>
      <c r="C26" s="26">
        <v>630371775</v>
      </c>
      <c r="D26" s="16" t="s">
        <v>24</v>
      </c>
      <c r="E26" s="28" t="s">
        <v>25</v>
      </c>
      <c r="F26" s="146">
        <v>9844.07</v>
      </c>
      <c r="G26" s="146">
        <v>8789.34</v>
      </c>
      <c r="H26" s="151"/>
      <c r="I26" s="30">
        <f t="shared" si="2"/>
        <v>0</v>
      </c>
      <c r="J26" s="117">
        <v>0.5</v>
      </c>
      <c r="K26" s="31"/>
      <c r="L26" s="7"/>
      <c r="M26" s="7"/>
      <c r="N26" s="118"/>
      <c r="O26" s="6"/>
      <c r="P26" s="6"/>
      <c r="Q26" s="6"/>
      <c r="R26" s="6"/>
      <c r="S26" s="6"/>
      <c r="T26" s="8"/>
      <c r="U26" s="30"/>
      <c r="V26" s="117"/>
    </row>
    <row r="27" spans="1:22" x14ac:dyDescent="0.25">
      <c r="A27" s="26" t="s">
        <v>302</v>
      </c>
      <c r="B27" s="27">
        <v>46005</v>
      </c>
      <c r="C27" s="26">
        <v>628626572</v>
      </c>
      <c r="D27" s="16" t="s">
        <v>24</v>
      </c>
      <c r="E27" s="28" t="s">
        <v>25</v>
      </c>
      <c r="F27" s="146">
        <v>11813.01</v>
      </c>
      <c r="G27" s="146">
        <v>10547.32</v>
      </c>
      <c r="H27" s="151"/>
      <c r="I27" s="30">
        <f t="shared" si="2"/>
        <v>0</v>
      </c>
      <c r="J27" s="117">
        <v>0.5</v>
      </c>
      <c r="K27" s="31"/>
      <c r="L27" s="7"/>
      <c r="M27" s="7"/>
      <c r="N27" s="118"/>
      <c r="O27" s="6"/>
      <c r="P27" s="6"/>
      <c r="Q27" s="6"/>
      <c r="R27" s="6"/>
      <c r="S27" s="6"/>
      <c r="T27" s="8"/>
      <c r="U27" s="30"/>
      <c r="V27" s="117"/>
    </row>
    <row r="28" spans="1:22" x14ac:dyDescent="0.25">
      <c r="A28" s="26" t="s">
        <v>303</v>
      </c>
      <c r="B28" s="27">
        <v>46005</v>
      </c>
      <c r="C28" s="26">
        <v>628614958</v>
      </c>
      <c r="D28" s="16" t="s">
        <v>24</v>
      </c>
      <c r="E28" s="28" t="s">
        <v>25</v>
      </c>
      <c r="F28" s="146">
        <v>9036.0400000000009</v>
      </c>
      <c r="G28" s="146">
        <v>8067.88</v>
      </c>
      <c r="H28" s="151"/>
      <c r="I28" s="30">
        <f t="shared" si="2"/>
        <v>0</v>
      </c>
      <c r="J28" s="117">
        <v>0.5</v>
      </c>
      <c r="K28" s="31"/>
      <c r="L28" s="7"/>
      <c r="M28" s="7"/>
      <c r="N28" s="118"/>
      <c r="O28" s="6"/>
      <c r="P28" s="6"/>
      <c r="Q28" s="6"/>
      <c r="R28" s="6"/>
      <c r="S28" s="6"/>
      <c r="T28" s="8"/>
      <c r="U28" s="30"/>
      <c r="V28" s="117"/>
    </row>
    <row r="29" spans="1:22" x14ac:dyDescent="0.25">
      <c r="A29" s="26" t="s">
        <v>304</v>
      </c>
      <c r="B29" s="27">
        <v>46021</v>
      </c>
      <c r="C29" s="26">
        <v>636249876</v>
      </c>
      <c r="D29" s="16" t="s">
        <v>29</v>
      </c>
      <c r="E29" s="28" t="s">
        <v>25</v>
      </c>
      <c r="F29" s="146">
        <v>16549.580000000002</v>
      </c>
      <c r="G29" s="146">
        <v>14776.42</v>
      </c>
      <c r="H29" s="151"/>
      <c r="I29" s="30">
        <f t="shared" si="2"/>
        <v>0</v>
      </c>
      <c r="J29" s="117">
        <v>0.5</v>
      </c>
      <c r="K29" s="31"/>
      <c r="L29" s="7"/>
      <c r="M29" s="7"/>
      <c r="N29" s="118"/>
      <c r="O29" s="6"/>
      <c r="P29" s="6"/>
      <c r="Q29" s="6"/>
      <c r="R29" s="6"/>
      <c r="S29" s="6"/>
      <c r="T29" s="8"/>
      <c r="U29" s="30"/>
      <c r="V29" s="117"/>
    </row>
    <row r="30" spans="1:22" x14ac:dyDescent="0.25">
      <c r="A30" s="26"/>
      <c r="B30" s="27"/>
      <c r="C30" s="26"/>
      <c r="D30" s="16"/>
      <c r="E30" s="28"/>
      <c r="F30" s="146"/>
      <c r="G30" s="146"/>
      <c r="H30" s="151"/>
      <c r="I30" s="30">
        <f t="shared" si="2"/>
        <v>0</v>
      </c>
      <c r="J30" s="117">
        <v>0.5</v>
      </c>
      <c r="K30" s="31"/>
      <c r="L30" s="7"/>
      <c r="M30" s="7"/>
      <c r="N30" s="118"/>
      <c r="O30" s="6"/>
      <c r="P30" s="6"/>
      <c r="Q30" s="6"/>
      <c r="R30" s="6"/>
      <c r="S30" s="6"/>
      <c r="T30" s="8"/>
      <c r="U30" s="30"/>
      <c r="V30" s="117"/>
    </row>
    <row r="31" spans="1:22" x14ac:dyDescent="0.25">
      <c r="A31" s="26"/>
      <c r="B31" s="27"/>
      <c r="C31" s="26"/>
      <c r="D31" s="16"/>
      <c r="E31" s="28"/>
      <c r="F31" s="146"/>
      <c r="G31" s="146"/>
      <c r="H31" s="151"/>
      <c r="I31" s="30">
        <f t="shared" si="2"/>
        <v>0</v>
      </c>
      <c r="J31" s="117">
        <v>0.5</v>
      </c>
      <c r="K31" s="31"/>
      <c r="L31" s="7"/>
      <c r="M31" s="7"/>
      <c r="N31" s="118"/>
      <c r="O31" s="6"/>
      <c r="P31" s="6"/>
      <c r="Q31" s="6"/>
      <c r="R31" s="6"/>
      <c r="S31" s="6"/>
      <c r="T31" s="8"/>
      <c r="U31" s="30"/>
      <c r="V31" s="117"/>
    </row>
    <row r="32" spans="1:22" x14ac:dyDescent="0.25">
      <c r="A32" s="7"/>
      <c r="B32" s="32"/>
      <c r="C32" s="7"/>
      <c r="D32" s="6"/>
      <c r="E32" s="16"/>
      <c r="F32" s="52"/>
      <c r="G32" s="16" t="s">
        <v>15</v>
      </c>
      <c r="H32" s="16"/>
      <c r="I32" s="22">
        <f>SUM(I6:I23)</f>
        <v>0</v>
      </c>
      <c r="J32" s="22"/>
      <c r="K32" s="31"/>
      <c r="L32" s="7"/>
      <c r="M32" s="7"/>
      <c r="N32" s="118"/>
      <c r="O32" s="6"/>
      <c r="P32" s="6"/>
      <c r="Q32" s="6"/>
      <c r="R32" s="6"/>
      <c r="S32" s="6" t="s">
        <v>15</v>
      </c>
      <c r="T32" s="8"/>
      <c r="U32" s="116">
        <f>SUM(U6:U23)</f>
        <v>0</v>
      </c>
      <c r="V32" s="171"/>
    </row>
    <row r="33" spans="1:22" x14ac:dyDescent="0.25">
      <c r="A33" s="7"/>
      <c r="B33" s="32"/>
      <c r="C33" s="7"/>
      <c r="D33" s="6"/>
      <c r="E33" s="6"/>
      <c r="F33" s="6"/>
      <c r="G33" s="6"/>
      <c r="H33" s="6"/>
      <c r="I33" s="6"/>
      <c r="J33" s="6"/>
      <c r="K33" s="31"/>
      <c r="L33" s="7"/>
      <c r="M33" s="7"/>
      <c r="N33" s="118"/>
      <c r="O33" s="6"/>
      <c r="P33" s="6"/>
      <c r="Q33" s="6"/>
      <c r="R33" s="6"/>
      <c r="S33" s="43"/>
      <c r="T33" s="51"/>
      <c r="U33" s="8"/>
      <c r="V33" s="75"/>
    </row>
    <row r="34" spans="1:22" x14ac:dyDescent="0.25">
      <c r="A34" s="7"/>
      <c r="B34" s="32"/>
      <c r="C34" s="7"/>
      <c r="D34" s="6"/>
      <c r="E34" s="6"/>
      <c r="F34" s="6"/>
      <c r="G34" s="6"/>
      <c r="H34" s="6"/>
      <c r="I34" s="6"/>
      <c r="J34" s="6"/>
      <c r="K34" s="31"/>
      <c r="L34" s="7"/>
      <c r="M34" s="7"/>
      <c r="N34" s="118"/>
      <c r="O34" s="6"/>
      <c r="P34" s="6"/>
      <c r="Q34" s="6"/>
      <c r="R34" s="6"/>
      <c r="S34" s="43"/>
      <c r="T34" s="51"/>
      <c r="U34" s="8"/>
      <c r="V34" s="75"/>
    </row>
    <row r="35" spans="1:22" x14ac:dyDescent="0.25">
      <c r="A35" s="53" t="s">
        <v>145</v>
      </c>
      <c r="B35" s="54"/>
      <c r="C35" s="55"/>
      <c r="D35" s="55">
        <f>I5</f>
        <v>2871.4</v>
      </c>
      <c r="E35" s="16"/>
      <c r="F35" s="16"/>
      <c r="G35" s="16"/>
      <c r="H35" s="16"/>
      <c r="I35" s="16"/>
      <c r="J35" s="16"/>
      <c r="K35" s="12"/>
      <c r="L35" s="53" t="s">
        <v>146</v>
      </c>
      <c r="M35" s="54"/>
      <c r="N35" s="182"/>
      <c r="O35" s="21">
        <f>U5</f>
        <v>0</v>
      </c>
      <c r="P35" s="6"/>
      <c r="Q35" s="6"/>
      <c r="R35" s="6"/>
      <c r="S35" s="43"/>
      <c r="T35" s="32"/>
      <c r="U35" s="8"/>
      <c r="V35" s="75"/>
    </row>
    <row r="36" spans="1:22" x14ac:dyDescent="0.25">
      <c r="A36" s="56" t="s">
        <v>17</v>
      </c>
      <c r="B36" s="57"/>
      <c r="C36" s="58"/>
      <c r="D36" s="153">
        <f>I32</f>
        <v>0</v>
      </c>
      <c r="E36" s="16"/>
      <c r="F36" s="16"/>
      <c r="G36" s="16"/>
      <c r="H36" s="16"/>
      <c r="I36" s="16"/>
      <c r="J36" s="16"/>
      <c r="K36" s="12"/>
      <c r="L36" s="56" t="s">
        <v>18</v>
      </c>
      <c r="M36" s="57"/>
      <c r="N36" s="183"/>
      <c r="O36" s="80">
        <f>U32</f>
        <v>0</v>
      </c>
      <c r="P36" s="6"/>
      <c r="Q36" s="6"/>
      <c r="R36" s="6"/>
      <c r="S36" s="6"/>
      <c r="T36" s="8"/>
      <c r="U36" s="9"/>
      <c r="V36" s="75"/>
    </row>
    <row r="37" spans="1:22" x14ac:dyDescent="0.25">
      <c r="A37" s="60" t="s">
        <v>19</v>
      </c>
      <c r="B37" s="60"/>
      <c r="C37" s="61"/>
      <c r="D37" s="154"/>
      <c r="E37" s="6"/>
      <c r="F37" s="6"/>
      <c r="G37" s="6"/>
      <c r="H37" s="6"/>
      <c r="I37" s="6"/>
      <c r="J37" s="6"/>
      <c r="K37" s="31"/>
      <c r="L37" s="60" t="s">
        <v>20</v>
      </c>
      <c r="M37" s="62"/>
      <c r="N37" s="184"/>
      <c r="O37" s="80"/>
      <c r="P37" s="6"/>
      <c r="Q37" s="6"/>
      <c r="R37" s="6"/>
      <c r="S37" s="6"/>
      <c r="T37" s="8"/>
      <c r="U37" s="9"/>
      <c r="V37" s="75"/>
    </row>
    <row r="38" spans="1:22" x14ac:dyDescent="0.25">
      <c r="A38" s="60"/>
      <c r="B38" s="60"/>
      <c r="C38" s="61"/>
      <c r="D38" s="154"/>
      <c r="E38" s="6"/>
      <c r="F38" s="6"/>
      <c r="G38" s="6"/>
      <c r="H38" s="6"/>
      <c r="I38" s="6"/>
      <c r="J38" s="6"/>
      <c r="K38" s="31"/>
      <c r="L38" s="60" t="s">
        <v>128</v>
      </c>
      <c r="M38" s="62"/>
      <c r="N38" s="184"/>
      <c r="O38" s="80"/>
      <c r="P38" s="6"/>
      <c r="Q38" s="6"/>
      <c r="R38" s="6"/>
      <c r="S38" s="6"/>
      <c r="T38" s="8"/>
      <c r="U38" s="9"/>
      <c r="V38" s="75"/>
    </row>
    <row r="39" spans="1:22" x14ac:dyDescent="0.25">
      <c r="A39" s="60"/>
      <c r="B39" s="63"/>
      <c r="C39" s="61"/>
      <c r="D39" s="155"/>
      <c r="E39" s="6"/>
      <c r="F39" s="6"/>
      <c r="G39" s="6"/>
      <c r="H39" s="6"/>
      <c r="I39" s="6"/>
      <c r="J39" s="6"/>
      <c r="K39" s="31"/>
      <c r="L39" s="60" t="s">
        <v>250</v>
      </c>
      <c r="M39" s="63"/>
      <c r="N39" s="184"/>
      <c r="O39" s="155">
        <v>0</v>
      </c>
      <c r="P39" s="6"/>
      <c r="Q39" s="6"/>
      <c r="R39" s="6"/>
      <c r="S39" s="6"/>
      <c r="T39" s="8"/>
      <c r="U39" s="9"/>
      <c r="V39" s="75"/>
    </row>
    <row r="40" spans="1:22" x14ac:dyDescent="0.25">
      <c r="A40" s="60"/>
      <c r="B40" s="64"/>
      <c r="C40" s="65"/>
      <c r="D40" s="154"/>
      <c r="E40" s="6"/>
      <c r="F40" s="6"/>
      <c r="G40" s="6"/>
      <c r="H40" s="6"/>
      <c r="I40" s="6"/>
      <c r="J40" s="6"/>
      <c r="K40" s="31"/>
      <c r="L40" s="60"/>
      <c r="M40" s="62"/>
      <c r="N40" s="184"/>
      <c r="O40" s="80"/>
      <c r="P40" s="6"/>
      <c r="Q40" s="7"/>
      <c r="R40" s="7"/>
      <c r="S40" s="7"/>
      <c r="T40" s="8"/>
      <c r="U40" s="9"/>
      <c r="V40" s="75"/>
    </row>
    <row r="41" spans="1:22" x14ac:dyDescent="0.25">
      <c r="A41" s="60"/>
      <c r="B41" s="66"/>
      <c r="C41" s="67"/>
      <c r="D41" s="84"/>
      <c r="E41" s="6"/>
      <c r="F41" s="6"/>
      <c r="G41" s="6"/>
      <c r="H41" s="6"/>
      <c r="I41" s="6"/>
      <c r="J41" s="6"/>
      <c r="K41" s="157"/>
      <c r="L41" s="60"/>
      <c r="M41" s="63"/>
      <c r="N41" s="184"/>
      <c r="O41" s="155"/>
      <c r="P41" s="6"/>
      <c r="Q41" s="7"/>
      <c r="R41" s="7"/>
      <c r="S41" s="7"/>
      <c r="T41" s="8"/>
      <c r="U41" s="9"/>
      <c r="V41" s="75"/>
    </row>
    <row r="42" spans="1:22" x14ac:dyDescent="0.25">
      <c r="A42" s="68"/>
      <c r="B42" s="66"/>
      <c r="C42" s="67"/>
      <c r="D42" s="86"/>
      <c r="E42" s="6"/>
      <c r="F42" s="6"/>
      <c r="G42" s="6"/>
      <c r="H42" s="6"/>
      <c r="I42" s="6"/>
      <c r="J42" s="6"/>
      <c r="K42" s="157"/>
      <c r="L42" s="60"/>
      <c r="M42" s="63"/>
      <c r="N42" s="184"/>
      <c r="O42" s="155"/>
      <c r="P42" s="6"/>
      <c r="Q42" s="7"/>
      <c r="R42" s="7"/>
      <c r="S42" s="7"/>
      <c r="T42" s="8"/>
      <c r="U42" s="9"/>
      <c r="V42" s="75"/>
    </row>
    <row r="43" spans="1:22" x14ac:dyDescent="0.25">
      <c r="A43" s="68"/>
      <c r="B43" s="64" t="s">
        <v>15</v>
      </c>
      <c r="C43" s="65"/>
      <c r="D43" s="86">
        <f>D35+D36</f>
        <v>2871.4</v>
      </c>
      <c r="E43" s="6"/>
      <c r="F43" s="6"/>
      <c r="G43" s="166"/>
      <c r="H43" s="166"/>
      <c r="I43" s="166"/>
      <c r="J43" s="6"/>
      <c r="K43" s="31"/>
      <c r="L43" s="60"/>
      <c r="M43" s="64" t="s">
        <v>15</v>
      </c>
      <c r="N43" s="185"/>
      <c r="O43" s="71">
        <f>O36+O37+O38+O39+O40+O41</f>
        <v>0</v>
      </c>
      <c r="P43" s="6"/>
      <c r="Q43" s="7"/>
      <c r="R43" s="166"/>
      <c r="S43" s="166"/>
      <c r="T43" s="166"/>
      <c r="U43" s="9"/>
      <c r="V43" s="75"/>
    </row>
    <row r="44" spans="1:22" x14ac:dyDescent="0.25">
      <c r="A44" s="75"/>
      <c r="B44" s="75"/>
      <c r="C44" s="75"/>
      <c r="D44" s="75"/>
      <c r="E44" s="75"/>
      <c r="F44" s="75"/>
      <c r="G44" s="167" t="s">
        <v>21</v>
      </c>
      <c r="H44" s="168"/>
      <c r="I44" s="169">
        <f>D43-O43</f>
        <v>2871.4</v>
      </c>
      <c r="J44" s="75"/>
      <c r="K44" s="31"/>
      <c r="L44" s="75"/>
      <c r="M44" s="75"/>
      <c r="N44" s="187"/>
      <c r="O44" s="75"/>
      <c r="P44" s="75"/>
      <c r="Q44" s="75"/>
      <c r="R44" s="167"/>
      <c r="S44" s="168"/>
      <c r="T44" s="169"/>
      <c r="U44" s="75"/>
      <c r="V44" s="75"/>
    </row>
    <row r="45" spans="1:22" x14ac:dyDescent="0.25">
      <c r="A45" s="75"/>
      <c r="B45" s="75"/>
      <c r="C45" s="75"/>
      <c r="D45" s="75"/>
      <c r="E45" s="75"/>
      <c r="F45" s="75"/>
      <c r="G45" s="168"/>
      <c r="H45" s="168"/>
      <c r="I45" s="168"/>
      <c r="J45" s="75"/>
      <c r="K45" s="31"/>
      <c r="L45" s="75"/>
      <c r="M45" s="75"/>
      <c r="N45" s="187"/>
      <c r="O45" s="75"/>
      <c r="P45" s="75"/>
      <c r="Q45" s="75"/>
      <c r="R45" s="168"/>
      <c r="S45" s="168"/>
      <c r="T45" s="168"/>
      <c r="U45" s="75"/>
      <c r="V45" s="75"/>
    </row>
    <row r="46" spans="1:22" x14ac:dyDescent="0.25">
      <c r="A46" s="75"/>
      <c r="B46" s="75"/>
      <c r="C46" s="75"/>
      <c r="D46" s="75"/>
      <c r="E46" s="75"/>
      <c r="F46" s="75"/>
      <c r="G46" s="168"/>
      <c r="H46" s="168"/>
      <c r="I46" s="168"/>
      <c r="J46" s="75"/>
      <c r="K46" s="31"/>
      <c r="L46" s="75"/>
      <c r="M46" s="75"/>
      <c r="N46" s="187"/>
      <c r="O46" s="75"/>
      <c r="P46" s="75"/>
      <c r="Q46" s="75"/>
      <c r="R46" s="168"/>
      <c r="S46" s="168"/>
      <c r="T46" s="168"/>
      <c r="U46" s="75"/>
      <c r="V46" s="75"/>
    </row>
  </sheetData>
  <conditionalFormatting sqref="C1:C5 D6:D31 F6:F31 D32:F34">
    <cfRule type="cellIs" dxfId="28" priority="27" operator="equal">
      <formula>15698.2</formula>
    </cfRule>
    <cfRule type="cellIs" dxfId="27" priority="28" operator="equal">
      <formula>"kapalı"</formula>
    </cfRule>
  </conditionalFormatting>
  <conditionalFormatting sqref="E6:E31 G6:G31 Q14:R42">
    <cfRule type="cellIs" dxfId="26" priority="3" operator="equal">
      <formula>"K.KART"</formula>
    </cfRule>
  </conditionalFormatting>
  <conditionalFormatting sqref="E35:F35 D36:F38 E39:F39 D40:F43">
    <cfRule type="cellIs" dxfId="25" priority="20" operator="equal">
      <formula>15698.2</formula>
    </cfRule>
    <cfRule type="cellIs" dxfId="24" priority="21" operator="equal">
      <formula>"kapalı"</formula>
    </cfRule>
  </conditionalFormatting>
  <conditionalFormatting sqref="G32:H43 D39 Q43:S43">
    <cfRule type="cellIs" dxfId="23" priority="16" operator="equal">
      <formula>"K.KART"</formula>
    </cfRule>
  </conditionalFormatting>
  <conditionalFormatting sqref="N35">
    <cfRule type="cellIs" dxfId="22" priority="19" operator="equal">
      <formula>"K.KART"</formula>
    </cfRule>
  </conditionalFormatting>
  <conditionalFormatting sqref="N4:O4">
    <cfRule type="cellIs" dxfId="21" priority="22" operator="equal">
      <formula>15698.2</formula>
    </cfRule>
    <cfRule type="cellIs" dxfId="20" priority="23" operator="equal">
      <formula>"kapalı"</formula>
    </cfRule>
  </conditionalFormatting>
  <conditionalFormatting sqref="N13:O13">
    <cfRule type="cellIs" dxfId="19" priority="1" operator="equal">
      <formula>"KAPALI"</formula>
    </cfRule>
    <cfRule type="cellIs" dxfId="18" priority="2" operator="equal">
      <formula>"açık"</formula>
    </cfRule>
  </conditionalFormatting>
  <conditionalFormatting sqref="N1:P3 N5:P5 N24:P34 O35:P35 P36:P43">
    <cfRule type="cellIs" dxfId="17" priority="30" operator="equal">
      <formula>15698.2</formula>
    </cfRule>
  </conditionalFormatting>
  <conditionalFormatting sqref="N1:P3 N5:P5 N24:P34">
    <cfRule type="cellIs" dxfId="16" priority="25" operator="equal">
      <formula>"KAPALI"</formula>
    </cfRule>
    <cfRule type="cellIs" dxfId="15" priority="26" operator="equal">
      <formula>"açık"</formula>
    </cfRule>
  </conditionalFormatting>
  <conditionalFormatting sqref="O12:P12">
    <cfRule type="cellIs" dxfId="14" priority="12" operator="equal">
      <formula>"KAPALI"</formula>
    </cfRule>
    <cfRule type="cellIs" dxfId="13" priority="13" operator="equal">
      <formula>"açık"</formula>
    </cfRule>
  </conditionalFormatting>
  <conditionalFormatting sqref="O39">
    <cfRule type="cellIs" dxfId="12" priority="15" operator="equal">
      <formula>"K.KART"</formula>
    </cfRule>
  </conditionalFormatting>
  <conditionalFormatting sqref="O41:O42">
    <cfRule type="cellIs" dxfId="11" priority="4" operator="equal">
      <formula>"K.KART"</formula>
    </cfRule>
  </conditionalFormatting>
  <conditionalFormatting sqref="N13 O6:P23">
    <cfRule type="cellIs" dxfId="10" priority="11" operator="equal">
      <formula>15698.2</formula>
    </cfRule>
  </conditionalFormatting>
  <conditionalFormatting sqref="O6:P23">
    <cfRule type="cellIs" dxfId="9" priority="9" operator="equal">
      <formula>"kapalı"</formula>
    </cfRule>
  </conditionalFormatting>
  <conditionalFormatting sqref="O35:P35 P36:P43">
    <cfRule type="cellIs" dxfId="8" priority="17" operator="equal">
      <formula>"KAPALI"</formula>
    </cfRule>
    <cfRule type="cellIs" dxfId="7" priority="18" operator="equal">
      <formula>"açık"</formula>
    </cfRule>
  </conditionalFormatting>
  <conditionalFormatting sqref="P4:U4">
    <cfRule type="cellIs" dxfId="6" priority="24" operator="equal">
      <formula>"K.KART"</formula>
    </cfRule>
  </conditionalFormatting>
  <conditionalFormatting sqref="Q6:Q13">
    <cfRule type="cellIs" dxfId="5" priority="10" operator="equal">
      <formula>"K.KART"</formula>
    </cfRule>
  </conditionalFormatting>
  <conditionalFormatting sqref="Q13">
    <cfRule type="cellIs" dxfId="4" priority="7" operator="equal">
      <formula>15698.2</formula>
    </cfRule>
    <cfRule type="cellIs" dxfId="3" priority="8" operator="equal">
      <formula>"kapalı"</formula>
    </cfRule>
  </conditionalFormatting>
  <conditionalFormatting sqref="Q1:R3 D1:H5">
    <cfRule type="cellIs" dxfId="2" priority="29" operator="equal">
      <formula>"K.KART"</formula>
    </cfRule>
  </conditionalFormatting>
  <conditionalFormatting sqref="Q5:R11">
    <cfRule type="cellIs" dxfId="1" priority="14" operator="equal">
      <formula>"K.KART"</formula>
    </cfRule>
  </conditionalFormatting>
  <conditionalFormatting sqref="R12:S13">
    <cfRule type="cellIs" dxfId="0" priority="6" operator="equal">
      <formula>"K.KART"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12</vt:i4>
      </vt:variant>
      <vt:variant>
        <vt:lpstr>Adlandırılmış Aralıklar</vt:lpstr>
      </vt:variant>
      <vt:variant>
        <vt:i4>5</vt:i4>
      </vt:variant>
    </vt:vector>
  </HeadingPairs>
  <TitlesOfParts>
    <vt:vector size="17" baseType="lpstr">
      <vt:lpstr>OCAK</vt:lpstr>
      <vt:lpstr>ŞUBAT</vt:lpstr>
      <vt:lpstr>MART</vt:lpstr>
      <vt:lpstr>NİSAN</vt:lpstr>
      <vt:lpstr>MAYIS</vt:lpstr>
      <vt:lpstr>HAZİRAN</vt:lpstr>
      <vt:lpstr>TEMMUZ</vt:lpstr>
      <vt:lpstr>AĞUSTOS</vt:lpstr>
      <vt:lpstr>EYLÜL</vt:lpstr>
      <vt:lpstr>EKİM</vt:lpstr>
      <vt:lpstr>KASIM</vt:lpstr>
      <vt:lpstr>ARALIK</vt:lpstr>
      <vt:lpstr>MART!Yazdırma_Alanı</vt:lpstr>
      <vt:lpstr>MAYIS!Yazdırma_Alanı</vt:lpstr>
      <vt:lpstr>NİSAN!Yazdırma_Alanı</vt:lpstr>
      <vt:lpstr>OCAK!Yazdırma_Alanı</vt:lpstr>
      <vt:lpstr>ŞUBAT!Yazdırma_Alanı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nihat dislioglu</cp:lastModifiedBy>
  <cp:lastPrinted>2025-06-23T06:55:12Z</cp:lastPrinted>
  <dcterms:created xsi:type="dcterms:W3CDTF">2015-06-05T18:19:34Z</dcterms:created>
  <dcterms:modified xsi:type="dcterms:W3CDTF">2026-01-02T14:46:54Z</dcterms:modified>
</cp:coreProperties>
</file>